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3e92f45b7843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ator" sheetId="1" r:id="R6a0fe45ccc934543"/>
    <x:sheet xmlns:r="http://schemas.openxmlformats.org/officeDocument/2006/relationships" name="Moteur" sheetId="2" r:id="R4ea2f7b269574d98"/>
    <x:sheet xmlns:r="http://schemas.openxmlformats.org/officeDocument/2006/relationships" name="Export_Statsblock" sheetId="3" r:id="Rc875b307277f4e47"/>
    <x:sheet xmlns:r="http://schemas.openxmlformats.org/officeDocument/2006/relationships" name="Ref_NC" sheetId="4" r:id="Rff9c5c74e3634dc7"/>
    <x:sheet xmlns:r="http://schemas.openxmlformats.org/officeDocument/2006/relationships" name="Ref_Profils" sheetId="5" r:id="Ree294c5906fd4343"/>
    <x:sheet xmlns:r="http://schemas.openxmlformats.org/officeDocument/2006/relationships" name="Ref_Tailles" sheetId="6" r:id="R36d5c5745d24449f"/>
    <x:sheet xmlns:r="http://schemas.openxmlformats.org/officeDocument/2006/relationships" name="Ref_Armures" sheetId="7" r:id="Re660076771c645e0"/>
    <x:sheet xmlns:r="http://schemas.openxmlformats.org/officeDocument/2006/relationships" name="Ref_SousFamilles" sheetId="8" r:id="Raa2da3026ac0479b"/>
    <x:sheet xmlns:r="http://schemas.openxmlformats.org/officeDocument/2006/relationships" name="Ref_Allocations" sheetId="9" r:id="Ra3c17872533840ff"/>
    <x:sheet xmlns:r="http://schemas.openxmlformats.org/officeDocument/2006/relationships" name="Ref_Signatures" sheetId="10" r:id="R3a01e506747548b1"/>
    <x:sheet xmlns:r="http://schemas.openxmlformats.org/officeDocument/2006/relationships" name="Ref_Capacites" sheetId="11" r:id="R4604d085b50b46ad"/>
    <x:sheet xmlns:r="http://schemas.openxmlformats.org/officeDocument/2006/relationships" name="Ref_Sorts" sheetId="12" r:id="R8082ac42ce634e80"/>
    <x:sheet xmlns:r="http://schemas.openxmlformats.org/officeDocument/2006/relationships" name="Ref_Des" sheetId="13" r:id="Re475bbf803744d14"/>
    <x:sheet xmlns:r="http://schemas.openxmlformats.org/officeDocument/2006/relationships" name="Ref_Loot" sheetId="14" r:id="R4de2de473fb2453d"/>
    <x:sheet xmlns:r="http://schemas.openxmlformats.org/officeDocument/2006/relationships" name="Ref_Danger" sheetId="15" r:id="R219fe186c5f244e1"/>
    <x:sheet xmlns:r="http://schemas.openxmlformats.org/officeDocument/2006/relationships" name="Simulateur_Rencontre" sheetId="16" r:id="R6efc6dbdd44a4cab"/>
    <x:sheet xmlns:r="http://schemas.openxmlformats.org/officeDocument/2006/relationships" name="Ref_Roll20" sheetId="17" r:id="Rf90dd153b0cc4db3"/>
    <x:sheet xmlns:r="http://schemas.openxmlformats.org/officeDocument/2006/relationships" name="Export_Roll20_Helper" sheetId="18" r:id="R84e92605072f41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"/>
    <x:numFmt numFmtId="202" formatCode="0.0%"/>
    <x:numFmt numFmtId="203" formatCode="0.00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203864"/>
      <x:name val="Carlito"/>
    </x:font>
    <x:font>
      <x:i/>
      <x:sz val="11"/>
      <x:color rgb="FF666666"/>
      <x:name val="Carlito"/>
    </x:font>
    <x:font>
      <x:b/>
      <x:sz val="11"/>
      <x:name val="Carlito"/>
    </x:font>
    <x:font>
      <x:b/>
      <x:i/>
      <x:sz val="11"/>
      <x:color rgb="FF666666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203864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D9E2F3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D9E2F3"/>
      </x:patternFill>
    </x:fill>
    <x:fill>
      <x:patternFill patternType="solid">
        <x:fgColor rgb="FFF2F2F2"/>
      </x:patternFill>
    </x:fill>
    <x:fill>
      <x:patternFill patternType="solid">
        <x:fgColor rgb="FF4472C4"/>
      </x:patternFill>
    </x:fill>
    <x:fill>
      <x:patternFill patternType="solid">
        <x:fgColor rgb="FF203864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1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1" fontId="0" fillId="10" borderId="0" xfId="0" applyNumberFormat="1" applyFont="1" applyFill="1" applyBorder="1" applyAlignment="1">
      <x:alignment wrapText="1"/>
    </x:xf>
    <x:xf numFmtId="202" fontId="0" fillId="10" borderId="0" xfId="0" applyNumberFormat="1" applyFont="1" applyFill="1" applyBorder="1" applyAlignment="1">
      <x:alignment wrapText="1"/>
    </x:xf>
    <x:xf numFmtId="203" fontId="0" fillId="10" borderId="0" xfId="0" applyNumberFormat="1" applyFont="1" applyFill="1" applyBorder="1" applyAlignment="1">
      <x:alignment wrapText="1"/>
    </x:xf>
    <x:xf numFmtId="200" fontId="0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0" fillId="10" borderId="0" xfId="0" applyNumberFormat="1" applyFont="1" applyFill="1" applyBorder="1"/>
    <x:xf numFmtId="200" fontId="0" fillId="13" borderId="0" xfId="0" applyNumberFormat="1" applyFont="1" applyFill="1" applyBorder="1"/>
    <x:xf numFmtId="201" fontId="0" fillId="10" borderId="0" xfId="0" applyNumberFormat="1" applyFont="1" applyFill="1" applyBorder="1"/>
    <x:xf numFmtId="20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2" fillId="12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1" fontId="0" fillId="6" borderId="0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wrapText="1"/>
    </x:xf>
    <x:xf numFmtId="203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/>
    <x:xf numFmtId="201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vertical="center" wrapText="1"/>
    </x:xf>
    <x:xf numFmtId="0" fontId="4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wrapText="1"/>
    </x:xf>
    <x:xf numFmtId="0" fontId="4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horizontal="center"/>
    </x:xf>
    <x:xf numFmtId="0" fontId="1" fillId="17" borderId="0" xfId="0" applyNumberFormat="1" applyFont="1" applyFill="1" applyBorder="1" applyAlignment="1">
      <x:alignment horizontal="center" vertical="center"/>
    </x:xf>
    <x:xf numFmtId="0" fontId="1" fillId="17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8" borderId="0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1" fillId="16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 applyAlignment="1">
      <x:alignment horizontal="center" vertical="center" wrapText="1"/>
    </x:xf>
    <x:xf numFmtId="0" fontId="4" fillId="16" borderId="0" xfId="0" applyNumberFormat="1" applyFont="1" applyFill="1" applyBorder="1"/>
    <x:xf numFmtId="0" fontId="0" fillId="19" borderId="0" xfId="0" applyNumberFormat="1" applyFont="1" applyFill="1" applyBorder="1" applyAlignment="1">
      <x:alignment wrapText="1"/>
    </x:xf>
    <x:xf numFmtId="200" fontId="0" fillId="19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0" fillId="19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 applyAlignment="1">
      <x:alignment wrapText="1"/>
    </x:xf>
    <x:xf numFmtId="0" fontId="1" fillId="17" borderId="0" xfId="0" applyNumberFormat="1" applyFont="1" applyFill="1" applyBorder="1" applyAlignment="1">
      <x:alignment wrapText="1"/>
    </x:xf>
    <x:xf numFmtId="0" fontId="1" fillId="17" borderId="0" xfId="0" applyNumberFormat="1" applyFont="1" applyFill="1" applyBorder="1" applyAlignment="1">
      <x:alignment horizontal="center" wrapText="1"/>
    </x:xf>
    <x:xf numFmtId="0" fontId="2" fillId="18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>
          <x:bgColor rgb="FFF4CCCC"/>
        </x:patternFill>
      </x:fill>
    </x:dxf>
    <x:dxf>
      <x:font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b18344fbdc448c" /><Relationship Type="http://schemas.openxmlformats.org/officeDocument/2006/relationships/theme" Target="/xl/theme/theme1.xml" Id="Redfb2ee7b31347ff" /><Relationship Type="http://schemas.microsoft.com/office/2022/11/relationships/FeaturePropertyBag" Target="/xl/featurePropertyBag/featurePropertyBag.xml" Id="Rd53c6437c9ec41a6" /><Relationship Type="http://schemas.openxmlformats.org/officeDocument/2006/relationships/sharedStrings" Target="/xl/sharedStrings.xml" Id="R4e54e20f0cfa4aa7" /><Relationship Type="http://schemas.openxmlformats.org/officeDocument/2006/relationships/worksheet" Target="/xl/worksheets/sheet1.xml" Id="R6a0fe45ccc934543" /><Relationship Type="http://schemas.openxmlformats.org/officeDocument/2006/relationships/worksheet" Target="/xl/worksheets/sheet2.xml" Id="R4ea2f7b269574d98" /><Relationship Type="http://schemas.openxmlformats.org/officeDocument/2006/relationships/worksheet" Target="/xl/worksheets/sheet3.xml" Id="Rc875b307277f4e47" /><Relationship Type="http://schemas.openxmlformats.org/officeDocument/2006/relationships/worksheet" Target="/xl/worksheets/sheet4.xml" Id="Rff9c5c74e3634dc7" /><Relationship Type="http://schemas.openxmlformats.org/officeDocument/2006/relationships/worksheet" Target="/xl/worksheets/sheet5.xml" Id="Ree294c5906fd4343" /><Relationship Type="http://schemas.openxmlformats.org/officeDocument/2006/relationships/worksheet" Target="/xl/worksheets/sheet6.xml" Id="R36d5c5745d24449f" /><Relationship Type="http://schemas.openxmlformats.org/officeDocument/2006/relationships/worksheet" Target="/xl/worksheets/sheet7.xml" Id="Re660076771c645e0" /><Relationship Type="http://schemas.openxmlformats.org/officeDocument/2006/relationships/worksheet" Target="/xl/worksheets/sheet8.xml" Id="Raa2da3026ac0479b" /><Relationship Type="http://schemas.openxmlformats.org/officeDocument/2006/relationships/worksheet" Target="/xl/worksheets/sheet9.xml" Id="Ra3c17872533840ff" /><Relationship Type="http://schemas.openxmlformats.org/officeDocument/2006/relationships/worksheet" Target="/xl/worksheets/sheet10.xml" Id="R3a01e506747548b1" /><Relationship Type="http://schemas.openxmlformats.org/officeDocument/2006/relationships/worksheet" Target="/xl/worksheets/sheet11.xml" Id="R4604d085b50b46ad" /><Relationship Type="http://schemas.openxmlformats.org/officeDocument/2006/relationships/worksheet" Target="/xl/worksheets/sheet12.xml" Id="R8082ac42ce634e80" /><Relationship Type="http://schemas.openxmlformats.org/officeDocument/2006/relationships/worksheet" Target="/xl/worksheets/sheet13.xml" Id="Re475bbf803744d14" /><Relationship Type="http://schemas.openxmlformats.org/officeDocument/2006/relationships/worksheet" Target="/xl/worksheets/sheet14.xml" Id="R4de2de473fb2453d" /><Relationship Type="http://schemas.openxmlformats.org/officeDocument/2006/relationships/worksheet" Target="/xl/worksheets/sheet15.xml" Id="R219fe186c5f244e1" /><Relationship Type="http://schemas.openxmlformats.org/officeDocument/2006/relationships/worksheet" Target="/xl/worksheets/sheet16.xml" Id="R6efc6dbdd44a4cab" /><Relationship Type="http://schemas.openxmlformats.org/officeDocument/2006/relationships/worksheet" Target="/xl/worksheets/sheet17.xml" Id="Rf90dd153b0cc4db3" /><Relationship Type="http://schemas.openxmlformats.org/officeDocument/2006/relationships/worksheet" Target="/xl/worksheets/sheet18.xml" Id="R84e92605072f41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1" hidden="0" customWidth="1"/>
    <x:col min="3" max="3" width="20" hidden="0" customWidth="1"/>
    <x:col min="4" max="4" width="18" hidden="0" customWidth="1"/>
    <x:col min="5" max="5" width="16" hidden="0" customWidth="1"/>
    <x:col min="6" max="6" width="18" hidden="0" customWidth="1"/>
    <x:col min="7" max="7" width="38" hidden="0" customWidth="1"/>
    <x:col min="8" max="8" width="15" hidden="0" customWidth="1"/>
  </x:cols>
  <x:sheetData>
    <x:row r="1">
      <x:c r="A1" s="30" t="str">
        <x:v>MONSTER CREATOR — V1</x:v>
      </x:c>
      <x:c r="B1" s="30"/>
      <x:c r="C1" s="30"/>
      <x:c r="D1" s="30"/>
      <x:c r="E1" s="30"/>
      <x:c r="F1" s="30"/>
      <x:c r="G1" s="30"/>
      <x:c r="H1" s="30"/>
    </x:row>
    <x:row r="2">
      <x:c r="A2" s="31"/>
      <x:c r="B2" s="31"/>
      <x:c r="C2" s="31"/>
      <x:c r="D2" s="31"/>
      <x:c r="E2" s="31"/>
      <x:c r="F2" s="31"/>
      <x:c r="G2" s="31"/>
      <x:c r="H2" s="31"/>
    </x:row>
    <x:row r="3">
      <x:c r="A3" s="32" t="str">
        <x:v>CRÉATION</x:v>
      </x:c>
      <x:c r="B3" s="32" t="str">
        <x:v>Choix</x:v>
      </x:c>
      <x:c r="C3" s="31"/>
      <x:c r="D3" s="32" t="str">
        <x:v>STATISTIQUES</x:v>
      </x:c>
      <x:c r="E3" s="32" t="str">
        <x:v>Valeur</x:v>
      </x:c>
      <x:c r="F3" s="32" t="str">
        <x:v>Note</x:v>
      </x:c>
      <x:c r="G3" s="31"/>
      <x:c r="H3" s="31"/>
    </x:row>
    <x:row r="4">
      <x:c r="A4" s="31" t="str">
        <x:v>Nom</x:v>
      </x:c>
      <x:c r="B4" s="33" t="str">
        <x:v>Créature exemple</x:v>
      </x:c>
      <x:c r="C4" s="31"/>
      <x:c r="D4" s="31" t="str">
        <x:v>FOR</x:v>
      </x:c>
      <x:c r="E4" s="34" t="n">
        <x:f>Moteur!E2</x:f>
        <x:v>5</x:v>
      </x:c>
      <x:c r="F4" s="31"/>
      <x:c r="G4" s="31"/>
      <x:c r="H4" s="31"/>
    </x:row>
    <x:row r="5">
      <x:c r="A5" s="31" t="str">
        <x:v>NC</x:v>
      </x:c>
      <x:c r="B5" s="33" t="n">
        <x:v>10</x:v>
      </x:c>
      <x:c r="C5" s="31"/>
      <x:c r="D5" s="31" t="str">
        <x:v>DEX</x:v>
      </x:c>
      <x:c r="E5" s="34" t="n">
        <x:f>Moteur!E3</x:f>
        <x:v>3</x:v>
      </x:c>
      <x:c r="F5" s="31"/>
      <x:c r="G5" s="31"/>
      <x:c r="H5" s="31"/>
    </x:row>
    <x:row r="6">
      <x:c r="A6" s="31" t="str">
        <x:v>Famille</x:v>
      </x:c>
      <x:c r="B6" s="33" t="str">
        <x:v>Dragon</x:v>
      </x:c>
      <x:c r="C6" s="31"/>
      <x:c r="D6" s="31" t="str">
        <x:v>CON</x:v>
      </x:c>
      <x:c r="E6" s="34" t="n">
        <x:f>Moteur!E4</x:f>
        <x:v>1</x:v>
      </x:c>
      <x:c r="F6" s="31"/>
      <x:c r="G6" s="31"/>
      <x:c r="H6" s="31"/>
    </x:row>
    <x:row r="7">
      <x:c r="A7" s="31" t="str">
        <x:v>Sous-famille</x:v>
      </x:c>
      <x:c r="B7" s="33" t="str">
        <x:v>Dragon élémentaire</x:v>
      </x:c>
      <x:c r="C7" s="31"/>
      <x:c r="D7" s="31" t="str">
        <x:v>INT</x:v>
      </x:c>
      <x:c r="E7" s="34" t="n">
        <x:f>Moteur!E5</x:f>
        <x:v>0</x:v>
      </x:c>
      <x:c r="F7" s="31"/>
      <x:c r="G7" s="31"/>
      <x:c r="H7" s="31"/>
    </x:row>
    <x:row r="8">
      <x:c r="A8" s="31" t="str">
        <x:v>Taille</x:v>
      </x:c>
      <x:c r="B8" s="33" t="str">
        <x:v>Grand</x:v>
      </x:c>
      <x:c r="C8" s="31"/>
      <x:c r="D8" s="31" t="str">
        <x:v>SAG</x:v>
      </x:c>
      <x:c r="E8" s="34" t="n">
        <x:f>Moteur!E6</x:f>
        <x:v>3</x:v>
      </x:c>
      <x:c r="F8" s="31"/>
      <x:c r="G8" s="31"/>
      <x:c r="H8" s="31"/>
    </x:row>
    <x:row r="9">
      <x:c r="A9" s="31" t="str">
        <x:v>Profil</x:v>
      </x:c>
      <x:c r="B9" s="33" t="str">
        <x:v>Standard</x:v>
      </x:c>
      <x:c r="C9" s="31"/>
      <x:c r="D9" s="31" t="str">
        <x:v>CHA</x:v>
      </x:c>
      <x:c r="E9" s="34" t="n">
        <x:f>Moteur!E7</x:f>
        <x:v>1</x:v>
      </x:c>
      <x:c r="F9" s="31"/>
      <x:c r="G9" s="31"/>
      <x:c r="H9" s="31"/>
    </x:row>
    <x:row r="10">
      <x:c r="A10" s="31" t="str">
        <x:v>Archétype principal</x:v>
      </x:c>
      <x:c r="B10" s="33" t="str">
        <x:v>Martial</x:v>
      </x:c>
      <x:c r="C10" s="31"/>
      <x:c r="D10" s="31" t="str">
        <x:v>PV</x:v>
      </x:c>
      <x:c r="E10" s="34" t="n">
        <x:f>Moteur!X2</x:f>
        <x:v>101</x:v>
      </x:c>
      <x:c r="F10" s="31"/>
      <x:c r="G10" s="31"/>
      <x:c r="H10" s="31"/>
    </x:row>
    <x:row r="11">
      <x:c r="A11" s="31" t="str">
        <x:v>Archétype physique</x:v>
      </x:c>
      <x:c r="B11" s="33" t="str">
        <x:v>Ravageur</x:v>
      </x:c>
      <x:c r="C11" s="31"/>
      <x:c r="D11" s="31" t="str">
        <x:v>DEF</x:v>
      </x:c>
      <x:c r="E11" s="34" t="n">
        <x:f>Moteur!X3</x:f>
        <x:v>21</x:v>
      </x:c>
      <x:c r="F11" s="31"/>
      <x:c r="G11" s="31"/>
      <x:c r="H11" s="31"/>
    </x:row>
    <x:row r="12">
      <x:c r="A12" s="31" t="str">
        <x:v>Archétype mental</x:v>
      </x:c>
      <x:c r="B12" s="33" t="str">
        <x:v>Mystique</x:v>
      </x:c>
      <x:c r="C12" s="31"/>
      <x:c r="D12" s="31" t="str">
        <x:v>Initiative</x:v>
      </x:c>
      <x:c r="E12" s="34" t="n">
        <x:f>Moteur!X4</x:f>
        <x:v>15</x:v>
      </x:c>
      <x:c r="F12" s="31"/>
      <x:c r="G12" s="31"/>
      <x:c r="H12" s="31"/>
    </x:row>
    <x:row r="13">
      <x:c r="A13" s="31" t="str">
        <x:v>Archétype mineur</x:v>
      </x:c>
      <x:c r="B13" s="33" t="str">
        <x:v>Prudent</x:v>
      </x:c>
      <x:c r="C13" s="31"/>
      <x:c r="D13" s="31" t="str">
        <x:v>Mvt terrestre</x:v>
      </x:c>
      <x:c r="E13" s="34" t="n">
        <x:f>Moteur!X6</x:f>
        <x:v>9</x:v>
      </x:c>
      <x:c r="F13" s="31"/>
      <x:c r="G13" s="31"/>
      <x:c r="H13" s="31"/>
    </x:row>
    <x:row r="14">
      <x:c r="A14" s="31" t="str">
        <x:v>Armure</x:v>
      </x:c>
      <x:c r="B14" s="33" t="str">
        <x:v>Aucune</x:v>
      </x:c>
      <x:c r="C14" s="31"/>
      <x:c r="D14" s="31" t="str">
        <x:v>Vol</x:v>
      </x:c>
      <x:c r="E14" s="34" t="n">
        <x:f>Moteur!X7</x:f>
        <x:v>12</x:v>
      </x:c>
      <x:c r="F14" s="31"/>
      <x:c r="G14" s="31"/>
      <x:c r="H14" s="31"/>
    </x:row>
    <x:row r="15">
      <x:c r="A15" s="31" t="str">
        <x:v>Rareté composant</x:v>
      </x:c>
      <x:c r="B15" s="33" t="str">
        <x:v>Commune</x:v>
      </x:c>
      <x:c r="C15" s="31"/>
      <x:c r="D15" s="31" t="str">
        <x:v>Nage</x:v>
      </x:c>
      <x:c r="E15" s="34" t="n">
        <x:f>Moteur!X8</x:f>
        <x:v>9</x:v>
      </x:c>
      <x:c r="F15" s="31"/>
      <x:c r="G15" s="31"/>
      <x:c r="H15" s="31"/>
    </x:row>
    <x:row r="16">
      <x:c r="A16" s="31" t="str">
        <x:v>Élément lié</x:v>
      </x:c>
      <x:c r="B16" s="94" t="str">
        <x:v>Feu</x:v>
      </x:c>
      <x:c r="C16" s="31"/>
      <x:c r="D16" s="31" t="str">
        <x:v>Escalade</x:v>
      </x:c>
      <x:c r="E16" s="34" t="n">
        <x:f>Moteur!X9</x:f>
        <x:v>0</x:v>
      </x:c>
      <x:c r="F16" s="31"/>
      <x:c r="G16" s="31"/>
      <x:c r="H16" s="31"/>
    </x:row>
    <x:row r="17">
      <x:c r="A17" s="32" t="str">
        <x:v>Élément opposé</x:v>
      </x:c>
      <x:c r="B17" s="95" t="str">
        <x:v>Eau</x:v>
      </x:c>
      <x:c r="C17" s="31"/>
      <x:c r="D17" s="31" t="str">
        <x:v>Fouissement</x:v>
      </x:c>
      <x:c r="E17" s="34" t="n">
        <x:f>Moteur!X10</x:f>
        <x:v>0</x:v>
      </x:c>
      <x:c r="F17" s="31"/>
      <x:c r="G17" s="31"/>
      <x:c r="H17" s="31"/>
    </x:row>
    <x:row r="18">
      <x:c r="A18" s="31" t="str">
        <x:v>Avatar URL</x:v>
      </x:c>
      <x:c r="B18" s="96" t="str"/>
      <x:c r="C18" s="31"/>
      <x:c r="D18" s="31" t="str">
        <x:v>Allonge</x:v>
      </x:c>
      <x:c r="E18" s="34" t="n">
        <x:f>Moteur!X11</x:f>
        <x:v>2</x:v>
      </x:c>
      <x:c r="F18" s="31"/>
      <x:c r="G18" s="31"/>
      <x:c r="H18" s="31"/>
    </x:row>
    <x:row r="19">
      <x:c r="A19" s="31"/>
      <x:c r="B19" s="31"/>
      <x:c r="C19" s="31"/>
      <x:c r="D19" s="31" t="str">
        <x:v>Toucher FOR</x:v>
      </x:c>
      <x:c r="E19" s="34" t="n">
        <x:f>Moteur!X12</x:f>
        <x:v>7</x:v>
      </x:c>
      <x:c r="F19" s="31"/>
      <x:c r="G19" s="31"/>
      <x:c r="H19" s="31"/>
    </x:row>
    <x:row r="20">
      <x:c r="A20" s="99" t="str">
        <x:v>CONTRÔLE</x:v>
      </x:c>
      <x:c r="B20" s="99" t="str">
        <x:v>Valeur</x:v>
      </x:c>
      <x:c r="C20" s="31"/>
      <x:c r="D20" s="31" t="str">
        <x:v>Toucher DEX</x:v>
      </x:c>
      <x:c r="E20" s="34" t="n">
        <x:f>Moteur!X13</x:f>
        <x:v>5</x:v>
      </x:c>
      <x:c r="F20" s="31"/>
      <x:c r="G20" s="31"/>
      <x:c r="H20" s="31"/>
    </x:row>
    <x:row r="21">
      <x:c r="A21" s="31" t="str">
        <x:v>Cohérence famille</x:v>
      </x:c>
      <x:c r="B21" s="101" t="str">
        <x:f>IF(B6=Moteur!X28,"OK","⚠ Sous-famille hors famille")</x:f>
        <x:v>OK</x:v>
      </x:c>
      <x:c r="C21" s="31"/>
      <x:c r="D21" s="31" t="str">
        <x:v>Toucher mental</x:v>
      </x:c>
      <x:c r="E21" s="34" t="n">
        <x:f>Moteur!X14</x:f>
        <x:v>5</x:v>
      </x:c>
      <x:c r="F21" s="31"/>
      <x:c r="G21" s="31"/>
      <x:c r="H21" s="31"/>
    </x:row>
    <x:row r="22">
      <x:c r="A22" s="31"/>
      <x:c r="B22" s="31"/>
      <x:c r="C22" s="31"/>
      <x:c r="D22" s="31" t="str">
        <x:v>DM référence</x:v>
      </x:c>
      <x:c r="E22" s="34" t="n">
        <x:f>Moteur!X15</x:f>
        <x:v>13</x:v>
      </x:c>
      <x:c r="F22" s="35" t="str">
        <x:v>DM avant bonus de caractéristique</x:v>
      </x:c>
      <x:c r="G22" s="31"/>
      <x:c r="H22" s="31"/>
    </x:row>
    <x:row r="23">
      <x:c r="A23" s="31"/>
      <x:c r="B23" s="31"/>
      <x:c r="C23" s="31"/>
      <x:c r="D23" s="31" t="str">
        <x:v>Budget capacités</x:v>
      </x:c>
      <x:c r="E23" s="34" t="n">
        <x:f>Moteur!X16</x:f>
        <x:v>3</x:v>
      </x:c>
      <x:c r="F23" s="35"/>
      <x:c r="G23" s="31"/>
      <x:c r="H23" s="31"/>
    </x:row>
    <x:row r="24">
      <x:c r="A24" s="31"/>
      <x:c r="B24" s="31"/>
      <x:c r="C24" s="31"/>
      <x:c r="D24" s="31" t="str">
        <x:v>Rang sort max</x:v>
      </x:c>
      <x:c r="E24" s="34" t="n">
        <x:f>Moteur!B9</x:f>
        <x:v>3</x:v>
      </x:c>
      <x:c r="F24" s="35"/>
      <x:c r="G24" s="31"/>
      <x:c r="H24" s="31"/>
    </x:row>
    <x:row r="25">
      <x:c r="A25" s="31"/>
      <x:c r="B25" s="31"/>
      <x:c r="C25" s="31"/>
      <x:c r="D25" s="31" t="str">
        <x:v>Affinités</x:v>
      </x:c>
      <x:c r="E25" s="34" t="str">
        <x:f>Moteur!O9</x:f>
        <x:v>R Tranchant; R Perforant; S Feu; FM Eau</x:v>
      </x:c>
      <x:c r="F25" s="35" t="str">
        <x:v>FM×2 · V×1,5 · R×0,5 · I=0 · S=Soin</x:v>
      </x:c>
      <x:c r="G25" s="31"/>
      <x:c r="H25" s="31"/>
    </x:row>
    <x:row r="26">
      <x:c r="A26" s="31"/>
      <x:c r="B26" s="31"/>
      <x:c r="C26" s="31"/>
      <x:c r="D26" s="31" t="str">
        <x:v>Loot moyen (PC)</x:v>
      </x:c>
      <x:c r="E26" s="34" t="n">
        <x:f>Moteur!X25</x:f>
        <x:v>15000</x:v>
      </x:c>
      <x:c r="F26" s="35" t="str">
        <x:v>Danger réel non appliqué</x:v>
      </x:c>
      <x:c r="G26" s="31"/>
      <x:c r="H26" s="31"/>
    </x:row>
    <x:row r="27">
      <x:c r="A27" s="31"/>
      <x:c r="B27" s="31"/>
      <x:c r="C27" s="31"/>
      <x:c r="D27" s="31"/>
      <x:c r="E27" s="31"/>
      <x:c r="F27" s="31"/>
      <x:c r="G27" s="31"/>
      <x:c r="H27" s="31"/>
    </x:row>
    <x:row r="28">
      <x:c r="A28" s="31"/>
      <x:c r="B28" s="31"/>
      <x:c r="C28" s="31"/>
      <x:c r="D28" s="31"/>
      <x:c r="E28" s="31"/>
      <x:c r="F28" s="31"/>
      <x:c r="G28" s="31"/>
      <x:c r="H28" s="31"/>
    </x:row>
    <x:row r="29">
      <x:c r="A29" s="32" t="str">
        <x:v>SIGNATURES AUTOMATIQUES — gratuites</x:v>
      </x:c>
      <x:c r="B29" s="32"/>
      <x:c r="C29" s="32"/>
      <x:c r="D29" s="32"/>
      <x:c r="E29" s="32"/>
      <x:c r="F29" s="32"/>
      <x:c r="G29" s="32"/>
      <x:c r="H29" s="32"/>
    </x:row>
    <x:row r="30">
      <x:c r="A30" s="36" t="str">
        <x:v>Signature</x:v>
      </x:c>
      <x:c r="B30" s="36" t="str">
        <x:v>Type</x:v>
      </x:c>
      <x:c r="C30" s="36" t="str">
        <x:v>Usage</x:v>
      </x:c>
      <x:c r="D30" s="36" t="str">
        <x:v>DD/Test</x:v>
      </x:c>
      <x:c r="E30" s="36" t="str">
        <x:v>Dés</x:v>
      </x:c>
      <x:c r="F30" s="36" t="str">
        <x:v>DM moyen</x:v>
      </x:c>
      <x:c r="G30" s="36" t="str">
        <x:v>Effet</x:v>
      </x:c>
      <x:c r="H30" s="36" t="str">
        <x:v>Bonus</x:v>
      </x:c>
    </x:row>
    <x:row r="31">
      <x:c r="A31" s="34" t="str">
        <x:f>IFERROR(VLOOKUP($B$7&amp;"|1",Ref_Signatures!A:K,3,FALSE),"")</x:f>
        <x:v>Souffle élémentaire</x:v>
      </x:c>
      <x:c r="B31" s="34" t="str">
        <x:f>IF(A31="","",VLOOKUP($B$7&amp;"|1",Ref_Signatures!A:K,4,FALSE))</x:f>
        <x:v>Active</x:v>
      </x:c>
      <x:c r="C31" s="34" t="str">
        <x:f>IF(A31="","",VLOOKUP($B$7&amp;"|1",Ref_Signatures!A:K,5,FALSE))</x:f>
        <x:v>Recharge 5-6</x:v>
      </x:c>
      <x:c r="D31" s="34" t="n">
        <x:f>IF(A31="","",IF(VLOOKUP($B$7&amp;"|1",Ref_Signatures!A:K,7,FALSE)="Test opposé","Opposé",IF(VLOOKUP($B$7&amp;"|1",Ref_Signatures!A:K,7,FALSE)="DD capacité",10+IF(VLOOKUP($B$7&amp;"|1",Ref_Signatures!A:K,6,FALSE)="FOR",$E$4,IF(VLOOKUP($B$7&amp;"|1",Ref_Signatures!A:K,6,FALSE)="DEX",$E$5,IF(VLOOKUP($B$7&amp;"|1",Ref_Signatures!A:K,6,FALSE)="CON",$E$6,IF(VLOOKUP($B$7&amp;"|1",Ref_Signatures!A:K,6,FALSE)="INT",$E$7,IF(VLOOKUP($B$7&amp;"|1",Ref_Signatures!A:K,6,FALSE)="SAG",$E$8,IF(VLOOKUP($B$7&amp;"|1",Ref_Signatures!A:K,6,FALSE)="CHA",$E$9,0))))))+Moteur!B6+Moteur!R7,"")))</x:f>
        <x:v>13</x:v>
      </x:c>
      <x:c r="E31" s="34" t="str">
        <x:f>IF(A31="","",IF(VLOOKUP($B$7&amp;"|1",Ref_Signatures!A:K,8,FALSE)=0,"",VLOOKUP(MAX(1,ROUND($E$22*VLOOKUP($B$7&amp;"|1",Ref_Signatures!A:K,8,FALSE),0)),Ref_Des!A:C,2,TRUE)))</x:f>
        <x:v>2d12</x:v>
      </x:c>
      <x:c r="F31" s="34" t="n">
        <x:f>IF(A31="","",IF(VLOOKUP($B$7&amp;"|1",Ref_Signatures!A:K,8,FALSE)=0,"",VLOOKUP(MAX(1,ROUND($E$22*VLOOKUP($B$7&amp;"|1",Ref_Signatures!A:K,8,FALSE),0)),Ref_Des!A:C,3,TRUE)+IF(VLOOKUP($B$7&amp;"|1",Ref_Signatures!A:K,6,FALSE)="FOR",$E$4,IF(VLOOKUP($B$7&amp;"|1",Ref_Signatures!A:K,6,FALSE)="DEX",$E$5,IF(VLOOKUP($B$7&amp;"|1",Ref_Signatures!A:K,6,FALSE)="CON",$E$6,IF(VLOOKUP($B$7&amp;"|1",Ref_Signatures!A:K,6,FALSE)="INT",$E$7,IF(VLOOKUP($B$7&amp;"|1",Ref_Signatures!A:K,6,FALSE)="SAG",$E$8,IF(VLOOKUP($B$7&amp;"|1",Ref_Signatures!A:K,6,FALSE)="CHA",$E$9,0))))))))</x:f>
        <x:v>14</x:v>
      </x:c>
      <x:c r="G31" s="34" t="str">
        <x:f>IF(A31="","",VLOOKUP($B$7&amp;"|1",Ref_Signatures!A:K,9,FALSE))</x:f>
        <x:v>Élément associé ; moitié sur réussite</x:v>
      </x:c>
      <x:c r="H31" s="34" t="str">
        <x:f>IF(A31="","",IF(VLOOKUP($B$7&amp;"|1",Ref_Signatures!A:K,10,FALSE)&lt;&gt;0,"+"&amp;VLOOKUP($B$7&amp;"|1",Ref_Signatures!A:K,10,FALSE)&amp;" DEF",IF(VLOOKUP($B$7&amp;"|1",Ref_Signatures!A:K,11,FALSE)&lt;&gt;0,"+"&amp;VLOOKUP($B$7&amp;"|1",Ref_Signatures!A:K,11,FALSE)&amp;" m allonge","")))</x:f>
      </x:c>
    </x:row>
    <x:row r="32">
      <x:c r="A32" s="34" t="str">
        <x:f>IFERROR(VLOOKUP($B$7&amp;"|2",Ref_Signatures!A:K,3,FALSE),"")</x:f>
      </x:c>
      <x:c r="B32" s="34" t="str">
        <x:f>IF(A32="","",VLOOKUP($B$7&amp;"|2",Ref_Signatures!A:K,4,FALSE))</x:f>
      </x:c>
      <x:c r="C32" s="34" t="str">
        <x:f>IF(A32="","",VLOOKUP($B$7&amp;"|2",Ref_Signatures!A:K,5,FALSE))</x:f>
      </x:c>
      <x:c r="D32" s="34" t="str">
        <x:f>IF(A32="","",IF(VLOOKUP($B$7&amp;"|2",Ref_Signatures!A:K,7,FALSE)="Test opposé","Opposé",IF(VLOOKUP($B$7&amp;"|2",Ref_Signatures!A:K,7,FALSE)="DD capacité",10+IF(VLOOKUP($B$7&amp;"|2",Ref_Signatures!A:K,6,FALSE)="FOR",$E$4,IF(VLOOKUP($B$7&amp;"|2",Ref_Signatures!A:K,6,FALSE)="DEX",$E$5,IF(VLOOKUP($B$7&amp;"|2",Ref_Signatures!A:K,6,FALSE)="CON",$E$6,IF(VLOOKUP($B$7&amp;"|2",Ref_Signatures!A:K,6,FALSE)="INT",$E$7,IF(VLOOKUP($B$7&amp;"|2",Ref_Signatures!A:K,6,FALSE)="SAG",$E$8,IF(VLOOKUP($B$7&amp;"|2",Ref_Signatures!A:K,6,FALSE)="CHA",$E$9,0))))))+Moteur!B6+Moteur!R7,"")))</x:f>
      </x:c>
      <x:c r="E32" s="34" t="str">
        <x:f>IF(A32="","",IF(VLOOKUP($B$7&amp;"|2",Ref_Signatures!A:K,8,FALSE)=0,"",VLOOKUP(MAX(1,ROUND($E$22*VLOOKUP($B$7&amp;"|2",Ref_Signatures!A:K,8,FALSE),0)),Ref_Des!A:C,2,TRUE)))</x:f>
      </x:c>
      <x:c r="F32" s="34" t="str">
        <x:f>IF(A32="","",IF(VLOOKUP($B$7&amp;"|2",Ref_Signatures!A:K,8,FALSE)=0,"",VLOOKUP(MAX(1,ROUND($E$22*VLOOKUP($B$7&amp;"|2",Ref_Signatures!A:K,8,FALSE),0)),Ref_Des!A:C,3,TRUE)+IF(VLOOKUP($B$7&amp;"|2",Ref_Signatures!A:K,6,FALSE)="FOR",$E$4,IF(VLOOKUP($B$7&amp;"|2",Ref_Signatures!A:K,6,FALSE)="DEX",$E$5,IF(VLOOKUP($B$7&amp;"|2",Ref_Signatures!A:K,6,FALSE)="CON",$E$6,IF(VLOOKUP($B$7&amp;"|2",Ref_Signatures!A:K,6,FALSE)="INT",$E$7,IF(VLOOKUP($B$7&amp;"|2",Ref_Signatures!A:K,6,FALSE)="SAG",$E$8,IF(VLOOKUP($B$7&amp;"|2",Ref_Signatures!A:K,6,FALSE)="CHA",$E$9,0))))))))</x:f>
      </x:c>
      <x:c r="G32" s="34" t="str">
        <x:f>IF(A32="","",VLOOKUP($B$7&amp;"|2",Ref_Signatures!A:K,9,FALSE))</x:f>
      </x:c>
      <x:c r="H32" s="34" t="str">
        <x:f>IF(A32="","",IF(VLOOKUP($B$7&amp;"|2",Ref_Signatures!A:K,10,FALSE)&lt;&gt;0,"+"&amp;VLOOKUP($B$7&amp;"|2",Ref_Signatures!A:K,10,FALSE)&amp;" DEF",IF(VLOOKUP($B$7&amp;"|2",Ref_Signatures!A:K,11,FALSE)&lt;&gt;0,"+"&amp;VLOOKUP($B$7&amp;"|2",Ref_Signatures!A:K,11,FALSE)&amp;" m allonge","")))</x:f>
      </x:c>
    </x:row>
    <x:row r="33">
      <x:c r="A33" s="34" t="str">
        <x:f>IFERROR(VLOOKUP($B$7&amp;"|3",Ref_Signatures!A:K,3,FALSE),"")</x:f>
      </x:c>
      <x:c r="B33" s="34" t="str">
        <x:f>IF(A33="","",VLOOKUP($B$7&amp;"|3",Ref_Signatures!A:K,4,FALSE))</x:f>
      </x:c>
      <x:c r="C33" s="34" t="str">
        <x:f>IF(A33="","",VLOOKUP($B$7&amp;"|3",Ref_Signatures!A:K,5,FALSE))</x:f>
      </x:c>
      <x:c r="D33" s="34" t="str">
        <x:f>IF(A33="","",IF(VLOOKUP($B$7&amp;"|3",Ref_Signatures!A:K,7,FALSE)="Test opposé","Opposé",IF(VLOOKUP($B$7&amp;"|3",Ref_Signatures!A:K,7,FALSE)="DD capacité",10+IF(VLOOKUP($B$7&amp;"|3",Ref_Signatures!A:K,6,FALSE)="FOR",$E$4,IF(VLOOKUP($B$7&amp;"|3",Ref_Signatures!A:K,6,FALSE)="DEX",$E$5,IF(VLOOKUP($B$7&amp;"|3",Ref_Signatures!A:K,6,FALSE)="CON",$E$6,IF(VLOOKUP($B$7&amp;"|3",Ref_Signatures!A:K,6,FALSE)="INT",$E$7,IF(VLOOKUP($B$7&amp;"|3",Ref_Signatures!A:K,6,FALSE)="SAG",$E$8,IF(VLOOKUP($B$7&amp;"|3",Ref_Signatures!A:K,6,FALSE)="CHA",$E$9,0))))))+Moteur!B6+Moteur!R7,"")))</x:f>
      </x:c>
      <x:c r="E33" s="34" t="str">
        <x:f>IF(A33="","",IF(VLOOKUP($B$7&amp;"|3",Ref_Signatures!A:K,8,FALSE)=0,"",VLOOKUP(MAX(1,ROUND($E$22*VLOOKUP($B$7&amp;"|3",Ref_Signatures!A:K,8,FALSE),0)),Ref_Des!A:C,2,TRUE)))</x:f>
      </x:c>
      <x:c r="F33" s="34" t="str">
        <x:f>IF(A33="","",IF(VLOOKUP($B$7&amp;"|3",Ref_Signatures!A:K,8,FALSE)=0,"",VLOOKUP(MAX(1,ROUND($E$22*VLOOKUP($B$7&amp;"|3",Ref_Signatures!A:K,8,FALSE),0)),Ref_Des!A:C,3,TRUE)+IF(VLOOKUP($B$7&amp;"|3",Ref_Signatures!A:K,6,FALSE)="FOR",$E$4,IF(VLOOKUP($B$7&amp;"|3",Ref_Signatures!A:K,6,FALSE)="DEX",$E$5,IF(VLOOKUP($B$7&amp;"|3",Ref_Signatures!A:K,6,FALSE)="CON",$E$6,IF(VLOOKUP($B$7&amp;"|3",Ref_Signatures!A:K,6,FALSE)="INT",$E$7,IF(VLOOKUP($B$7&amp;"|3",Ref_Signatures!A:K,6,FALSE)="SAG",$E$8,IF(VLOOKUP($B$7&amp;"|3",Ref_Signatures!A:K,6,FALSE)="CHA",$E$9,0))))))))</x:f>
      </x:c>
      <x:c r="G33" s="34" t="str">
        <x:f>IF(A33="","",VLOOKUP($B$7&amp;"|3",Ref_Signatures!A:K,9,FALSE))</x:f>
      </x:c>
      <x:c r="H33" s="34" t="str">
        <x:f>IF(A33="","",IF(VLOOKUP($B$7&amp;"|3",Ref_Signatures!A:K,10,FALSE)&lt;&gt;0,"+"&amp;VLOOKUP($B$7&amp;"|3",Ref_Signatures!A:K,10,FALSE)&amp;" DEF",IF(VLOOKUP($B$7&amp;"|3",Ref_Signatures!A:K,11,FALSE)&lt;&gt;0,"+"&amp;VLOOKUP($B$7&amp;"|3",Ref_Signatures!A:K,11,FALSE)&amp;" m allonge","")))</x:f>
      </x:c>
    </x:row>
    <x:row r="34">
      <x:c r="A34" s="34" t="str">
        <x:f>IFERROR(VLOOKUP($B$7&amp;"|4",Ref_Signatures!A:K,3,FALSE),"")</x:f>
      </x:c>
      <x:c r="B34" s="34" t="str">
        <x:f>IF(A34="","",VLOOKUP($B$7&amp;"|4",Ref_Signatures!A:K,4,FALSE))</x:f>
      </x:c>
      <x:c r="C34" s="34" t="str">
        <x:f>IF(A34="","",VLOOKUP($B$7&amp;"|4",Ref_Signatures!A:K,5,FALSE))</x:f>
      </x:c>
      <x:c r="D34" s="34" t="str">
        <x:f>IF(A34="","",IF(VLOOKUP($B$7&amp;"|4",Ref_Signatures!A:K,7,FALSE)="Test opposé","Opposé",IF(VLOOKUP($B$7&amp;"|4",Ref_Signatures!A:K,7,FALSE)="DD capacité",10+IF(VLOOKUP($B$7&amp;"|4",Ref_Signatures!A:K,6,FALSE)="FOR",$E$4,IF(VLOOKUP($B$7&amp;"|4",Ref_Signatures!A:K,6,FALSE)="DEX",$E$5,IF(VLOOKUP($B$7&amp;"|4",Ref_Signatures!A:K,6,FALSE)="CON",$E$6,IF(VLOOKUP($B$7&amp;"|4",Ref_Signatures!A:K,6,FALSE)="INT",$E$7,IF(VLOOKUP($B$7&amp;"|4",Ref_Signatures!A:K,6,FALSE)="SAG",$E$8,IF(VLOOKUP($B$7&amp;"|4",Ref_Signatures!A:K,6,FALSE)="CHA",$E$9,0))))))+Moteur!B6+Moteur!R7,"")))</x:f>
      </x:c>
      <x:c r="E34" s="34" t="str">
        <x:f>IF(A34="","",IF(VLOOKUP($B$7&amp;"|4",Ref_Signatures!A:K,8,FALSE)=0,"",VLOOKUP(MAX(1,ROUND($E$22*VLOOKUP($B$7&amp;"|4",Ref_Signatures!A:K,8,FALSE),0)),Ref_Des!A:C,2,TRUE)))</x:f>
      </x:c>
      <x:c r="F34" s="34" t="str">
        <x:f>IF(A34="","",IF(VLOOKUP($B$7&amp;"|4",Ref_Signatures!A:K,8,FALSE)=0,"",VLOOKUP(MAX(1,ROUND($E$22*VLOOKUP($B$7&amp;"|4",Ref_Signatures!A:K,8,FALSE),0)),Ref_Des!A:C,3,TRUE)+IF(VLOOKUP($B$7&amp;"|4",Ref_Signatures!A:K,6,FALSE)="FOR",$E$4,IF(VLOOKUP($B$7&amp;"|4",Ref_Signatures!A:K,6,FALSE)="DEX",$E$5,IF(VLOOKUP($B$7&amp;"|4",Ref_Signatures!A:K,6,FALSE)="CON",$E$6,IF(VLOOKUP($B$7&amp;"|4",Ref_Signatures!A:K,6,FALSE)="INT",$E$7,IF(VLOOKUP($B$7&amp;"|4",Ref_Signatures!A:K,6,FALSE)="SAG",$E$8,IF(VLOOKUP($B$7&amp;"|4",Ref_Signatures!A:K,6,FALSE)="CHA",$E$9,0))))))))</x:f>
      </x:c>
      <x:c r="G34" s="34" t="str">
        <x:f>IF(A34="","",VLOOKUP($B$7&amp;"|4",Ref_Signatures!A:K,9,FALSE))</x:f>
      </x:c>
      <x:c r="H34" s="34" t="str">
        <x:f>IF(A34="","",IF(VLOOKUP($B$7&amp;"|4",Ref_Signatures!A:K,10,FALSE)&lt;&gt;0,"+"&amp;VLOOKUP($B$7&amp;"|4",Ref_Signatures!A:K,10,FALSE)&amp;" DEF",IF(VLOOKUP($B$7&amp;"|4",Ref_Signatures!A:K,11,FALSE)&lt;&gt;0,"+"&amp;VLOOKUP($B$7&amp;"|4",Ref_Signatures!A:K,11,FALSE)&amp;" m allonge","")))</x:f>
      </x:c>
    </x:row>
    <x:row r="35">
      <x:c r="A35" s="31"/>
      <x:c r="B35" s="31"/>
      <x:c r="C35" s="31"/>
      <x:c r="D35" s="31"/>
      <x:c r="E35" s="31"/>
      <x:c r="F35" s="31"/>
      <x:c r="G35" s="31"/>
      <x:c r="H35" s="31"/>
    </x:row>
    <x:row r="36">
      <x:c r="A36" s="31"/>
      <x:c r="B36" s="31"/>
      <x:c r="C36" s="31"/>
      <x:c r="D36" s="31"/>
      <x:c r="E36" s="31"/>
      <x:c r="F36" s="31"/>
      <x:c r="G36" s="31"/>
      <x:c r="H36" s="31"/>
    </x:row>
    <x:row r="37">
      <x:c r="A37" s="32" t="str">
        <x:v>ATTAQUES</x:v>
      </x:c>
      <x:c r="B37" s="32"/>
      <x:c r="C37" s="32"/>
      <x:c r="D37" s="32"/>
      <x:c r="E37" s="32"/>
      <x:c r="F37" s="32"/>
      <x:c r="G37" s="32"/>
      <x:c r="H37" s="32"/>
    </x:row>
    <x:row r="38">
      <x:c r="A38" s="36" t="str">
        <x:v>Nom</x:v>
      </x:c>
      <x:c r="B38" s="36" t="str">
        <x:v>Type DM</x:v>
      </x:c>
      <x:c r="C38" s="36" t="str">
        <x:v>Stat</x:v>
      </x:c>
      <x:c r="D38" s="36" t="str">
        <x:v>Portée</x:v>
      </x:c>
      <x:c r="E38" s="36" t="str">
        <x:v>Dés</x:v>
      </x:c>
      <x:c r="F38" s="36" t="str">
        <x:v>Bonus carac</x:v>
      </x:c>
      <x:c r="G38" s="36" t="str">
        <x:v>Toucher</x:v>
      </x:c>
      <x:c r="H38" s="36" t="str">
        <x:v>DM moyen</x:v>
      </x:c>
    </x:row>
    <x:row r="39">
      <x:c r="A39" s="33" t="str">
        <x:v>Attaque principale</x:v>
      </x:c>
      <x:c r="B39" s="94" t="str">
        <x:v>Tranchant</x:v>
      </x:c>
      <x:c r="C39" s="33" t="str">
        <x:v>FOR</x:v>
      </x:c>
      <x:c r="D39" s="33" t="str">
        <x:v>Contact</x:v>
      </x:c>
      <x:c r="E39" s="34" t="str">
        <x:f>IF(A39="","",VLOOKUP(MAX(1,$E$22),Ref_Des!A:C,2,TRUE))</x:f>
        <x:v>2d12</x:v>
      </x:c>
      <x:c r="F39" s="34" t="n">
        <x:f>IF(A39="","",IF(C39="FOR",$E$4,IF(C39="DEX",$E$5,IF(C39="CON",$E$6,IF(C39="INT",$E$7,IF(C39="SAG",$E$8,IF(C39="CHA",$E$9,0)))))))</x:f>
        <x:v>5</x:v>
      </x:c>
      <x:c r="G39" s="34" t="n">
        <x:f>IF(A39="","",IF(C39="FOR",$E$4,IF(C39="DEX",$E$5,IF(C39="CON",$E$6,IF(C39="INT",$E$7,IF(C39="SAG",$E$8,IF(C39="CHA",$E$9,0))))))+Moteur!B6+Moteur!R4)</x:f>
        <x:v>7</x:v>
      </x:c>
      <x:c r="H39" s="34" t="n">
        <x:f>IF(A39="","",VLOOKUP(MAX(1,$E$22),Ref_Des!A:C,3,TRUE)+F39)</x:f>
        <x:v>18</x:v>
      </x:c>
    </x:row>
    <x:row r="40">
      <x:c r="A40" s="33" t="str">
        <x:v>Attaque secondaire</x:v>
      </x:c>
      <x:c r="B40" s="94" t="str">
        <x:v>Perforant</x:v>
      </x:c>
      <x:c r="C40" s="33" t="str">
        <x:v>DEX</x:v>
      </x:c>
      <x:c r="D40" s="33" t="str">
        <x:v>Courte</x:v>
      </x:c>
      <x:c r="E40" s="34" t="str">
        <x:f>IF(A40="","",VLOOKUP(MAX(1,$E$22),Ref_Des!A:C,2,TRUE))</x:f>
        <x:v>2d12</x:v>
      </x:c>
      <x:c r="F40" s="34" t="n">
        <x:f>IF(A40="","",IF(C40="FOR",$E$4,IF(C40="DEX",$E$5,IF(C40="CON",$E$6,IF(C40="INT",$E$7,IF(C40="SAG",$E$8,IF(C40="CHA",$E$9,0)))))))</x:f>
        <x:v>3</x:v>
      </x:c>
      <x:c r="G40" s="34" t="n">
        <x:f>IF(A40="","",IF(C40="FOR",$E$4,IF(C40="DEX",$E$5,IF(C40="CON",$E$6,IF(C40="INT",$E$7,IF(C40="SAG",$E$8,IF(C40="CHA",$E$9,0))))))+Moteur!B6+Moteur!R4)</x:f>
        <x:v>5</x:v>
      </x:c>
      <x:c r="H40" s="34" t="n">
        <x:f>IF(A40="","",VLOOKUP(MAX(1,$E$22),Ref_Des!A:C,3,TRUE)+F40)</x:f>
        <x:v>16</x:v>
      </x:c>
    </x:row>
    <x:row r="41">
      <x:c r="A41" s="33" t="str"/>
      <x:c r="B41" s="94" t="str"/>
      <x:c r="C41" s="33" t="str"/>
      <x:c r="D41" s="33" t="str"/>
      <x:c r="E41" s="34" t="str">
        <x:f>IF(A41="","",VLOOKUP(MAX(1,$E$22),Ref_Des!A:C,2,TRUE))</x:f>
      </x:c>
      <x:c r="F41" s="34" t="str">
        <x:f>IF(A41="","",IF(C41="FOR",$E$4,IF(C41="DEX",$E$5,IF(C41="CON",$E$6,IF(C41="INT",$E$7,IF(C41="SAG",$E$8,IF(C41="CHA",$E$9,0)))))))</x:f>
      </x:c>
      <x:c r="G41" s="34" t="str">
        <x:f>IF(A41="","",IF(C41="FOR",$E$4,IF(C41="DEX",$E$5,IF(C41="CON",$E$6,IF(C41="INT",$E$7,IF(C41="SAG",$E$8,IF(C41="CHA",$E$9,0))))))+Moteur!B6+Moteur!R4)</x:f>
      </x:c>
      <x:c r="H41" s="34" t="str">
        <x:f>IF(A41="","",VLOOKUP(MAX(1,$E$22),Ref_Des!A:C,3,TRUE)+F41)</x:f>
      </x:c>
    </x:row>
    <x:row r="42">
      <x:c r="A42" s="33" t="str"/>
      <x:c r="B42" s="94" t="str"/>
      <x:c r="C42" s="33" t="str"/>
      <x:c r="D42" s="33" t="str"/>
      <x:c r="E42" s="34" t="str">
        <x:f>IF(A42="","",VLOOKUP(MAX(1,$E$22),Ref_Des!A:C,2,TRUE))</x:f>
      </x:c>
      <x:c r="F42" s="34" t="str">
        <x:f>IF(A42="","",IF(C42="FOR",$E$4,IF(C42="DEX",$E$5,IF(C42="CON",$E$6,IF(C42="INT",$E$7,IF(C42="SAG",$E$8,IF(C42="CHA",$E$9,0)))))))</x:f>
      </x:c>
      <x:c r="G42" s="34" t="str">
        <x:f>IF(A42="","",IF(C42="FOR",$E$4,IF(C42="DEX",$E$5,IF(C42="CON",$E$6,IF(C42="INT",$E$7,IF(C42="SAG",$E$8,IF(C42="CHA",$E$9,0))))))+Moteur!B6+Moteur!R4)</x:f>
      </x:c>
      <x:c r="H42" s="34" t="str">
        <x:f>IF(A42="","",VLOOKUP(MAX(1,$E$22),Ref_Des!A:C,3,TRUE)+F42)</x:f>
      </x:c>
    </x:row>
    <x:row r="43">
      <x:c r="A43" s="35" t="str">
        <x:v>Critique : dégâts finaux ×2 · Courte 10 m · Moyenne 15 m · Longue 20 m</x:v>
      </x:c>
      <x:c r="B43" s="35"/>
      <x:c r="C43" s="35"/>
      <x:c r="D43" s="35"/>
      <x:c r="E43" s="35"/>
      <x:c r="F43" s="35"/>
      <x:c r="G43" s="35"/>
      <x:c r="H43" s="35"/>
    </x:row>
    <x:row r="44">
      <x:c r="A44" s="31"/>
      <x:c r="B44" s="31"/>
      <x:c r="C44" s="31"/>
      <x:c r="D44" s="31"/>
      <x:c r="E44" s="31"/>
      <x:c r="F44" s="31"/>
      <x:c r="G44" s="31"/>
      <x:c r="H44" s="31"/>
    </x:row>
    <x:row r="45">
      <x:c r="A45" s="31"/>
      <x:c r="B45" s="31"/>
      <x:c r="C45" s="31"/>
      <x:c r="D45" s="31"/>
      <x:c r="E45" s="31"/>
      <x:c r="F45" s="31"/>
      <x:c r="G45" s="31"/>
      <x:c r="H45" s="31"/>
    </x:row>
    <x:row r="46">
      <x:c r="A46" s="32" t="str">
        <x:v>CAPACITÉS SUPPLÉMENTAIRES</x:v>
      </x:c>
      <x:c r="B46" s="32"/>
      <x:c r="C46" s="32"/>
      <x:c r="D46" s="32"/>
      <x:c r="E46" s="32"/>
      <x:c r="F46" s="32"/>
      <x:c r="G46" s="32"/>
      <x:c r="H46" s="32"/>
    </x:row>
    <x:row r="47">
      <x:c r="A47" s="36" t="str">
        <x:v>Nom</x:v>
      </x:c>
      <x:c r="B47" s="36" t="str">
        <x:v>Coût</x:v>
      </x:c>
      <x:c r="C47" s="36" t="str">
        <x:v>Usage</x:v>
      </x:c>
      <x:c r="D47" s="36" t="str">
        <x:v>DD/Test</x:v>
      </x:c>
      <x:c r="E47" s="36" t="str">
        <x:v>Dés</x:v>
      </x:c>
      <x:c r="F47" s="36" t="str">
        <x:v>DM moyen</x:v>
      </x:c>
      <x:c r="G47" s="36" t="str">
        <x:v>Effet</x:v>
      </x:c>
      <x:c r="H47" s="36" t="str">
        <x:v>Reste</x:v>
      </x:c>
    </x:row>
    <x:row r="48">
      <x:c r="A48" s="33" t="str"/>
      <x:c r="B48" s="34" t="str">
        <x:f>IF(A48="","",VLOOKUP(A48,Ref_Capacites!A:H,2,FALSE))</x:f>
      </x:c>
      <x:c r="C48" s="34" t="str">
        <x:f>IF(A48="","",VLOOKUP(A48,Ref_Capacites!A:H,4,FALSE))</x:f>
      </x:c>
      <x:c r="D48" s="34" t="str">
        <x:f>IF(A48="","",IF(VLOOKUP(A48,Ref_Capacites!A:H,6,FALSE)="Test opposé","Opposé",IF(VLOOKUP(A48,Ref_Capacites!A:H,6,FALSE)="DD capacité",10+IF(VLOOKUP(A48,Ref_Capacites!A:H,5,FALSE)="FOR",$E$4,IF(VLOOKUP(A48,Ref_Capacites!A:H,5,FALSE)="DEX",$E$5,IF(VLOOKUP(A48,Ref_Capacites!A:H,5,FALSE)="CON",$E$6,IF(VLOOKUP(A48,Ref_Capacites!A:H,5,FALSE)="INT",$E$7,IF(VLOOKUP(A48,Ref_Capacites!A:H,5,FALSE)="SAG",$E$8,IF(VLOOKUP(A48,Ref_Capacites!A:H,5,FALSE)="CHA",$E$9,0))))))+Moteur!B6+Moteur!R7,"")))</x:f>
      </x:c>
      <x:c r="E48" s="34" t="str">
        <x:f>IF(A48="","",IF(VLOOKUP(A48,Ref_Capacites!A:H,7,FALSE)=0,"",VLOOKUP(MAX(1,ROUND($E$22*VLOOKUP(A48,Ref_Capacites!A:H,7,FALSE),0)),Ref_Des!A:C,2,TRUE)))</x:f>
      </x:c>
      <x:c r="F48" s="34" t="str">
        <x:f>IF(A48="","",IF(VLOOKUP(A48,Ref_Capacites!A:H,7,FALSE)=0,"",VLOOKUP(MAX(1,ROUND($E$22*VLOOKUP(A48,Ref_Capacites!A:H,7,FALSE),0)),Ref_Des!A:C,3,TRUE)+IF(VLOOKUP(A48,Ref_Capacites!A:H,5,FALSE)="FOR",$E$4,IF(VLOOKUP(A48,Ref_Capacites!A:H,5,FALSE)="DEX",$E$5,IF(VLOOKUP(A48,Ref_Capacites!A:H,5,FALSE)="CON",$E$6,IF(VLOOKUP(A48,Ref_Capacites!A:H,5,FALSE)="INT",$E$7,IF(VLOOKUP(A48,Ref_Capacites!A:H,5,FALSE)="SAG",$E$8,IF(VLOOKUP(A48,Ref_Capacites!A:H,5,FALSE)="CHA",$E$9,0))))))))</x:f>
      </x:c>
      <x:c r="G48" s="34" t="str">
        <x:f>IF(A48="","",VLOOKUP(A48,Ref_Capacites!A:H,8,FALSE))</x:f>
      </x:c>
      <x:c r="H48" s="34" t="n">
        <x:f>$E$23-SUM($B$48:$B$55)-SUM($C$60:$C$65)</x:f>
        <x:v>3</x:v>
      </x:c>
    </x:row>
    <x:row r="49">
      <x:c r="A49" s="33" t="str"/>
      <x:c r="B49" s="34" t="str">
        <x:f>IF(A49="","",VLOOKUP(A49,Ref_Capacites!A:H,2,FALSE))</x:f>
      </x:c>
      <x:c r="C49" s="34" t="str">
        <x:f>IF(A49="","",VLOOKUP(A49,Ref_Capacites!A:H,4,FALSE))</x:f>
      </x:c>
      <x:c r="D49" s="34" t="str">
        <x:f>IF(A49="","",IF(VLOOKUP(A49,Ref_Capacites!A:H,6,FALSE)="Test opposé","Opposé",IF(VLOOKUP(A49,Ref_Capacites!A:H,6,FALSE)="DD capacité",10+IF(VLOOKUP(A49,Ref_Capacites!A:H,5,FALSE)="FOR",$E$4,IF(VLOOKUP(A49,Ref_Capacites!A:H,5,FALSE)="DEX",$E$5,IF(VLOOKUP(A49,Ref_Capacites!A:H,5,FALSE)="CON",$E$6,IF(VLOOKUP(A49,Ref_Capacites!A:H,5,FALSE)="INT",$E$7,IF(VLOOKUP(A49,Ref_Capacites!A:H,5,FALSE)="SAG",$E$8,IF(VLOOKUP(A49,Ref_Capacites!A:H,5,FALSE)="CHA",$E$9,0))))))+Moteur!B6+Moteur!R7,"")))</x:f>
      </x:c>
      <x:c r="E49" s="34" t="str">
        <x:f>IF(A49="","",IF(VLOOKUP(A49,Ref_Capacites!A:H,7,FALSE)=0,"",VLOOKUP(MAX(1,ROUND($E$22*VLOOKUP(A49,Ref_Capacites!A:H,7,FALSE),0)),Ref_Des!A:C,2,TRUE)))</x:f>
      </x:c>
      <x:c r="F49" s="34" t="str">
        <x:f>IF(A49="","",IF(VLOOKUP(A49,Ref_Capacites!A:H,7,FALSE)=0,"",VLOOKUP(MAX(1,ROUND($E$22*VLOOKUP(A49,Ref_Capacites!A:H,7,FALSE),0)),Ref_Des!A:C,3,TRUE)+IF(VLOOKUP(A49,Ref_Capacites!A:H,5,FALSE)="FOR",$E$4,IF(VLOOKUP(A49,Ref_Capacites!A:H,5,FALSE)="DEX",$E$5,IF(VLOOKUP(A49,Ref_Capacites!A:H,5,FALSE)="CON",$E$6,IF(VLOOKUP(A49,Ref_Capacites!A:H,5,FALSE)="INT",$E$7,IF(VLOOKUP(A49,Ref_Capacites!A:H,5,FALSE)="SAG",$E$8,IF(VLOOKUP(A49,Ref_Capacites!A:H,5,FALSE)="CHA",$E$9,0))))))))</x:f>
      </x:c>
      <x:c r="G49" s="34" t="str">
        <x:f>IF(A49="","",VLOOKUP(A49,Ref_Capacites!A:H,8,FALSE))</x:f>
      </x:c>
      <x:c r="H49" s="31"/>
    </x:row>
    <x:row r="50">
      <x:c r="A50" s="33" t="str"/>
      <x:c r="B50" s="34" t="str">
        <x:f>IF(A50="","",VLOOKUP(A50,Ref_Capacites!A:H,2,FALSE))</x:f>
      </x:c>
      <x:c r="C50" s="34" t="str">
        <x:f>IF(A50="","",VLOOKUP(A50,Ref_Capacites!A:H,4,FALSE))</x:f>
      </x:c>
      <x:c r="D50" s="34" t="str">
        <x:f>IF(A50="","",IF(VLOOKUP(A50,Ref_Capacites!A:H,6,FALSE)="Test opposé","Opposé",IF(VLOOKUP(A50,Ref_Capacites!A:H,6,FALSE)="DD capacité",10+IF(VLOOKUP(A50,Ref_Capacites!A:H,5,FALSE)="FOR",$E$4,IF(VLOOKUP(A50,Ref_Capacites!A:H,5,FALSE)="DEX",$E$5,IF(VLOOKUP(A50,Ref_Capacites!A:H,5,FALSE)="CON",$E$6,IF(VLOOKUP(A50,Ref_Capacites!A:H,5,FALSE)="INT",$E$7,IF(VLOOKUP(A50,Ref_Capacites!A:H,5,FALSE)="SAG",$E$8,IF(VLOOKUP(A50,Ref_Capacites!A:H,5,FALSE)="CHA",$E$9,0))))))+Moteur!B6+Moteur!R7,"")))</x:f>
      </x:c>
      <x:c r="E50" s="34" t="str">
        <x:f>IF(A50="","",IF(VLOOKUP(A50,Ref_Capacites!A:H,7,FALSE)=0,"",VLOOKUP(MAX(1,ROUND($E$22*VLOOKUP(A50,Ref_Capacites!A:H,7,FALSE),0)),Ref_Des!A:C,2,TRUE)))</x:f>
      </x:c>
      <x:c r="F50" s="34" t="str">
        <x:f>IF(A50="","",IF(VLOOKUP(A50,Ref_Capacites!A:H,7,FALSE)=0,"",VLOOKUP(MAX(1,ROUND($E$22*VLOOKUP(A50,Ref_Capacites!A:H,7,FALSE),0)),Ref_Des!A:C,3,TRUE)+IF(VLOOKUP(A50,Ref_Capacites!A:H,5,FALSE)="FOR",$E$4,IF(VLOOKUP(A50,Ref_Capacites!A:H,5,FALSE)="DEX",$E$5,IF(VLOOKUP(A50,Ref_Capacites!A:H,5,FALSE)="CON",$E$6,IF(VLOOKUP(A50,Ref_Capacites!A:H,5,FALSE)="INT",$E$7,IF(VLOOKUP(A50,Ref_Capacites!A:H,5,FALSE)="SAG",$E$8,IF(VLOOKUP(A50,Ref_Capacites!A:H,5,FALSE)="CHA",$E$9,0))))))))</x:f>
      </x:c>
      <x:c r="G50" s="34" t="str">
        <x:f>IF(A50="","",VLOOKUP(A50,Ref_Capacites!A:H,8,FALSE))</x:f>
      </x:c>
      <x:c r="H50" s="31"/>
    </x:row>
    <x:row r="51">
      <x:c r="A51" s="33" t="str"/>
      <x:c r="B51" s="34" t="str">
        <x:f>IF(A51="","",VLOOKUP(A51,Ref_Capacites!A:H,2,FALSE))</x:f>
      </x:c>
      <x:c r="C51" s="34" t="str">
        <x:f>IF(A51="","",VLOOKUP(A51,Ref_Capacites!A:H,4,FALSE))</x:f>
      </x:c>
      <x:c r="D51" s="34" t="str">
        <x:f>IF(A51="","",IF(VLOOKUP(A51,Ref_Capacites!A:H,6,FALSE)="Test opposé","Opposé",IF(VLOOKUP(A51,Ref_Capacites!A:H,6,FALSE)="DD capacité",10+IF(VLOOKUP(A51,Ref_Capacites!A:H,5,FALSE)="FOR",$E$4,IF(VLOOKUP(A51,Ref_Capacites!A:H,5,FALSE)="DEX",$E$5,IF(VLOOKUP(A51,Ref_Capacites!A:H,5,FALSE)="CON",$E$6,IF(VLOOKUP(A51,Ref_Capacites!A:H,5,FALSE)="INT",$E$7,IF(VLOOKUP(A51,Ref_Capacites!A:H,5,FALSE)="SAG",$E$8,IF(VLOOKUP(A51,Ref_Capacites!A:H,5,FALSE)="CHA",$E$9,0))))))+Moteur!B6+Moteur!R7,"")))</x:f>
      </x:c>
      <x:c r="E51" s="34" t="str">
        <x:f>IF(A51="","",IF(VLOOKUP(A51,Ref_Capacites!A:H,7,FALSE)=0,"",VLOOKUP(MAX(1,ROUND($E$22*VLOOKUP(A51,Ref_Capacites!A:H,7,FALSE),0)),Ref_Des!A:C,2,TRUE)))</x:f>
      </x:c>
      <x:c r="F51" s="34" t="str">
        <x:f>IF(A51="","",IF(VLOOKUP(A51,Ref_Capacites!A:H,7,FALSE)=0,"",VLOOKUP(MAX(1,ROUND($E$22*VLOOKUP(A51,Ref_Capacites!A:H,7,FALSE),0)),Ref_Des!A:C,3,TRUE)+IF(VLOOKUP(A51,Ref_Capacites!A:H,5,FALSE)="FOR",$E$4,IF(VLOOKUP(A51,Ref_Capacites!A:H,5,FALSE)="DEX",$E$5,IF(VLOOKUP(A51,Ref_Capacites!A:H,5,FALSE)="CON",$E$6,IF(VLOOKUP(A51,Ref_Capacites!A:H,5,FALSE)="INT",$E$7,IF(VLOOKUP(A51,Ref_Capacites!A:H,5,FALSE)="SAG",$E$8,IF(VLOOKUP(A51,Ref_Capacites!A:H,5,FALSE)="CHA",$E$9,0))))))))</x:f>
      </x:c>
      <x:c r="G51" s="34" t="str">
        <x:f>IF(A51="","",VLOOKUP(A51,Ref_Capacites!A:H,8,FALSE))</x:f>
      </x:c>
      <x:c r="H51" s="31"/>
    </x:row>
    <x:row r="52">
      <x:c r="A52" s="33" t="str"/>
      <x:c r="B52" s="34" t="str">
        <x:f>IF(A52="","",VLOOKUP(A52,Ref_Capacites!A:H,2,FALSE))</x:f>
      </x:c>
      <x:c r="C52" s="34" t="str">
        <x:f>IF(A52="","",VLOOKUP(A52,Ref_Capacites!A:H,4,FALSE))</x:f>
      </x:c>
      <x:c r="D52" s="34" t="str">
        <x:f>IF(A52="","",IF(VLOOKUP(A52,Ref_Capacites!A:H,6,FALSE)="Test opposé","Opposé",IF(VLOOKUP(A52,Ref_Capacites!A:H,6,FALSE)="DD capacité",10+IF(VLOOKUP(A52,Ref_Capacites!A:H,5,FALSE)="FOR",$E$4,IF(VLOOKUP(A52,Ref_Capacites!A:H,5,FALSE)="DEX",$E$5,IF(VLOOKUP(A52,Ref_Capacites!A:H,5,FALSE)="CON",$E$6,IF(VLOOKUP(A52,Ref_Capacites!A:H,5,FALSE)="INT",$E$7,IF(VLOOKUP(A52,Ref_Capacites!A:H,5,FALSE)="SAG",$E$8,IF(VLOOKUP(A52,Ref_Capacites!A:H,5,FALSE)="CHA",$E$9,0))))))+Moteur!B6+Moteur!R7,"")))</x:f>
      </x:c>
      <x:c r="E52" s="34" t="str">
        <x:f>IF(A52="","",IF(VLOOKUP(A52,Ref_Capacites!A:H,7,FALSE)=0,"",VLOOKUP(MAX(1,ROUND($E$22*VLOOKUP(A52,Ref_Capacites!A:H,7,FALSE),0)),Ref_Des!A:C,2,TRUE)))</x:f>
      </x:c>
      <x:c r="F52" s="34" t="str">
        <x:f>IF(A52="","",IF(VLOOKUP(A52,Ref_Capacites!A:H,7,FALSE)=0,"",VLOOKUP(MAX(1,ROUND($E$22*VLOOKUP(A52,Ref_Capacites!A:H,7,FALSE),0)),Ref_Des!A:C,3,TRUE)+IF(VLOOKUP(A52,Ref_Capacites!A:H,5,FALSE)="FOR",$E$4,IF(VLOOKUP(A52,Ref_Capacites!A:H,5,FALSE)="DEX",$E$5,IF(VLOOKUP(A52,Ref_Capacites!A:H,5,FALSE)="CON",$E$6,IF(VLOOKUP(A52,Ref_Capacites!A:H,5,FALSE)="INT",$E$7,IF(VLOOKUP(A52,Ref_Capacites!A:H,5,FALSE)="SAG",$E$8,IF(VLOOKUP(A52,Ref_Capacites!A:H,5,FALSE)="CHA",$E$9,0))))))))</x:f>
      </x:c>
      <x:c r="G52" s="34" t="str">
        <x:f>IF(A52="","",VLOOKUP(A52,Ref_Capacites!A:H,8,FALSE))</x:f>
      </x:c>
      <x:c r="H52" s="31"/>
    </x:row>
    <x:row r="53">
      <x:c r="A53" s="33" t="str"/>
      <x:c r="B53" s="34" t="str">
        <x:f>IF(A53="","",VLOOKUP(A53,Ref_Capacites!A:H,2,FALSE))</x:f>
      </x:c>
      <x:c r="C53" s="34" t="str">
        <x:f>IF(A53="","",VLOOKUP(A53,Ref_Capacites!A:H,4,FALSE))</x:f>
      </x:c>
      <x:c r="D53" s="34" t="str">
        <x:f>IF(A53="","",IF(VLOOKUP(A53,Ref_Capacites!A:H,6,FALSE)="Test opposé","Opposé",IF(VLOOKUP(A53,Ref_Capacites!A:H,6,FALSE)="DD capacité",10+IF(VLOOKUP(A53,Ref_Capacites!A:H,5,FALSE)="FOR",$E$4,IF(VLOOKUP(A53,Ref_Capacites!A:H,5,FALSE)="DEX",$E$5,IF(VLOOKUP(A53,Ref_Capacites!A:H,5,FALSE)="CON",$E$6,IF(VLOOKUP(A53,Ref_Capacites!A:H,5,FALSE)="INT",$E$7,IF(VLOOKUP(A53,Ref_Capacites!A:H,5,FALSE)="SAG",$E$8,IF(VLOOKUP(A53,Ref_Capacites!A:H,5,FALSE)="CHA",$E$9,0))))))+Moteur!B6+Moteur!R7,"")))</x:f>
      </x:c>
      <x:c r="E53" s="34" t="str">
        <x:f>IF(A53="","",IF(VLOOKUP(A53,Ref_Capacites!A:H,7,FALSE)=0,"",VLOOKUP(MAX(1,ROUND($E$22*VLOOKUP(A53,Ref_Capacites!A:H,7,FALSE),0)),Ref_Des!A:C,2,TRUE)))</x:f>
      </x:c>
      <x:c r="F53" s="34" t="str">
        <x:f>IF(A53="","",IF(VLOOKUP(A53,Ref_Capacites!A:H,7,FALSE)=0,"",VLOOKUP(MAX(1,ROUND($E$22*VLOOKUP(A53,Ref_Capacites!A:H,7,FALSE),0)),Ref_Des!A:C,3,TRUE)+IF(VLOOKUP(A53,Ref_Capacites!A:H,5,FALSE)="FOR",$E$4,IF(VLOOKUP(A53,Ref_Capacites!A:H,5,FALSE)="DEX",$E$5,IF(VLOOKUP(A53,Ref_Capacites!A:H,5,FALSE)="CON",$E$6,IF(VLOOKUP(A53,Ref_Capacites!A:H,5,FALSE)="INT",$E$7,IF(VLOOKUP(A53,Ref_Capacites!A:H,5,FALSE)="SAG",$E$8,IF(VLOOKUP(A53,Ref_Capacites!A:H,5,FALSE)="CHA",$E$9,0))))))))</x:f>
      </x:c>
      <x:c r="G53" s="34" t="str">
        <x:f>IF(A53="","",VLOOKUP(A53,Ref_Capacites!A:H,8,FALSE))</x:f>
      </x:c>
      <x:c r="H53" s="31"/>
    </x:row>
    <x:row r="54">
      <x:c r="A54" s="33" t="str"/>
      <x:c r="B54" s="34" t="str">
        <x:f>IF(A54="","",VLOOKUP(A54,Ref_Capacites!A:H,2,FALSE))</x:f>
      </x:c>
      <x:c r="C54" s="34" t="str">
        <x:f>IF(A54="","",VLOOKUP(A54,Ref_Capacites!A:H,4,FALSE))</x:f>
      </x:c>
      <x:c r="D54" s="34" t="str">
        <x:f>IF(A54="","",IF(VLOOKUP(A54,Ref_Capacites!A:H,6,FALSE)="Test opposé","Opposé",IF(VLOOKUP(A54,Ref_Capacites!A:H,6,FALSE)="DD capacité",10+IF(VLOOKUP(A54,Ref_Capacites!A:H,5,FALSE)="FOR",$E$4,IF(VLOOKUP(A54,Ref_Capacites!A:H,5,FALSE)="DEX",$E$5,IF(VLOOKUP(A54,Ref_Capacites!A:H,5,FALSE)="CON",$E$6,IF(VLOOKUP(A54,Ref_Capacites!A:H,5,FALSE)="INT",$E$7,IF(VLOOKUP(A54,Ref_Capacites!A:H,5,FALSE)="SAG",$E$8,IF(VLOOKUP(A54,Ref_Capacites!A:H,5,FALSE)="CHA",$E$9,0))))))+Moteur!B6+Moteur!R7,"")))</x:f>
      </x:c>
      <x:c r="E54" s="34" t="str">
        <x:f>IF(A54="","",IF(VLOOKUP(A54,Ref_Capacites!A:H,7,FALSE)=0,"",VLOOKUP(MAX(1,ROUND($E$22*VLOOKUP(A54,Ref_Capacites!A:H,7,FALSE),0)),Ref_Des!A:C,2,TRUE)))</x:f>
      </x:c>
      <x:c r="F54" s="34" t="str">
        <x:f>IF(A54="","",IF(VLOOKUP(A54,Ref_Capacites!A:H,7,FALSE)=0,"",VLOOKUP(MAX(1,ROUND($E$22*VLOOKUP(A54,Ref_Capacites!A:H,7,FALSE),0)),Ref_Des!A:C,3,TRUE)+IF(VLOOKUP(A54,Ref_Capacites!A:H,5,FALSE)="FOR",$E$4,IF(VLOOKUP(A54,Ref_Capacites!A:H,5,FALSE)="DEX",$E$5,IF(VLOOKUP(A54,Ref_Capacites!A:H,5,FALSE)="CON",$E$6,IF(VLOOKUP(A54,Ref_Capacites!A:H,5,FALSE)="INT",$E$7,IF(VLOOKUP(A54,Ref_Capacites!A:H,5,FALSE)="SAG",$E$8,IF(VLOOKUP(A54,Ref_Capacites!A:H,5,FALSE)="CHA",$E$9,0))))))))</x:f>
      </x:c>
      <x:c r="G54" s="34" t="str">
        <x:f>IF(A54="","",VLOOKUP(A54,Ref_Capacites!A:H,8,FALSE))</x:f>
      </x:c>
      <x:c r="H54" s="31"/>
    </x:row>
    <x:row r="55">
      <x:c r="A55" s="33" t="str"/>
      <x:c r="B55" s="34" t="str">
        <x:f>IF(A55="","",VLOOKUP(A55,Ref_Capacites!A:H,2,FALSE))</x:f>
      </x:c>
      <x:c r="C55" s="34" t="str">
        <x:f>IF(A55="","",VLOOKUP(A55,Ref_Capacites!A:H,4,FALSE))</x:f>
      </x:c>
      <x:c r="D55" s="34" t="str">
        <x:f>IF(A55="","",IF(VLOOKUP(A55,Ref_Capacites!A:H,6,FALSE)="Test opposé","Opposé",IF(VLOOKUP(A55,Ref_Capacites!A:H,6,FALSE)="DD capacité",10+IF(VLOOKUP(A55,Ref_Capacites!A:H,5,FALSE)="FOR",$E$4,IF(VLOOKUP(A55,Ref_Capacites!A:H,5,FALSE)="DEX",$E$5,IF(VLOOKUP(A55,Ref_Capacites!A:H,5,FALSE)="CON",$E$6,IF(VLOOKUP(A55,Ref_Capacites!A:H,5,FALSE)="INT",$E$7,IF(VLOOKUP(A55,Ref_Capacites!A:H,5,FALSE)="SAG",$E$8,IF(VLOOKUP(A55,Ref_Capacites!A:H,5,FALSE)="CHA",$E$9,0))))))+Moteur!B6+Moteur!R7,"")))</x:f>
      </x:c>
      <x:c r="E55" s="34" t="str">
        <x:f>IF(A55="","",IF(VLOOKUP(A55,Ref_Capacites!A:H,7,FALSE)=0,"",VLOOKUP(MAX(1,ROUND($E$22*VLOOKUP(A55,Ref_Capacites!A:H,7,FALSE),0)),Ref_Des!A:C,2,TRUE)))</x:f>
      </x:c>
      <x:c r="F55" s="34" t="str">
        <x:f>IF(A55="","",IF(VLOOKUP(A55,Ref_Capacites!A:H,7,FALSE)=0,"",VLOOKUP(MAX(1,ROUND($E$22*VLOOKUP(A55,Ref_Capacites!A:H,7,FALSE),0)),Ref_Des!A:C,3,TRUE)+IF(VLOOKUP(A55,Ref_Capacites!A:H,5,FALSE)="FOR",$E$4,IF(VLOOKUP(A55,Ref_Capacites!A:H,5,FALSE)="DEX",$E$5,IF(VLOOKUP(A55,Ref_Capacites!A:H,5,FALSE)="CON",$E$6,IF(VLOOKUP(A55,Ref_Capacites!A:H,5,FALSE)="INT",$E$7,IF(VLOOKUP(A55,Ref_Capacites!A:H,5,FALSE)="SAG",$E$8,IF(VLOOKUP(A55,Ref_Capacites!A:H,5,FALSE)="CHA",$E$9,0))))))))</x:f>
      </x:c>
      <x:c r="G55" s="34" t="str">
        <x:f>IF(A55="","",VLOOKUP(A55,Ref_Capacites!A:H,8,FALSE))</x:f>
      </x:c>
      <x:c r="H55" s="31"/>
    </x:row>
    <x:row r="56">
      <x:c r="A56" s="31"/>
      <x:c r="B56" s="31"/>
      <x:c r="C56" s="31"/>
      <x:c r="D56" s="31"/>
      <x:c r="E56" s="31"/>
      <x:c r="F56" s="31"/>
      <x:c r="G56" s="31"/>
      <x:c r="H56" s="31"/>
    </x:row>
    <x:row r="57">
      <x:c r="A57" s="31"/>
      <x:c r="B57" s="31"/>
      <x:c r="C57" s="31"/>
      <x:c r="D57" s="31"/>
      <x:c r="E57" s="31"/>
      <x:c r="F57" s="31"/>
      <x:c r="G57" s="31"/>
      <x:c r="H57" s="31"/>
    </x:row>
    <x:row r="58">
      <x:c r="A58" s="32" t="str">
        <x:v>SORTS</x:v>
      </x:c>
      <x:c r="B58" s="32"/>
      <x:c r="C58" s="32"/>
      <x:c r="D58" s="32"/>
      <x:c r="E58" s="32"/>
      <x:c r="F58" s="32"/>
      <x:c r="G58" s="32"/>
      <x:c r="H58" s="32"/>
    </x:row>
    <x:row r="59">
      <x:c r="A59" s="36" t="str">
        <x:v>Sort</x:v>
      </x:c>
      <x:c r="B59" s="36" t="str">
        <x:v>Rang</x:v>
      </x:c>
      <x:c r="C59" s="36" t="str">
        <x:v>Coût</x:v>
      </x:c>
      <x:c r="D59" s="36" t="str">
        <x:v>Portée</x:v>
      </x:c>
      <x:c r="E59" s="36" t="str">
        <x:v>DD/Toucher</x:v>
      </x:c>
      <x:c r="F59" s="36" t="str">
        <x:v>Dés</x:v>
      </x:c>
      <x:c r="G59" s="36" t="str">
        <x:v>DM moyen</x:v>
      </x:c>
      <x:c r="H59" s="36" t="str">
        <x:v>Effet</x:v>
      </x:c>
    </x:row>
    <x:row r="60">
      <x:c r="A60" s="33" t="str"/>
      <x:c r="B60" s="34" t="str">
        <x:f>IF(A60="","",VLOOKUP(A60,Ref_Sorts!A:J,2,FALSE))</x:f>
      </x:c>
      <x:c r="C60" s="34" t="str">
        <x:f>IF(A60="","",VLOOKUP(A60,Ref_Sorts!A:J,3,FALSE))</x:f>
      </x:c>
      <x:c r="D60" s="34" t="str">
        <x:f>IF(A60="","",VLOOKUP(A60,Ref_Sorts!A:J,6,FALSE))</x:f>
      </x:c>
      <x:c r="E60" s="34" t="str">
        <x:f>IF(A60="","",IF(VLOOKUP(A60,Ref_Sorts!A:J,7,FALSE)="Attaque",IF(VLOOKUP(A60,Ref_Sorts!A:J,5,FALSE)="FOR",$E$4,IF(VLOOKUP(A60,Ref_Sorts!A:J,5,FALSE)="DEX",$E$5,IF(VLOOKUP(A60,Ref_Sorts!A:J,5,FALSE)="CON",$E$6,IF(VLOOKUP(A60,Ref_Sorts!A:J,5,FALSE)="INT",$E$7,IF(VLOOKUP(A60,Ref_Sorts!A:J,5,FALSE)="SAG",$E$8,IF(VLOOKUP(A60,Ref_Sorts!A:J,5,FALSE)="CHA",$E$9,0))))))+Moteur!B6+Moteur!R4,IF(VLOOKUP(A60,Ref_Sorts!A:J,7,FALSE)="DD capacité",10+IF(VLOOKUP(A60,Ref_Sorts!A:J,5,FALSE)="FOR",$E$4,IF(VLOOKUP(A60,Ref_Sorts!A:J,5,FALSE)="DEX",$E$5,IF(VLOOKUP(A60,Ref_Sorts!A:J,5,FALSE)="CON",$E$6,IF(VLOOKUP(A60,Ref_Sorts!A:J,5,FALSE)="INT",$E$7,IF(VLOOKUP(A60,Ref_Sorts!A:J,5,FALSE)="SAG",$E$8,IF(VLOOKUP(A60,Ref_Sorts!A:J,5,FALSE)="CHA",$E$9,0))))))+Moteur!B6+Moteur!R7,"")))</x:f>
      </x:c>
      <x:c r="F60" s="34" t="str">
        <x:f>IF(A60="","",IF(VLOOKUP(A60,Ref_Sorts!A:J,8,FALSE)=0,"",VLOOKUP(MAX(1,ROUND($E$22*VLOOKUP(A60,Ref_Sorts!A:J,8,FALSE),0)),Ref_Des!A:C,2,TRUE)))</x:f>
      </x:c>
      <x:c r="G60" s="34" t="str">
        <x:f>IF(A60="","",IF(VLOOKUP(A60,Ref_Sorts!A:J,8,FALSE)=0,"",VLOOKUP(MAX(1,ROUND($E$22*VLOOKUP(A60,Ref_Sorts!A:J,8,FALSE),0)),Ref_Des!A:C,3,TRUE)+IF(VLOOKUP(A60,Ref_Sorts!A:J,5,FALSE)="FOR",$E$4,IF(VLOOKUP(A60,Ref_Sorts!A:J,5,FALSE)="DEX",$E$5,IF(VLOOKUP(A60,Ref_Sorts!A:J,5,FALSE)="CON",$E$6,IF(VLOOKUP(A60,Ref_Sorts!A:J,5,FALSE)="INT",$E$7,IF(VLOOKUP(A60,Ref_Sorts!A:J,5,FALSE)="SAG",$E$8,IF(VLOOKUP(A60,Ref_Sorts!A:J,5,FALSE)="CHA",$E$9,0))))))))</x:f>
      </x:c>
      <x:c r="H60" s="34" t="str">
        <x:f>IF(A60="","",VLOOKUP(A60,Ref_Sorts!A:J,9,FALSE))</x:f>
      </x:c>
    </x:row>
    <x:row r="61">
      <x:c r="A61" s="33" t="str"/>
      <x:c r="B61" s="34" t="str">
        <x:f>IF(A61="","",VLOOKUP(A61,Ref_Sorts!A:J,2,FALSE))</x:f>
      </x:c>
      <x:c r="C61" s="34" t="str">
        <x:f>IF(A61="","",VLOOKUP(A61,Ref_Sorts!A:J,3,FALSE))</x:f>
      </x:c>
      <x:c r="D61" s="34" t="str">
        <x:f>IF(A61="","",VLOOKUP(A61,Ref_Sorts!A:J,6,FALSE))</x:f>
      </x:c>
      <x:c r="E61" s="34" t="str">
        <x:f>IF(A61="","",IF(VLOOKUP(A61,Ref_Sorts!A:J,7,FALSE)="Attaque",IF(VLOOKUP(A61,Ref_Sorts!A:J,5,FALSE)="FOR",$E$4,IF(VLOOKUP(A61,Ref_Sorts!A:J,5,FALSE)="DEX",$E$5,IF(VLOOKUP(A61,Ref_Sorts!A:J,5,FALSE)="CON",$E$6,IF(VLOOKUP(A61,Ref_Sorts!A:J,5,FALSE)="INT",$E$7,IF(VLOOKUP(A61,Ref_Sorts!A:J,5,FALSE)="SAG",$E$8,IF(VLOOKUP(A61,Ref_Sorts!A:J,5,FALSE)="CHA",$E$9,0))))))+Moteur!B6+Moteur!R4,IF(VLOOKUP(A61,Ref_Sorts!A:J,7,FALSE)="DD capacité",10+IF(VLOOKUP(A61,Ref_Sorts!A:J,5,FALSE)="FOR",$E$4,IF(VLOOKUP(A61,Ref_Sorts!A:J,5,FALSE)="DEX",$E$5,IF(VLOOKUP(A61,Ref_Sorts!A:J,5,FALSE)="CON",$E$6,IF(VLOOKUP(A61,Ref_Sorts!A:J,5,FALSE)="INT",$E$7,IF(VLOOKUP(A61,Ref_Sorts!A:J,5,FALSE)="SAG",$E$8,IF(VLOOKUP(A61,Ref_Sorts!A:J,5,FALSE)="CHA",$E$9,0))))))+Moteur!B6+Moteur!R7,"")))</x:f>
      </x:c>
      <x:c r="F61" s="34" t="str">
        <x:f>IF(A61="","",IF(VLOOKUP(A61,Ref_Sorts!A:J,8,FALSE)=0,"",VLOOKUP(MAX(1,ROUND($E$22*VLOOKUP(A61,Ref_Sorts!A:J,8,FALSE),0)),Ref_Des!A:C,2,TRUE)))</x:f>
      </x:c>
      <x:c r="G61" s="34" t="str">
        <x:f>IF(A61="","",IF(VLOOKUP(A61,Ref_Sorts!A:J,8,FALSE)=0,"",VLOOKUP(MAX(1,ROUND($E$22*VLOOKUP(A61,Ref_Sorts!A:J,8,FALSE),0)),Ref_Des!A:C,3,TRUE)+IF(VLOOKUP(A61,Ref_Sorts!A:J,5,FALSE)="FOR",$E$4,IF(VLOOKUP(A61,Ref_Sorts!A:J,5,FALSE)="DEX",$E$5,IF(VLOOKUP(A61,Ref_Sorts!A:J,5,FALSE)="CON",$E$6,IF(VLOOKUP(A61,Ref_Sorts!A:J,5,FALSE)="INT",$E$7,IF(VLOOKUP(A61,Ref_Sorts!A:J,5,FALSE)="SAG",$E$8,IF(VLOOKUP(A61,Ref_Sorts!A:J,5,FALSE)="CHA",$E$9,0))))))))</x:f>
      </x:c>
      <x:c r="H61" s="34" t="str">
        <x:f>IF(A61="","",VLOOKUP(A61,Ref_Sorts!A:J,9,FALSE))</x:f>
      </x:c>
    </x:row>
    <x:row r="62">
      <x:c r="A62" s="33" t="str"/>
      <x:c r="B62" s="34" t="str">
        <x:f>IF(A62="","",VLOOKUP(A62,Ref_Sorts!A:J,2,FALSE))</x:f>
      </x:c>
      <x:c r="C62" s="34" t="str">
        <x:f>IF(A62="","",VLOOKUP(A62,Ref_Sorts!A:J,3,FALSE))</x:f>
      </x:c>
      <x:c r="D62" s="34" t="str">
        <x:f>IF(A62="","",VLOOKUP(A62,Ref_Sorts!A:J,6,FALSE))</x:f>
      </x:c>
      <x:c r="E62" s="34" t="str">
        <x:f>IF(A62="","",IF(VLOOKUP(A62,Ref_Sorts!A:J,7,FALSE)="Attaque",IF(VLOOKUP(A62,Ref_Sorts!A:J,5,FALSE)="FOR",$E$4,IF(VLOOKUP(A62,Ref_Sorts!A:J,5,FALSE)="DEX",$E$5,IF(VLOOKUP(A62,Ref_Sorts!A:J,5,FALSE)="CON",$E$6,IF(VLOOKUP(A62,Ref_Sorts!A:J,5,FALSE)="INT",$E$7,IF(VLOOKUP(A62,Ref_Sorts!A:J,5,FALSE)="SAG",$E$8,IF(VLOOKUP(A62,Ref_Sorts!A:J,5,FALSE)="CHA",$E$9,0))))))+Moteur!B6+Moteur!R4,IF(VLOOKUP(A62,Ref_Sorts!A:J,7,FALSE)="DD capacité",10+IF(VLOOKUP(A62,Ref_Sorts!A:J,5,FALSE)="FOR",$E$4,IF(VLOOKUP(A62,Ref_Sorts!A:J,5,FALSE)="DEX",$E$5,IF(VLOOKUP(A62,Ref_Sorts!A:J,5,FALSE)="CON",$E$6,IF(VLOOKUP(A62,Ref_Sorts!A:J,5,FALSE)="INT",$E$7,IF(VLOOKUP(A62,Ref_Sorts!A:J,5,FALSE)="SAG",$E$8,IF(VLOOKUP(A62,Ref_Sorts!A:J,5,FALSE)="CHA",$E$9,0))))))+Moteur!B6+Moteur!R7,"")))</x:f>
      </x:c>
      <x:c r="F62" s="34" t="str">
        <x:f>IF(A62="","",IF(VLOOKUP(A62,Ref_Sorts!A:J,8,FALSE)=0,"",VLOOKUP(MAX(1,ROUND($E$22*VLOOKUP(A62,Ref_Sorts!A:J,8,FALSE),0)),Ref_Des!A:C,2,TRUE)))</x:f>
      </x:c>
      <x:c r="G62" s="34" t="str">
        <x:f>IF(A62="","",IF(VLOOKUP(A62,Ref_Sorts!A:J,8,FALSE)=0,"",VLOOKUP(MAX(1,ROUND($E$22*VLOOKUP(A62,Ref_Sorts!A:J,8,FALSE),0)),Ref_Des!A:C,3,TRUE)+IF(VLOOKUP(A62,Ref_Sorts!A:J,5,FALSE)="FOR",$E$4,IF(VLOOKUP(A62,Ref_Sorts!A:J,5,FALSE)="DEX",$E$5,IF(VLOOKUP(A62,Ref_Sorts!A:J,5,FALSE)="CON",$E$6,IF(VLOOKUP(A62,Ref_Sorts!A:J,5,FALSE)="INT",$E$7,IF(VLOOKUP(A62,Ref_Sorts!A:J,5,FALSE)="SAG",$E$8,IF(VLOOKUP(A62,Ref_Sorts!A:J,5,FALSE)="CHA",$E$9,0))))))))</x:f>
      </x:c>
      <x:c r="H62" s="34" t="str">
        <x:f>IF(A62="","",VLOOKUP(A62,Ref_Sorts!A:J,9,FALSE))</x:f>
      </x:c>
    </x:row>
    <x:row r="63">
      <x:c r="A63" s="33" t="str"/>
      <x:c r="B63" s="34" t="str">
        <x:f>IF(A63="","",VLOOKUP(A63,Ref_Sorts!A:J,2,FALSE))</x:f>
      </x:c>
      <x:c r="C63" s="34" t="str">
        <x:f>IF(A63="","",VLOOKUP(A63,Ref_Sorts!A:J,3,FALSE))</x:f>
      </x:c>
      <x:c r="D63" s="34" t="str">
        <x:f>IF(A63="","",VLOOKUP(A63,Ref_Sorts!A:J,6,FALSE))</x:f>
      </x:c>
      <x:c r="E63" s="34" t="str">
        <x:f>IF(A63="","",IF(VLOOKUP(A63,Ref_Sorts!A:J,7,FALSE)="Attaque",IF(VLOOKUP(A63,Ref_Sorts!A:J,5,FALSE)="FOR",$E$4,IF(VLOOKUP(A63,Ref_Sorts!A:J,5,FALSE)="DEX",$E$5,IF(VLOOKUP(A63,Ref_Sorts!A:J,5,FALSE)="CON",$E$6,IF(VLOOKUP(A63,Ref_Sorts!A:J,5,FALSE)="INT",$E$7,IF(VLOOKUP(A63,Ref_Sorts!A:J,5,FALSE)="SAG",$E$8,IF(VLOOKUP(A63,Ref_Sorts!A:J,5,FALSE)="CHA",$E$9,0))))))+Moteur!B6+Moteur!R4,IF(VLOOKUP(A63,Ref_Sorts!A:J,7,FALSE)="DD capacité",10+IF(VLOOKUP(A63,Ref_Sorts!A:J,5,FALSE)="FOR",$E$4,IF(VLOOKUP(A63,Ref_Sorts!A:J,5,FALSE)="DEX",$E$5,IF(VLOOKUP(A63,Ref_Sorts!A:J,5,FALSE)="CON",$E$6,IF(VLOOKUP(A63,Ref_Sorts!A:J,5,FALSE)="INT",$E$7,IF(VLOOKUP(A63,Ref_Sorts!A:J,5,FALSE)="SAG",$E$8,IF(VLOOKUP(A63,Ref_Sorts!A:J,5,FALSE)="CHA",$E$9,0))))))+Moteur!B6+Moteur!R7,"")))</x:f>
      </x:c>
      <x:c r="F63" s="34" t="str">
        <x:f>IF(A63="","",IF(VLOOKUP(A63,Ref_Sorts!A:J,8,FALSE)=0,"",VLOOKUP(MAX(1,ROUND($E$22*VLOOKUP(A63,Ref_Sorts!A:J,8,FALSE),0)),Ref_Des!A:C,2,TRUE)))</x:f>
      </x:c>
      <x:c r="G63" s="34" t="str">
        <x:f>IF(A63="","",IF(VLOOKUP(A63,Ref_Sorts!A:J,8,FALSE)=0,"",VLOOKUP(MAX(1,ROUND($E$22*VLOOKUP(A63,Ref_Sorts!A:J,8,FALSE),0)),Ref_Des!A:C,3,TRUE)+IF(VLOOKUP(A63,Ref_Sorts!A:J,5,FALSE)="FOR",$E$4,IF(VLOOKUP(A63,Ref_Sorts!A:J,5,FALSE)="DEX",$E$5,IF(VLOOKUP(A63,Ref_Sorts!A:J,5,FALSE)="CON",$E$6,IF(VLOOKUP(A63,Ref_Sorts!A:J,5,FALSE)="INT",$E$7,IF(VLOOKUP(A63,Ref_Sorts!A:J,5,FALSE)="SAG",$E$8,IF(VLOOKUP(A63,Ref_Sorts!A:J,5,FALSE)="CHA",$E$9,0))))))))</x:f>
      </x:c>
      <x:c r="H63" s="34" t="str">
        <x:f>IF(A63="","",VLOOKUP(A63,Ref_Sorts!A:J,9,FALSE))</x:f>
      </x:c>
    </x:row>
    <x:row r="64">
      <x:c r="A64" s="33" t="str"/>
      <x:c r="B64" s="34" t="str">
        <x:f>IF(A64="","",VLOOKUP(A64,Ref_Sorts!A:J,2,FALSE))</x:f>
      </x:c>
      <x:c r="C64" s="34" t="str">
        <x:f>IF(A64="","",VLOOKUP(A64,Ref_Sorts!A:J,3,FALSE))</x:f>
      </x:c>
      <x:c r="D64" s="34" t="str">
        <x:f>IF(A64="","",VLOOKUP(A64,Ref_Sorts!A:J,6,FALSE))</x:f>
      </x:c>
      <x:c r="E64" s="34" t="str">
        <x:f>IF(A64="","",IF(VLOOKUP(A64,Ref_Sorts!A:J,7,FALSE)="Attaque",IF(VLOOKUP(A64,Ref_Sorts!A:J,5,FALSE)="FOR",$E$4,IF(VLOOKUP(A64,Ref_Sorts!A:J,5,FALSE)="DEX",$E$5,IF(VLOOKUP(A64,Ref_Sorts!A:J,5,FALSE)="CON",$E$6,IF(VLOOKUP(A64,Ref_Sorts!A:J,5,FALSE)="INT",$E$7,IF(VLOOKUP(A64,Ref_Sorts!A:J,5,FALSE)="SAG",$E$8,IF(VLOOKUP(A64,Ref_Sorts!A:J,5,FALSE)="CHA",$E$9,0))))))+Moteur!B6+Moteur!R4,IF(VLOOKUP(A64,Ref_Sorts!A:J,7,FALSE)="DD capacité",10+IF(VLOOKUP(A64,Ref_Sorts!A:J,5,FALSE)="FOR",$E$4,IF(VLOOKUP(A64,Ref_Sorts!A:J,5,FALSE)="DEX",$E$5,IF(VLOOKUP(A64,Ref_Sorts!A:J,5,FALSE)="CON",$E$6,IF(VLOOKUP(A64,Ref_Sorts!A:J,5,FALSE)="INT",$E$7,IF(VLOOKUP(A64,Ref_Sorts!A:J,5,FALSE)="SAG",$E$8,IF(VLOOKUP(A64,Ref_Sorts!A:J,5,FALSE)="CHA",$E$9,0))))))+Moteur!B6+Moteur!R7,"")))</x:f>
      </x:c>
      <x:c r="F64" s="34" t="str">
        <x:f>IF(A64="","",IF(VLOOKUP(A64,Ref_Sorts!A:J,8,FALSE)=0,"",VLOOKUP(MAX(1,ROUND($E$22*VLOOKUP(A64,Ref_Sorts!A:J,8,FALSE),0)),Ref_Des!A:C,2,TRUE)))</x:f>
      </x:c>
      <x:c r="G64" s="34" t="str">
        <x:f>IF(A64="","",IF(VLOOKUP(A64,Ref_Sorts!A:J,8,FALSE)=0,"",VLOOKUP(MAX(1,ROUND($E$22*VLOOKUP(A64,Ref_Sorts!A:J,8,FALSE),0)),Ref_Des!A:C,3,TRUE)+IF(VLOOKUP(A64,Ref_Sorts!A:J,5,FALSE)="FOR",$E$4,IF(VLOOKUP(A64,Ref_Sorts!A:J,5,FALSE)="DEX",$E$5,IF(VLOOKUP(A64,Ref_Sorts!A:J,5,FALSE)="CON",$E$6,IF(VLOOKUP(A64,Ref_Sorts!A:J,5,FALSE)="INT",$E$7,IF(VLOOKUP(A64,Ref_Sorts!A:J,5,FALSE)="SAG",$E$8,IF(VLOOKUP(A64,Ref_Sorts!A:J,5,FALSE)="CHA",$E$9,0))))))))</x:f>
      </x:c>
      <x:c r="H64" s="34" t="str">
        <x:f>IF(A64="","",VLOOKUP(A64,Ref_Sorts!A:J,9,FALSE))</x:f>
      </x:c>
    </x:row>
    <x:row r="65">
      <x:c r="A65" s="33" t="str"/>
      <x:c r="B65" s="34" t="str">
        <x:f>IF(A65="","",VLOOKUP(A65,Ref_Sorts!A:J,2,FALSE))</x:f>
      </x:c>
      <x:c r="C65" s="34" t="str">
        <x:f>IF(A65="","",VLOOKUP(A65,Ref_Sorts!A:J,3,FALSE))</x:f>
      </x:c>
      <x:c r="D65" s="34" t="str">
        <x:f>IF(A65="","",VLOOKUP(A65,Ref_Sorts!A:J,6,FALSE))</x:f>
      </x:c>
      <x:c r="E65" s="34" t="str">
        <x:f>IF(A65="","",IF(VLOOKUP(A65,Ref_Sorts!A:J,7,FALSE)="Attaque",IF(VLOOKUP(A65,Ref_Sorts!A:J,5,FALSE)="FOR",$E$4,IF(VLOOKUP(A65,Ref_Sorts!A:J,5,FALSE)="DEX",$E$5,IF(VLOOKUP(A65,Ref_Sorts!A:J,5,FALSE)="CON",$E$6,IF(VLOOKUP(A65,Ref_Sorts!A:J,5,FALSE)="INT",$E$7,IF(VLOOKUP(A65,Ref_Sorts!A:J,5,FALSE)="SAG",$E$8,IF(VLOOKUP(A65,Ref_Sorts!A:J,5,FALSE)="CHA",$E$9,0))))))+Moteur!B6+Moteur!R4,IF(VLOOKUP(A65,Ref_Sorts!A:J,7,FALSE)="DD capacité",10+IF(VLOOKUP(A65,Ref_Sorts!A:J,5,FALSE)="FOR",$E$4,IF(VLOOKUP(A65,Ref_Sorts!A:J,5,FALSE)="DEX",$E$5,IF(VLOOKUP(A65,Ref_Sorts!A:J,5,FALSE)="CON",$E$6,IF(VLOOKUP(A65,Ref_Sorts!A:J,5,FALSE)="INT",$E$7,IF(VLOOKUP(A65,Ref_Sorts!A:J,5,FALSE)="SAG",$E$8,IF(VLOOKUP(A65,Ref_Sorts!A:J,5,FALSE)="CHA",$E$9,0))))))+Moteur!B6+Moteur!R7,"")))</x:f>
      </x:c>
      <x:c r="F65" s="34" t="str">
        <x:f>IF(A65="","",IF(VLOOKUP(A65,Ref_Sorts!A:J,8,FALSE)=0,"",VLOOKUP(MAX(1,ROUND($E$22*VLOOKUP(A65,Ref_Sorts!A:J,8,FALSE),0)),Ref_Des!A:C,2,TRUE)))</x:f>
      </x:c>
      <x:c r="G65" s="34" t="str">
        <x:f>IF(A65="","",IF(VLOOKUP(A65,Ref_Sorts!A:J,8,FALSE)=0,"",VLOOKUP(MAX(1,ROUND($E$22*VLOOKUP(A65,Ref_Sorts!A:J,8,FALSE),0)),Ref_Des!A:C,3,TRUE)+IF(VLOOKUP(A65,Ref_Sorts!A:J,5,FALSE)="FOR",$E$4,IF(VLOOKUP(A65,Ref_Sorts!A:J,5,FALSE)="DEX",$E$5,IF(VLOOKUP(A65,Ref_Sorts!A:J,5,FALSE)="CON",$E$6,IF(VLOOKUP(A65,Ref_Sorts!A:J,5,FALSE)="INT",$E$7,IF(VLOOKUP(A65,Ref_Sorts!A:J,5,FALSE)="SAG",$E$8,IF(VLOOKUP(A65,Ref_Sorts!A:J,5,FALSE)="CHA",$E$9,0))))))))</x:f>
      </x:c>
      <x:c r="H65" s="34" t="str">
        <x:f>IF(A65="","",VLOOKUP(A65,Ref_Sorts!A:J,9,FALSE))</x:f>
      </x:c>
    </x:row>
    <x:row r="66">
      <x:c r="A66" s="31"/>
      <x:c r="B66" s="31"/>
      <x:c r="C66" s="31"/>
      <x:c r="D66" s="31"/>
      <x:c r="E66" s="31"/>
      <x:c r="F66" s="31"/>
      <x:c r="G66" s="31"/>
      <x:c r="H66" s="31"/>
    </x:row>
    <x:row r="67">
      <x:c r="A67" s="35" t="str">
        <x:f>"Budget restant : "&amp;($E$23-SUM($B$48:$B$55)-SUM($C$60:$C$65))&amp;" · Rang sort max : "&amp;$E$24</x:f>
        <x:v>Budget restant : 3 · Rang sort max : 3</x:v>
      </x:c>
      <x:c r="B67" s="35"/>
      <x:c r="C67" s="35"/>
      <x:c r="D67" s="35"/>
      <x:c r="E67" s="35"/>
      <x:c r="F67" s="35"/>
      <x:c r="G67" s="35"/>
      <x:c r="H67" s="35"/>
    </x:row>
    <x:row r="70">
      <x:c r="A70" s="47" t="str">
        <x:v>DANGER RÉEL</x:v>
      </x:c>
      <x:c r="B70" s="47"/>
      <x:c r="C70" s="47"/>
      <x:c r="D70" s="47"/>
      <x:c r="E70" s="47"/>
      <x:c r="F70" s="47"/>
      <x:c r="G70" s="47"/>
      <x:c r="H70" s="47"/>
    </x:row>
    <x:row r="71">
      <x:c r="A71" s="52" t="str">
        <x:v>Mesure</x:v>
      </x:c>
      <x:c r="B71" s="52" t="str">
        <x:v>Valeur</x:v>
      </x:c>
      <x:c r="C71" s="52" t="str">
        <x:v>Mesure</x:v>
      </x:c>
      <x:c r="D71" s="52" t="str">
        <x:v>Valeur</x:v>
      </x:c>
    </x:row>
    <x:row r="72">
      <x:c r="A72" s="31" t="str">
        <x:v>Danger base NC</x:v>
      </x:c>
      <x:c r="B72" s="65" t="n">
        <x:f>Moteur!AB2</x:f>
        <x:v>745.0580596923828</x:v>
      </x:c>
      <x:c r="C72" s="31" t="str">
        <x:v>Danger minimum NC</x:v>
      </x:c>
      <x:c r="D72" s="65" t="n">
        <x:f>Moteur!AB3</x:f>
        <x:v>666.4001874625055</x:v>
      </x:c>
    </x:row>
    <x:row r="73">
      <x:c r="A73" s="31" t="str">
        <x:v>Facteur statistique</x:v>
      </x:c>
      <x:c r="B73" s="65" t="n">
        <x:f>Moteur!AB15</x:f>
        <x:v>1.0196125615351963</x:v>
      </x:c>
      <x:c r="C73" s="31" t="str">
        <x:v>Danger maximum NC</x:v>
      </x:c>
      <x:c r="D73" s="65" t="n">
        <x:f>Moteur!AB4</x:f>
        <x:v>833.000234328132</x:v>
      </x:c>
    </x:row>
    <x:row r="74">
      <x:c r="A74" s="31" t="str">
        <x:v>Signatures</x:v>
      </x:c>
      <x:c r="B74" s="66" t="n">
        <x:f>Moteur!AB16</x:f>
        <x:v>0.075</x:v>
      </x:c>
      <x:c r="C74" s="31" t="str">
        <x:v>Danger réel</x:v>
      </x:c>
      <x:c r="D74" s="65" t="n">
        <x:f>Moteur!AB26</x:f>
        <x:v>873.6211402457027</x:v>
      </x:c>
    </x:row>
    <x:row r="75">
      <x:c r="A75" s="31" t="str">
        <x:v>Capacités</x:v>
      </x:c>
      <x:c r="B75" s="66" t="n">
        <x:f>Moteur!AB17</x:f>
        <x:v>0</x:v>
      </x:c>
      <x:c r="C75" s="31" t="str">
        <x:v>NC réel</x:v>
      </x:c>
      <x:c r="D75" s="68" t="n">
        <x:f>Moteur!AB27</x:f>
        <x:v>10.713373319298498</x:v>
      </x:c>
    </x:row>
    <x:row r="76">
      <x:c r="A76" s="31" t="str">
        <x:v>Sorts</x:v>
      </x:c>
      <x:c r="B76" s="66" t="n">
        <x:f>Moteur!AB18</x:f>
        <x:v>0</x:v>
      </x:c>
      <x:c r="C76" s="31" t="str">
        <x:v>Toucher réel / réf</x:v>
      </x:c>
      <x:c r="D76" s="69" t="str">
        <x:f>TEXT(Moteur!AB9,"0.0")&amp;" / "&amp;TEXT(Moteur!AB7,"0.0")</x:f>
        <x:v>7.0 / 7.0</x:v>
      </x:c>
    </x:row>
    <x:row r="77">
      <x:c r="A77" s="31" t="str">
        <x:v>Affinités</x:v>
      </x:c>
      <x:c r="B77" s="66" t="n">
        <x:f>Moteur!AB24</x:f>
        <x:v>0.075</x:v>
      </x:c>
      <x:c r="C77" s="31" t="str">
        <x:v>DM réel / réf</x:v>
      </x:c>
      <x:c r="D77" s="69" t="str">
        <x:f>TEXT(Moteur!AB10,"0.0")&amp;" / "&amp;TEXT(Moteur!AB8,"0.0")</x:f>
        <x:v>18.0 / 17.0</x:v>
      </x:c>
    </x:row>
    <x:row r="78">
      <x:c r="A78" s="31" t="str">
        <x:v>Facteur spécial</x:v>
      </x:c>
      <x:c r="B78" s="67" t="n">
        <x:f>Moteur!AB25</x:f>
        <x:v>1.15</x:v>
      </x:c>
      <x:c r="C78" s="31"/>
      <x:c r="D78" s="31"/>
    </x:row>
    <x:row r="80">
      <x:c r="A80" s="72" t="str">
        <x:v>Le Danger réel utilise le monstre terminé : châssis global + signatures + capacités + sorts + affinités. Les effets déjà présents dans PV/DEF/Toucher/DM ne sont pas recomptés.</x:v>
      </x:c>
      <x:c r="B80" s="72"/>
      <x:c r="C80" s="72"/>
      <x:c r="D80" s="72"/>
      <x:c r="E80" s="72"/>
      <x:c r="F80" s="72"/>
      <x:c r="G80" s="72"/>
      <x:c r="H80" s="72"/>
    </x:row>
  </x:sheetData>
  <x:mergeCells>
    <x:mergeCell ref="A1:H1"/>
    <x:mergeCell ref="A29:H29"/>
    <x:mergeCell ref="A37:H37"/>
    <x:mergeCell ref="A43:H43"/>
    <x:mergeCell ref="A46:H46"/>
    <x:mergeCell ref="A58:H58"/>
    <x:mergeCell ref="A67:H67"/>
    <x:mergeCell ref="A70:H70"/>
    <x:mergeCell ref="A80:H80"/>
  </x:mergeCells>
  <x:conditionalFormatting sqref="H48:H48">
    <x:cfRule type="cellIs" dxfId="0" priority="1" operator="lessThan">
      <x:formula>0</x:formula>
    </x:cfRule>
  </x:conditionalFormatting>
  <x:conditionalFormatting sqref="B60:B65">
    <x:cfRule type="expression" dxfId="1" priority="2">
      <x:formula>B60&gt;$E$24</x:formula>
    </x:cfRule>
  </x:conditionalFormatting>
  <x:dataValidations count="29">
    <x:dataValidation type="list" sqref="B5">
      <x:formula1>"0,1,2,3,4,5,6,7,8,9,10,11,12,13,14,15,16,17,18,19,20"</x:formula1>
    </x:dataValidation>
    <x:dataValidation type="list" sqref="B6">
      <x:formula1>"Aberration,Aquatique,Artificiel,Bête,Céleste,Dragon,Démon,Esprit,Fée,Géant,Humanoïde,Monstre,Mort-vivant,Plante,Vase,Vermine,Élémentaire"</x:formula1>
    </x:dataValidation>
    <x:dataValidation type="list" sqref="B7">
      <x:formula1>'Export_Roll20_Helper'!$BN$2:$BN$8</x:formula1>
    </x:dataValidation>
    <x:dataValidation type="list" sqref="B8">
      <x:formula1>"Minuscule,Petit,Moyen,Grand,Très grand,Gigantesque"</x:formula1>
    </x:dataValidation>
    <x:dataValidation type="list" sqref="B9">
      <x:formula1>"Sbire,Standard,Élite,Boss"</x:formula1>
    </x:dataValidation>
    <x:dataValidation type="list" sqref="B10">
      <x:formula1>"Martial,Mystique,Composite"</x:formula1>
    </x:dataValidation>
    <x:dataValidation type="list" sqref="B11">
      <x:formula1>"Puissant,Ravageur,Lutteur,Agile,Prédateur,Endurant,Mutant,Tireur,Équilibré"</x:formula1>
    </x:dataValidation>
    <x:dataValidation type="list" sqref="B12">
      <x:formula1>"Calculateur,Savant,Rusé,Mystique,Vigilant,Instinctif,Meneur,Terrifiant,Manipulateur"</x:formula1>
    </x:dataValidation>
    <x:dataValidation type="list" sqref="B13">
      <x:formula1>"Agressif,Féroce,Bousculeur,Rapide,Souple,Rusé,Calculateur,Vigilant,Prudent,Observateur,Marquant,Imposant,Provocateur"</x:formula1>
    </x:dataValidation>
    <x:dataValidation type="list" sqref="B14">
      <x:formula1>"Aucune,Légère,Intermédiaire,Lourde"</x:formula1>
    </x:dataValidation>
    <x:dataValidation type="list" sqref="B15">
      <x:formula1>"Commune,Peu commune,Rare,Précieuse,Exceptionnelle"</x:formula1>
    </x:dataValidation>
    <x:dataValidation type="list" sqref="B39:B42">
      <x:formula1>"Tranchant,Perforant,Contondant,Feu,Air,Eau,Terre,Ombre,Lumière,Force,Toxique,Psychique,Drain"</x:formula1>
    </x:dataValidation>
    <x:dataValidation type="list" sqref="C39:C42">
      <x:formula1>"FOR,DEX,CON,INT,SAG,CHA"</x:formula1>
    </x:dataValidation>
    <x:dataValidation type="list" sqref="D39:D42">
      <x:formula1>"Contact,Courte,Moyenne,Longue,Personnalisée"</x:formula1>
    </x:dataValidation>
    <x:dataValidation type="list" sqref="A48">
      <x:formula1>Ref_Capacites!$A$2:$A$36</x:formula1>
    </x:dataValidation>
    <x:dataValidation type="list" sqref="A49">
      <x:formula1>Ref_Capacites!$A$2:$A$36</x:formula1>
    </x:dataValidation>
    <x:dataValidation type="list" sqref="A50">
      <x:formula1>Ref_Capacites!$A$2:$A$36</x:formula1>
    </x:dataValidation>
    <x:dataValidation type="list" sqref="A51">
      <x:formula1>Ref_Capacites!$A$2:$A$36</x:formula1>
    </x:dataValidation>
    <x:dataValidation type="list" sqref="A52">
      <x:formula1>Ref_Capacites!$A$2:$A$36</x:formula1>
    </x:dataValidation>
    <x:dataValidation type="list" sqref="A53">
      <x:formula1>Ref_Capacites!$A$2:$A$36</x:formula1>
    </x:dataValidation>
    <x:dataValidation type="list" sqref="A54">
      <x:formula1>Ref_Capacites!$A$2:$A$36</x:formula1>
    </x:dataValidation>
    <x:dataValidation type="list" sqref="A55">
      <x:formula1>Ref_Capacites!$A$2:$A$36</x:formula1>
    </x:dataValidation>
    <x:dataValidation type="list" sqref="A60">
      <x:formula1>Ref_Sorts!$A$2:$A$26</x:formula1>
    </x:dataValidation>
    <x:dataValidation type="list" sqref="A61">
      <x:formula1>Ref_Sorts!$A$2:$A$26</x:formula1>
    </x:dataValidation>
    <x:dataValidation type="list" sqref="A62">
      <x:formula1>Ref_Sorts!$A$2:$A$26</x:formula1>
    </x:dataValidation>
    <x:dataValidation type="list" sqref="A63">
      <x:formula1>Ref_Sorts!$A$2:$A$26</x:formula1>
    </x:dataValidation>
    <x:dataValidation type="list" sqref="A64">
      <x:formula1>Ref_Sorts!$A$2:$A$26</x:formula1>
    </x:dataValidation>
    <x:dataValidation type="list" sqref="A65">
      <x:formula1>Ref_Sorts!$A$2:$A$26</x:formula1>
    </x:dataValidation>
    <x:dataValidation type="list" sqref="B16:B17">
      <x:formula1>",Feu,Air,Eau,Terre,Ombre,Lumière,Force"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7" max="27" width="22" hidden="0" customWidth="1"/>
    <x:col min="28" max="28" width="22" hidden="0" customWidth="1"/>
  </x:cols>
  <x:sheetData>
    <x:row r="1">
      <x:c r="A1" s="36" t="str">
        <x:v>Variable</x:v>
      </x:c>
      <x:c r="B1" s="36" t="str">
        <x:v>Valeur</x:v>
      </x:c>
      <x:c r="C1" s="31"/>
      <x:c r="D1" s="36" t="str">
        <x:v>Carac</x:v>
      </x:c>
      <x:c r="E1" s="36" t="str">
        <x:v>Valeur</x:v>
      </x:c>
      <x:c r="F1" s="31"/>
      <x:c r="G1" s="36" t="str">
        <x:v>FOR_PH</x:v>
      </x:c>
      <x:c r="H1" s="36" t="str">
        <x:v>DEX_PH</x:v>
      </x:c>
      <x:c r="I1" s="36" t="str">
        <x:v>CON_PH</x:v>
      </x:c>
      <x:c r="J1" s="36" t="str">
        <x:v>INT_ME</x:v>
      </x:c>
      <x:c r="K1" s="36" t="str">
        <x:v>SAG_ME</x:v>
      </x:c>
      <x:c r="L1" s="36" t="str">
        <x:v>CHA_ME</x:v>
      </x:c>
      <x:c r="M1" s="31"/>
      <x:c r="N1" s="36" t="str">
        <x:v>SousFamille</x:v>
      </x:c>
      <x:c r="O1" s="36" t="str">
        <x:v>Valeur</x:v>
      </x:c>
      <x:c r="P1" s="31"/>
      <x:c r="Q1" s="36" t="str">
        <x:v>Mod</x:v>
      </x:c>
      <x:c r="R1" s="36" t="str">
        <x:v>Valeur</x:v>
      </x:c>
      <x:c r="S1" s="31"/>
      <x:c r="T1" s="36" t="str">
        <x:v>SigMod</x:v>
      </x:c>
      <x:c r="U1" s="36" t="str">
        <x:v>Valeur</x:v>
      </x:c>
      <x:c r="V1" s="31"/>
      <x:c r="W1" s="36" t="str">
        <x:v>Résultat</x:v>
      </x:c>
      <x:c r="X1" s="36" t="str">
        <x:v>Valeur</x:v>
      </x:c>
      <x:c r="Y1" s="31"/>
      <x:c r="Z1" s="31"/>
      <x:c r="AA1" s="52" t="str">
        <x:v>DANGER RÉEL</x:v>
      </x:c>
      <x:c r="AB1" s="52" t="str">
        <x:v>Valeur</x:v>
      </x:c>
    </x:row>
    <x:row r="2">
      <x:c r="A2" t="str">
        <x:v>NC</x:v>
      </x:c>
      <x:c r="B2" t="n">
        <x:f>Creator!B5</x:f>
        <x:v>10</x:v>
      </x:c>
      <x:c r="D2" t="str">
        <x:v>FOR</x:v>
      </x:c>
      <x:c r="E2" t="n">
        <x:f>G2+G5</x:f>
        <x:v>5</x:v>
      </x:c>
      <x:c r="G2" t="n">
        <x:f>VLOOKUP("PH|"&amp;Creator!B11&amp;"|"&amp;$B$10,Ref_Allocations!A:M,5,FALSE)</x:f>
        <x:v>5</x:v>
      </x:c>
      <x:c r="H2" t="n">
        <x:f>VLOOKUP("PH|"&amp;Creator!B11&amp;"|"&amp;$B$10,Ref_Allocations!A:M,6,FALSE)</x:f>
        <x:v>3</x:v>
      </x:c>
      <x:c r="I2" t="n">
        <x:f>VLOOKUP("PH|"&amp;Creator!B11&amp;"|"&amp;$B$10,Ref_Allocations!A:M,7,FALSE)</x:f>
        <x:v>0</x:v>
      </x:c>
      <x:c r="J2" t="n">
        <x:f>VLOOKUP("ME|"&amp;Creator!B12&amp;"|"&amp;$B$11,Ref_Allocations!A:M,8,FALSE)</x:f>
        <x:v>0</x:v>
      </x:c>
      <x:c r="K2" t="n">
        <x:f>VLOOKUP("ME|"&amp;Creator!B12&amp;"|"&amp;$B$11,Ref_Allocations!A:M,9,FALSE)</x:f>
        <x:v>2</x:v>
      </x:c>
      <x:c r="L2" t="n">
        <x:f>VLOOKUP("ME|"&amp;Creator!B12&amp;"|"&amp;$B$11,Ref_Allocations!A:M,10,FALSE)</x:f>
        <x:v>1</x:v>
      </x:c>
      <x:c r="N2" t="str">
        <x:v>PVCoef</x:v>
      </x:c>
      <x:c r="O2" t="n">
        <x:f>VLOOKUP(Creator!B7,Ref_SousFamilles!B:J,2,FALSE)</x:f>
        <x:v>1</x:v>
      </x:c>
      <x:c r="Q2" t="str">
        <x:v>ProfPV</x:v>
      </x:c>
      <x:c r="R2" t="n">
        <x:f>VLOOKUP(Creator!B9,Ref_Profils!A:G,2,FALSE)</x:f>
        <x:v>1</x:v>
      </x:c>
      <x:c r="T2" t="str">
        <x:v>DEF</x:v>
      </x:c>
      <x:c r="U2" t="n">
        <x:f>SUM(IFERROR(VLOOKUP(Creator!B7&amp;"|1",Ref_Signatures!A:K,10,FALSE),0),IFERROR(VLOOKUP(Creator!B7&amp;"|2",Ref_Signatures!A:K,10,FALSE),0),IFERROR(VLOOKUP(Creator!B7&amp;"|3",Ref_Signatures!A:K,10,FALSE),0),IFERROR(VLOOKUP(Creator!B7&amp;"|4",Ref_Signatures!A:K,10,FALSE),0))</x:f>
        <x:v>0</x:v>
      </x:c>
      <x:c r="W2" t="str">
        <x:v>PV</x:v>
      </x:c>
      <x:c r="X2" t="n">
        <x:f>ROUND(($B$4+($E$4*$B$2))*$O$2*$R$2*$R$8,0)</x:f>
        <x:v>101</x:v>
      </x:c>
      <x:c r="AA2" t="str">
        <x:v>Danger base NC</x:v>
      </x:c>
      <x:c r="AB2" s="53" t="n">
        <x:f>VLOOKUP(Creator!B5,Ref_Danger!D:K,2,FALSE)</x:f>
        <x:v>745.0580596923828</x:v>
      </x:c>
    </x:row>
    <x:row r="3">
      <x:c r="A3" t="str">
        <x:v>BudgetCarac</x:v>
      </x:c>
      <x:c r="B3" t="n">
        <x:f>VLOOKUP(B2,Ref_NC!A:H,2,FALSE)</x:f>
        <x:v>13</x:v>
      </x:c>
      <x:c r="D3" t="str">
        <x:v>DEX</x:v>
      </x:c>
      <x:c r="E3" t="n">
        <x:f>H2+H5</x:f>
        <x:v>3</x:v>
      </x:c>
      <x:c r="N3" t="str">
        <x:v>DMCoef</x:v>
      </x:c>
      <x:c r="O3" t="n">
        <x:f>VLOOKUP(Creator!B7,Ref_SousFamilles!B:J,3,FALSE)</x:f>
        <x:v>1.05</x:v>
      </x:c>
      <x:c r="Q3" t="str">
        <x:v>ProfDEF</x:v>
      </x:c>
      <x:c r="R3" t="n">
        <x:f>VLOOKUP(Creator!B9,Ref_Profils!A:G,3,FALSE)</x:f>
        <x:v>0</x:v>
      </x:c>
      <x:c r="T3" t="str">
        <x:v>Reach</x:v>
      </x:c>
      <x:c r="U3" t="n">
        <x:f>SUM(IFERROR(VLOOKUP(Creator!B7&amp;"|1",Ref_Signatures!A:K,11,FALSE),0),IFERROR(VLOOKUP(Creator!B7&amp;"|2",Ref_Signatures!A:K,11,FALSE),0),IFERROR(VLOOKUP(Creator!B7&amp;"|3",Ref_Signatures!A:K,11,FALSE),0),IFERROR(VLOOKUP(Creator!B7&amp;"|4",Ref_Signatures!A:K,11,FALSE),0))</x:f>
        <x:v>0</x:v>
      </x:c>
      <x:c r="W3" t="str">
        <x:v>DEF</x:v>
      </x:c>
      <x:c r="X3" t="n">
        <x:f>11+$B$2+INT($E$3/2)+$R$3+$R$9+$R$12+$U$2</x:f>
        <x:v>21</x:v>
      </x:c>
      <x:c r="AA3" t="str">
        <x:v>Danger min NC</x:v>
      </x:c>
      <x:c r="AB3" s="53" t="n">
        <x:f>VLOOKUP(Creator!B5,Ref_Danger!D:K,3,FALSE)</x:f>
        <x:v>666.4001874625055</x:v>
      </x:c>
    </x:row>
    <x:row r="4">
      <x:c r="A4" t="str">
        <x:v>PVBase</x:v>
      </x:c>
      <x:c r="B4" t="n">
        <x:f>VLOOKUP(B2,Ref_NC!A:H,3,FALSE)</x:f>
        <x:v>74</x:v>
      </x:c>
      <x:c r="D4" t="str">
        <x:v>CON</x:v>
      </x:c>
      <x:c r="E4" t="n">
        <x:f>I2+I5</x:f>
        <x:v>1</x:v>
      </x:c>
      <x:c r="G4" s="5" t="str">
        <x:v>FOR_MI</x:v>
      </x:c>
      <x:c r="H4" s="5" t="str">
        <x:v>DEX_MI</x:v>
      </x:c>
      <x:c r="I4" s="5" t="str">
        <x:v>CON_MI</x:v>
      </x:c>
      <x:c r="J4" s="5" t="str">
        <x:v>INT_MI</x:v>
      </x:c>
      <x:c r="K4" s="5" t="str">
        <x:v>SAG_MI</x:v>
      </x:c>
      <x:c r="L4" s="5" t="str">
        <x:v>CHA_MI</x:v>
      </x:c>
      <x:c r="N4" t="str">
        <x:v>TerreBase</x:v>
      </x:c>
      <x:c r="O4" t="n">
        <x:f>VLOOKUP(Creator!B7,Ref_SousFamilles!B:J,4,FALSE)</x:f>
        <x:v>7</x:v>
      </x:c>
      <x:c r="Q4" t="str">
        <x:v>ProfHit</x:v>
      </x:c>
      <x:c r="R4" t="n">
        <x:f>VLOOKUP(Creator!B9,Ref_Profils!A:G,4,FALSE)</x:f>
        <x:v>0</x:v>
      </x:c>
      <x:c r="W4" t="str">
        <x:v>Initiative</x:v>
      </x:c>
      <x:c r="X4" t="n">
        <x:f>12+$E$3</x:f>
        <x:v>15</x:v>
      </x:c>
      <x:c r="AA4" t="str">
        <x:v>Danger max NC</x:v>
      </x:c>
      <x:c r="AB4" s="53" t="n">
        <x:f>VLOOKUP(Creator!B5,Ref_Danger!D:K,4,FALSE)</x:f>
        <x:v>833.000234328132</x:v>
      </x:c>
    </x:row>
    <x:row r="5">
      <x:c r="A5" t="str">
        <x:v>DMBase</x:v>
      </x:c>
      <x:c r="B5" t="n">
        <x:f>VLOOKUP(B2,Ref_NC!A:H,4,FALSE)</x:f>
        <x:v>12</x:v>
      </x:c>
      <x:c r="D5" t="str">
        <x:v>INT</x:v>
      </x:c>
      <x:c r="E5" t="n">
        <x:f>J2+J5</x:f>
        <x:v>0</x:v>
      </x:c>
      <x:c r="G5" t="n">
        <x:f>VLOOKUP("MI|"&amp;Creator!B13&amp;"|"&amp;$B$12,Ref_Allocations!A:M,5,FALSE)</x:f>
        <x:v>0</x:v>
      </x:c>
      <x:c r="H5" t="n">
        <x:f>VLOOKUP("MI|"&amp;Creator!B13&amp;"|"&amp;$B$12,Ref_Allocations!A:M,6,FALSE)</x:f>
        <x:v>0</x:v>
      </x:c>
      <x:c r="I5" t="n">
        <x:f>VLOOKUP("MI|"&amp;Creator!B13&amp;"|"&amp;$B$12,Ref_Allocations!A:M,7,FALSE)</x:f>
        <x:v>1</x:v>
      </x:c>
      <x:c r="J5" t="n">
        <x:f>VLOOKUP("MI|"&amp;Creator!B13&amp;"|"&amp;$B$12,Ref_Allocations!A:M,8,FALSE)</x:f>
        <x:v>0</x:v>
      </x:c>
      <x:c r="K5" t="n">
        <x:f>VLOOKUP("MI|"&amp;Creator!B13&amp;"|"&amp;$B$12,Ref_Allocations!A:M,9,FALSE)</x:f>
        <x:v>1</x:v>
      </x:c>
      <x:c r="L5" t="n">
        <x:f>VLOOKUP("MI|"&amp;Creator!B13&amp;"|"&amp;$B$12,Ref_Allocations!A:M,10,FALSE)</x:f>
        <x:v>0</x:v>
      </x:c>
      <x:c r="N5" t="str">
        <x:v>VolBase</x:v>
      </x:c>
      <x:c r="O5" t="n">
        <x:f>VLOOKUP(Creator!B7,Ref_SousFamilles!B:J,5,FALSE)</x:f>
        <x:v>10</x:v>
      </x:c>
      <x:c r="Q5" t="str">
        <x:v>ProfDM</x:v>
      </x:c>
      <x:c r="R5" t="n">
        <x:f>VLOOKUP(Creator!B9,Ref_Profils!A:G,5,FALSE)</x:f>
        <x:v>0</x:v>
      </x:c>
      <x:c r="W5" t="str">
        <x:v>DexMove</x:v>
      </x:c>
      <x:c r="X5" t="n">
        <x:f>MAX(-1,INT($E$3/2))</x:f>
        <x:v>1</x:v>
      </x:c>
      <x:c r="AA5" t="str">
        <x:v>PV réf</x:v>
      </x:c>
      <x:c r="AB5" s="53" t="n">
        <x:f>VLOOKUP(Creator!B5,Ref_Danger!D:K,5,FALSE)</x:f>
        <x:v>94</x:v>
      </x:c>
    </x:row>
    <x:row r="6">
      <x:c r="A6" t="str">
        <x:v>BonusNC</x:v>
      </x:c>
      <x:c r="B6" t="n">
        <x:f>VLOOKUP(B2,Ref_NC!A:H,5,FALSE)</x:f>
        <x:v>2</x:v>
      </x:c>
      <x:c r="D6" t="str">
        <x:v>SAG</x:v>
      </x:c>
      <x:c r="E6" t="n">
        <x:f>K2+K5</x:f>
        <x:v>3</x:v>
      </x:c>
      <x:c r="N6" t="str">
        <x:v>NageBase</x:v>
      </x:c>
      <x:c r="O6" t="n">
        <x:f>VLOOKUP(Creator!B7,Ref_SousFamilles!B:J,6,FALSE)</x:f>
        <x:v>7</x:v>
      </x:c>
      <x:c r="Q6" t="str">
        <x:v>ProfCap</x:v>
      </x:c>
      <x:c r="R6" t="n">
        <x:f>VLOOKUP(Creator!B9,Ref_Profils!A:G,6,FALSE)</x:f>
        <x:v>0</x:v>
      </x:c>
      <x:c r="W6" t="str">
        <x:v>MvtTerre</x:v>
      </x:c>
      <x:c r="X6" t="n">
        <x:f>IF($O$4=0,0,$O$4+$X$5+$R$10)</x:f>
        <x:v>9</x:v>
      </x:c>
      <x:c r="AA6" t="str">
        <x:v>DEF réf</x:v>
      </x:c>
      <x:c r="AB6" s="53" t="n">
        <x:f>VLOOKUP(Creator!B5,Ref_Danger!D:K,6,FALSE)</x:f>
        <x:v>22</x:v>
      </x:c>
    </x:row>
    <x:row r="7">
      <x:c r="A7" t="str">
        <x:v>BudgetCapBase</x:v>
      </x:c>
      <x:c r="B7" t="n">
        <x:f>VLOOKUP(B2,Ref_NC!A:H,6,FALSE)</x:f>
        <x:v>3</x:v>
      </x:c>
      <x:c r="D7" t="str">
        <x:v>CHA</x:v>
      </x:c>
      <x:c r="E7" t="n">
        <x:f>L2+L5</x:f>
        <x:v>1</x:v>
      </x:c>
      <x:c r="N7" t="str">
        <x:v>EscaladeBase</x:v>
      </x:c>
      <x:c r="O7" t="n">
        <x:f>VLOOKUP(Creator!B7,Ref_SousFamilles!B:J,7,FALSE)</x:f>
        <x:v>0</x:v>
      </x:c>
      <x:c r="Q7" t="str">
        <x:v>ProfDD</x:v>
      </x:c>
      <x:c r="R7" t="n">
        <x:f>VLOOKUP(Creator!B9,Ref_Profils!A:G,7,FALSE)</x:f>
        <x:v>0</x:v>
      </x:c>
      <x:c r="W7" t="str">
        <x:v>Vol</x:v>
      </x:c>
      <x:c r="X7" t="n">
        <x:f>IF($O$5=0,0,$O$5+$X$5+$R$10)</x:f>
        <x:v>12</x:v>
      </x:c>
      <x:c r="AA7" t="str">
        <x:v>Toucher réf</x:v>
      </x:c>
      <x:c r="AB7" s="53" t="n">
        <x:f>VLOOKUP(Creator!B5,Ref_Danger!D:K,7,FALSE)</x:f>
        <x:v>7</x:v>
      </x:c>
    </x:row>
    <x:row r="8">
      <x:c r="A8" t="str">
        <x:v>LootBase</x:v>
      </x:c>
      <x:c r="B8" t="n">
        <x:f>VLOOKUP(B2,Ref_NC!A:H,7,FALSE)</x:f>
        <x:v>3000</x:v>
      </x:c>
      <x:c r="N8" t="str">
        <x:v>FouissementBase</x:v>
      </x:c>
      <x:c r="O8" t="n">
        <x:f>VLOOKUP(Creator!B7,Ref_SousFamilles!B:J,8,FALSE)</x:f>
        <x:v>0</x:v>
      </x:c>
      <x:c r="Q8" t="str">
        <x:v>SizePV</x:v>
      </x:c>
      <x:c r="R8" t="n">
        <x:f>VLOOKUP(Creator!B8,Ref_Tailles!A:E,2,FALSE)</x:f>
        <x:v>1.2</x:v>
      </x:c>
      <x:c r="W8" t="str">
        <x:v>Nage</x:v>
      </x:c>
      <x:c r="X8" t="n">
        <x:f>IF($O$6=0,0,$O$6+$X$5+$R$10)</x:f>
        <x:v>9</x:v>
      </x:c>
      <x:c r="AA8" t="str">
        <x:v>DM réf</x:v>
      </x:c>
      <x:c r="AB8" s="53" t="n">
        <x:f>VLOOKUP(Creator!B5,Ref_Danger!D:K,8,FALSE)</x:f>
        <x:v>17</x:v>
      </x:c>
    </x:row>
    <x:row r="9">
      <x:c r="A9" t="str">
        <x:v>RangSortMax</x:v>
      </x:c>
      <x:c r="B9" t="n">
        <x:f>VLOOKUP(B2,Ref_NC!A:H,8,FALSE)</x:f>
        <x:v>3</x:v>
      </x:c>
      <x:c r="N9" t="str">
        <x:v>Affinites</x:v>
      </x:c>
      <x:c r="O9" t="str">
        <x:f>SUBSTITUTE(SUBSTITUTE(VLOOKUP(Creator!B7,Ref_SousFamilles!B:J,9,FALSE),"élément opposé",IF(Creator!B17="","élément opposé",Creator!B17)),"élément",IF(Creator!B16="","élément",Creator!B16))</x:f>
        <x:v>R Tranchant; R Perforant; S Feu; FM Eau</x:v>
      </x:c>
      <x:c r="Q9" t="str">
        <x:v>SizeDEF</x:v>
      </x:c>
      <x:c r="R9" t="n">
        <x:f>VLOOKUP(Creator!B8,Ref_Tailles!A:E,3,FALSE)</x:f>
        <x:v>-1</x:v>
      </x:c>
      <x:c r="W9" t="str">
        <x:v>Escalade</x:v>
      </x:c>
      <x:c r="X9" t="n">
        <x:f>IF($O$7=0,0,$O$7+$X$5+$R$10)</x:f>
        <x:v>0</x:v>
      </x:c>
      <x:c r="AA9" t="str">
        <x:v>Toucher réel</x:v>
      </x:c>
      <x:c r="AB9" s="53" t="n">
        <x:f>MAX(Creator!G39:G42)</x:f>
        <x:v>7</x:v>
      </x:c>
    </x:row>
    <x:row r="10">
      <x:c r="A10" t="str">
        <x:v>PoolPhys</x:v>
      </x:c>
      <x:c r="B10" t="n">
        <x:f>VLOOKUP("P|"&amp;Creator!B10&amp;"|"&amp;B3,Ref_Allocations!A:M,11,FALSE)</x:f>
        <x:v>8</x:v>
      </x:c>
      <x:c r="Q10" t="str">
        <x:v>SizeMove</x:v>
      </x:c>
      <x:c r="R10" t="n">
        <x:f>VLOOKUP(Creator!B8,Ref_Tailles!A:E,4,FALSE)</x:f>
        <x:v>1</x:v>
      </x:c>
      <x:c r="W10" t="str">
        <x:v>Fouissement</x:v>
      </x:c>
      <x:c r="X10" t="n">
        <x:f>IF($O$8=0,0,$O$8+$X$5+$R$10)</x:f>
        <x:v>0</x:v>
      </x:c>
      <x:c r="AA10" t="str">
        <x:v>DM réel</x:v>
      </x:c>
      <x:c r="AB10" s="53" t="n">
        <x:f>MAX(Creator!H39:H42)</x:f>
        <x:v>18</x:v>
      </x:c>
    </x:row>
    <x:row r="11">
      <x:c r="A11" t="str">
        <x:v>PoolMental</x:v>
      </x:c>
      <x:c r="B11" t="n">
        <x:f>VLOOKUP("P|"&amp;Creator!B10&amp;"|"&amp;B3,Ref_Allocations!A:M,12,FALSE)</x:f>
        <x:v>3</x:v>
      </x:c>
      <x:c r="Q11" t="str">
        <x:v>SizeReach</x:v>
      </x:c>
      <x:c r="R11" t="n">
        <x:f>VLOOKUP(Creator!B8,Ref_Tailles!A:E,5,FALSE)</x:f>
        <x:v>2</x:v>
      </x:c>
      <x:c r="W11" t="str">
        <x:v>Allonge</x:v>
      </x:c>
      <x:c r="X11" t="n">
        <x:f>$R$11+$U$3</x:f>
        <x:v>2</x:v>
      </x:c>
      <x:c r="AA11" t="str">
        <x:v>Facteur PV</x:v>
      </x:c>
      <x:c r="AB11" s="60" t="n">
        <x:f>Creator!E10/AB5</x:f>
        <x:v>1.074468085106383</x:v>
      </x:c>
    </x:row>
    <x:row r="12">
      <x:c r="A12" t="str">
        <x:v>PoolMineur</x:v>
      </x:c>
      <x:c r="B12" t="n">
        <x:f>VLOOKUP("P|"&amp;Creator!B10&amp;"|"&amp;B3,Ref_Allocations!A:M,13,FALSE)</x:f>
        <x:v>2</x:v>
      </x:c>
      <x:c r="Q12" t="str">
        <x:v>ArmorDEF</x:v>
      </x:c>
      <x:c r="R12" t="n">
        <x:f>VLOOKUP(Creator!B14,Ref_Armures!A:B,2,FALSE)</x:f>
        <x:v>0</x:v>
      </x:c>
      <x:c r="W12" t="str">
        <x:v>ToucherFOR</x:v>
      </x:c>
      <x:c r="X12" t="n">
        <x:f>$E$2+$B$6+$R$4</x:f>
        <x:v>7</x:v>
      </x:c>
      <x:c r="AA12" t="str">
        <x:v>Facteur DEF</x:v>
      </x:c>
      <x:c r="AB12" s="60" t="n">
        <x:f>MAX(0.5,1+Ref_Danger!$B$4*(Creator!E11-AB6))</x:f>
        <x:v>0.95</x:v>
      </x:c>
    </x:row>
    <x:row r="13">
      <x:c r="W13" t="str">
        <x:v>ToucherDEX</x:v>
      </x:c>
      <x:c r="X13" t="n">
        <x:f>$E$3+$B$6+$R$4</x:f>
        <x:v>5</x:v>
      </x:c>
      <x:c r="AA13" t="str">
        <x:v>Facteur Toucher</x:v>
      </x:c>
      <x:c r="AB13" s="60" t="n">
        <x:f>MAX(0.5,1+Ref_Danger!$B$5*(AB9-AB7))</x:f>
        <x:v>1</x:v>
      </x:c>
    </x:row>
    <x:row r="14">
      <x:c r="W14" t="str">
        <x:v>ToucherMental</x:v>
      </x:c>
      <x:c r="X14" t="n">
        <x:f>MAX($E$5:$E$7)+$B$6+$R$4</x:f>
        <x:v>5</x:v>
      </x:c>
      <x:c r="AA14" t="str">
        <x:v>Facteur DM</x:v>
      </x:c>
      <x:c r="AB14" s="60" t="n">
        <x:f>AB10/AB8</x:f>
        <x:v>1.0588235294117647</x:v>
      </x:c>
    </x:row>
    <x:row r="15">
      <x:c r="W15" t="str">
        <x:v>DMReference</x:v>
      </x:c>
      <x:c r="X15" t="n">
        <x:f>MAX(1,ROUND($B$5*$O$3,0)+$R$5)</x:f>
        <x:v>13</x:v>
      </x:c>
      <x:c r="AA15" t="str">
        <x:v>Facteur statistique</x:v>
      </x:c>
      <x:c r="AB15" s="60" t="n">
        <x:f>POWER(AB11*AB12*AB13*AB14,0.25)</x:f>
        <x:v>1.0196125615351963</x:v>
      </x:c>
    </x:row>
    <x:row r="16">
      <x:c r="W16" t="str">
        <x:v>BudgetCap</x:v>
      </x:c>
      <x:c r="X16" t="n">
        <x:f>MAX(0,$B$7+$R$6)</x:f>
        <x:v>3</x:v>
      </x:c>
      <x:c r="AA16" t="str">
        <x:v>Danger signatures %</x:v>
      </x:c>
      <x:c r="AB16" s="54" t="n">
        <x:f>IFERROR(VLOOKUP(Creator!B7&amp;"|1",Ref_Signatures!A:L,12,FALSE),0)+IFERROR(VLOOKUP(Creator!B7&amp;"|2",Ref_Signatures!A:L,12,FALSE),0)+IFERROR(VLOOKUP(Creator!B7&amp;"|3",Ref_Signatures!A:L,12,FALSE),0)+IFERROR(VLOOKUP(Creator!B7&amp;"|4",Ref_Signatures!A:L,12,FALSE),0)</x:f>
        <x:v>0.075</x:v>
      </x:c>
    </x:row>
    <x:row r="17">
      <x:c r="W17" t="str">
        <x:v>DD_FOR</x:v>
      </x:c>
      <x:c r="X17" t="n">
        <x:f>10+$E$2+$B$6+$R$7</x:f>
        <x:v>17</x:v>
      </x:c>
      <x:c r="AA17" t="str">
        <x:v>Danger capacités %</x:v>
      </x:c>
      <x:c r="AB17" s="54" t="n">
        <x:f>SUM(IFERROR(VLOOKUP(Creator!A48,Ref_Capacites!A:I,9,FALSE),0),IFERROR(VLOOKUP(Creator!A49,Ref_Capacites!A:I,9,FALSE),0),IFERROR(VLOOKUP(Creator!A50,Ref_Capacites!A:I,9,FALSE),0),IFERROR(VLOOKUP(Creator!A51,Ref_Capacites!A:I,9,FALSE),0),IFERROR(VLOOKUP(Creator!A52,Ref_Capacites!A:I,9,FALSE),0),IFERROR(VLOOKUP(Creator!A53,Ref_Capacites!A:I,9,FALSE),0),IFERROR(VLOOKUP(Creator!A54,Ref_Capacites!A:I,9,FALSE),0),IFERROR(VLOOKUP(Creator!A55,Ref_Capacites!A:I,9,FALSE),0))</x:f>
        <x:v>0</x:v>
      </x:c>
    </x:row>
    <x:row r="18">
      <x:c r="W18" t="str">
        <x:v>DD_DEX</x:v>
      </x:c>
      <x:c r="X18" t="n">
        <x:f>10+$E$3+$B$6+$R$7</x:f>
        <x:v>15</x:v>
      </x:c>
      <x:c r="AA18" t="str">
        <x:v>Danger sorts %</x:v>
      </x:c>
      <x:c r="AB18" s="54" t="n">
        <x:f>SUM(IFERROR(VLOOKUP(Creator!A60,Ref_Sorts!A:K,11,FALSE),0),IFERROR(VLOOKUP(Creator!A61,Ref_Sorts!A:K,11,FALSE),0),IFERROR(VLOOKUP(Creator!A62,Ref_Sorts!A:K,11,FALSE),0),IFERROR(VLOOKUP(Creator!A63,Ref_Sorts!A:K,11,FALSE),0),IFERROR(VLOOKUP(Creator!A64,Ref_Sorts!A:K,11,FALSE),0),IFERROR(VLOOKUP(Creator!A65,Ref_Sorts!A:K,11,FALSE),0))</x:f>
        <x:v>0</x:v>
      </x:c>
    </x:row>
    <x:row r="19">
      <x:c r="W19" t="str">
        <x:v>DD_CON</x:v>
      </x:c>
      <x:c r="X19" t="n">
        <x:f>10+$E$4+$B$6+$R$7</x:f>
        <x:v>13</x:v>
      </x:c>
      <x:c r="AA19" t="str">
        <x:v>Résistances</x:v>
      </x:c>
      <x:c r="AB19" t="n">
        <x:f>(LEN(Creator!E25)-LEN(SUBSTITUTE(Creator!E25,"R ","")))/2</x:f>
        <x:v>2</x:v>
      </x:c>
    </x:row>
    <x:row r="20">
      <x:c r="W20" t="str">
        <x:v>DD_INT</x:v>
      </x:c>
      <x:c r="X20" t="n">
        <x:f>10+$E$5+$B$6+$R$7</x:f>
        <x:v>12</x:v>
      </x:c>
      <x:c r="AA20" t="str">
        <x:v>Immunités</x:v>
      </x:c>
      <x:c r="AB20" t="n">
        <x:f>(LEN(Creator!E25)-LEN(SUBSTITUTE(Creator!E25,"I ","")))/2</x:f>
        <x:v>0</x:v>
      </x:c>
    </x:row>
    <x:row r="21">
      <x:c r="W21" t="str">
        <x:v>DD_SAG</x:v>
      </x:c>
      <x:c r="X21" t="n">
        <x:f>10+$E$6+$B$6+$R$7</x:f>
        <x:v>15</x:v>
      </x:c>
      <x:c r="AA21" t="str">
        <x:v>Soins</x:v>
      </x:c>
      <x:c r="AB21" t="n">
        <x:f>(LEN(Creator!E25)-LEN(SUBSTITUTE(Creator!E25,"S ","")))/2</x:f>
        <x:v>1</x:v>
      </x:c>
    </x:row>
    <x:row r="22">
      <x:c r="W22" t="str">
        <x:v>DD_CHA</x:v>
      </x:c>
      <x:c r="X22" t="n">
        <x:f>10+$E$7+$B$6+$R$7</x:f>
        <x:v>13</x:v>
      </x:c>
      <x:c r="AA22" t="str">
        <x:v>Vulnérabilités</x:v>
      </x:c>
      <x:c r="AB22" t="n">
        <x:f>(LEN(Creator!E25)-LEN(SUBSTITUTE(Creator!E25,"V ","")))/2</x:f>
        <x:v>0</x:v>
      </x:c>
    </x:row>
    <x:row r="23">
      <x:c r="W23" t="str">
        <x:v>LootCoefFam</x:v>
      </x:c>
      <x:c r="X23" t="n">
        <x:f>VLOOKUP(Creator!B6,Ref_Loot!B:C,2,FALSE)</x:f>
        <x:v>5</x:v>
      </x:c>
      <x:c r="AA23" t="str">
        <x:v>Faiblesses majeures</x:v>
      </x:c>
      <x:c r="AB23" t="n">
        <x:f>(LEN(Creator!E25)-LEN(SUBSTITUTE(Creator!E25,"FM ","")))/3</x:f>
        <x:v>1</x:v>
      </x:c>
    </x:row>
    <x:row r="24">
      <x:c r="W24" t="str">
        <x:v>LootCoefRarete</x:v>
      </x:c>
      <x:c r="X24" t="n">
        <x:f>VLOOKUP(Creator!B15,Ref_Loot!B:C,2,FALSE)</x:f>
        <x:v>1</x:v>
      </x:c>
      <x:c r="AA24" t="str">
        <x:v>Danger affinités %</x:v>
      </x:c>
      <x:c r="AB24" s="54" t="n">
        <x:f>AB19*Ref_Danger!$N$2+AB20*Ref_Danger!$N$3+AB21*Ref_Danger!$N$4+AB22*Ref_Danger!$N$5+AB23*Ref_Danger!$N$6</x:f>
        <x:v>0.075</x:v>
      </x:c>
    </x:row>
    <x:row r="25">
      <x:c r="W25" t="str">
        <x:v>LootMoyenPC</x:v>
      </x:c>
      <x:c r="X25" t="n">
        <x:f>ROUND($B$8*$X$23*$X$24,0)</x:f>
        <x:v>15000</x:v>
      </x:c>
      <x:c r="AA25" t="str">
        <x:v>Facteur spécial</x:v>
      </x:c>
      <x:c r="AB25" s="60" t="n">
        <x:f>MAX(0.5,1+AB16+AB17+AB18+AB24)</x:f>
        <x:v>1.15</x:v>
      </x:c>
    </x:row>
    <x:row r="26">
      <x:c r="AA26" t="str">
        <x:v>Danger réel</x:v>
      </x:c>
      <x:c r="AB26" s="53" t="n">
        <x:f>AB2*AB15*AB25</x:f>
        <x:v>873.6211402457027</x:v>
      </x:c>
    </x:row>
    <x:row r="27">
      <x:c r="AA27" t="str">
        <x:v>NC réel</x:v>
      </x:c>
      <x:c r="AB27" s="48" t="n">
        <x:f>1+LN(AB26/Ref_Danger!$B$2)/LN(Ref_Danger!$B$3)</x:f>
        <x:v>10.713373319298498</x:v>
      </x:c>
    </x:row>
    <x:row r="28">
      <x:c r="W28" t="str">
        <x:v>FamilleSousFamille</x:v>
      </x:c>
      <x:c r="X28" t="str">
        <x:f>INDEX(Ref_SousFamilles!A:A,MATCH(Creator!B7,Ref_SousFamilles!B:B,0))</x:f>
        <x:v>Dragon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  <x:col min="3" max="3" width="45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126" t="str">
        <x:v>EXPORT PNJ — STATBLOCK JSON</x:v>
      </x:c>
      <x:c r="B1" s="126"/>
      <x:c r="C1" s="126"/>
      <x:c r="D1" s="112"/>
      <x:c r="E1" s="112"/>
      <x:c r="F1" s="112"/>
      <x:c r="G1" s="112"/>
      <x:c r="H1" s="112"/>
    </x:row>
    <x:row r="3">
      <x:c r="A3" s="117" t="str">
        <x:v>Copier la chaîne ci-dessous telle quelle dans l’onglet Statblock de la fiche PNJ FINAL_AUDIT. L’import recrée statistiques, mouvements, métadonnées de création, affinités, prédicats, attaques, capacités/actions COFantasy, loot et avatar.</x:v>
      </x:c>
      <x:c r="B3" s="117"/>
      <x:c r="C3" s="117"/>
      <x:c r="D3" s="118"/>
      <x:c r="E3" s="118"/>
      <x:c r="F3" s="118"/>
      <x:c r="G3" s="118"/>
      <x:c r="H3" s="118"/>
    </x:row>
    <x:row r="4">
      <x:c r="A4" s="31"/>
      <x:c r="B4" s="31"/>
      <x:c r="C4" s="31"/>
    </x:row>
    <x:row r="5">
      <x:c r="A5" s="99" t="str">
        <x:v>Contrôle</x:v>
      </x:c>
      <x:c r="B5" s="99" t="str">
        <x:v>Valeur</x:v>
      </x:c>
      <x:c r="C5" s="31"/>
    </x:row>
    <x:row r="6">
      <x:c r="A6" s="31" t="str">
        <x:v>Nom</x:v>
      </x:c>
      <x:c r="B6" s="119" t="str">
        <x:f>Creator!B4</x:f>
        <x:v>Créature exemple</x:v>
      </x:c>
      <x:c r="C6" s="31"/>
    </x:row>
    <x:row r="7">
      <x:c r="A7" s="31" t="str">
        <x:v>NC création</x:v>
      </x:c>
      <x:c r="B7" s="119" t="n">
        <x:f>Creator!B5</x:f>
        <x:v>10</x:v>
      </x:c>
      <x:c r="C7" s="31"/>
    </x:row>
    <x:row r="8">
      <x:c r="A8" s="31" t="str">
        <x:v>NC réel</x:v>
      </x:c>
      <x:c r="B8" s="120" t="n">
        <x:f>Moteur!AB27</x:f>
        <x:v>10.713373319298498</x:v>
      </x:c>
      <x:c r="C8" s="31"/>
    </x:row>
    <x:row r="9">
      <x:c r="A9" s="31" t="str">
        <x:v>Prédicats</x:v>
      </x:c>
      <x:c r="B9" s="119" t="str">
        <x:f>Export_Roll20_Helper!AB5</x:f>
        <x:v>resistanceA_tranchant resistanceA_percant absorptionA_feu faiblesseMajeureA_eau</x:v>
      </x:c>
      <x:c r="C9" s="31"/>
    </x:row>
    <x:row r="10">
      <x:c r="A10" s="31" t="str">
        <x:v>Loot</x:v>
      </x:c>
      <x:c r="B10" s="119" t="str">
        <x:f>Export_Roll20_Helper!AB7</x:f>
        <x:v>[LOOT]
TYPE: CREATURE
NAME: Créature exemple
FAMILY: Dragon
TIER: NC 10.71
RARITY: COMMUN
VALUE: [[10d20]] PA 45 PA
[/LOOT]</x:v>
      </x:c>
      <x:c r="C10" s="31"/>
    </x:row>
    <x:row r="11">
      <x:c r="A11" s="31"/>
      <x:c r="B11" s="31"/>
      <x:c r="C11" s="31"/>
    </x:row>
    <x:row r="12">
      <x:c r="A12" s="99" t="str">
        <x:v>CHAÎNE JSON À COLLER DANS STATBLOCK</x:v>
      </x:c>
      <x:c r="B12" s="99"/>
      <x:c r="C12" s="99"/>
      <x:c r="D12" s="109"/>
      <x:c r="E12" s="109"/>
      <x:c r="F12" s="109"/>
      <x:c r="G12" s="109"/>
      <x:c r="H12" s="109"/>
    </x:row>
    <x:row r="13" ht="90" customHeight="1">
      <x:c r="A13" s="134" t="str">
        <x:f>Export_Roll20_Helper!BH2</x:f>
        <x:v>{"name":[{"value":"Créature exemple"}],"appearance":[],"description":[],"creature_family":[{"value":"Dragon","label":"Dragon"}],"archetype":[{"value":"Standard","label":"Standard"}],"level":[{"value":"10"}],"category":[{"value":"alive"}],"size":[{"value":"Grand","label":"Grand"}],"str_mod":[{"value":"5"}],"dex_mod":[{"value":"3"}],"con_mod":[{"value":"1"}],"int_mod":[{"value":"0"}],"wis_mod":[{"value":"3"}],"cha_mod":[{"value":"1"}],"sup_abilities":[],"defense":[{"value":"21"}],"health_point":[{"value":"101"}],"dmg_reduction":[],"init":[{"value":"15"}],"attacks":[{"value":"","format":"simple_html","data":[{"name":"Attaque principale","test":"+7","dm":"2d12+5","special":null,"reach":null},{"name":"Attaque secondaire","test":"+5","dm":"2d12+3","special":null,"reach":"10"}]}],"profile":[{"value":"Dragon élémentaire · Standard"}],"paths":[],"special_capabilities":[{"value":"Souffle élémentaire : Élément associé ; moitié sur réussite","format":"simple_html"}],"structured_capabilities":[],"capabilities":[],"spells":[],"movement":[{"value":"9"}],"flight":[{"value":"12"}],"swim":[{"value":"9"}],"climb":[{"value":"0"}],"burrow":[{"value":"0"}],"reach":[{"value":"2"}],"predicates":[{"value":"resistanceA_tranchant resistanceA_percant absorptionA_feu faiblesseMajeureA_eau"}],"cof_actions":[{"name":"Souffle élémentaire","command":"!cof-attack @{selected|token_id} @{target|token_id} Souffle élémentaire --auto --dm 2d12+1 --portee 15 --feu --cone 90 --psave DEX 13 --recharge 5 MC_SIG1","description":"Élément associé ; moitié sur réussite"}],"subfamily":[{"value":"Dragon élémentaire"}],"major_archetype":[{"value":"Martial"}],"physical_archetype":[{"value":"Ravageur"}],"mental_archetype":[{"value":"Mystique"}],"minor_archetype":[{"value":"Prudent"}],"armor_choice":[{"value":"Aucune"}],"component_rarity":[{"value":"Commune"}],"linked_element":[{"value":"Feu"}],"opposed_element":[{"value":"Eau"}],"affinities":[{"value":"R Tranchant; R Perforant; S Feu; FM Eau"}],"comments":[{"value":"[LOOT]\nTYPE: CREATURE\nNAME: Créature exemple\nFAMILY: Dragon\nTIER: NC 10.71\nRARITY: COMMUN\nVALUE: [[10d20]] PA 45 PA\n[/LOOT]","format":"simple_html"}],"picture":[]}</x:v>
      </x:c>
      <x:c r="B13" s="134"/>
      <x:c r="C13" s="134"/>
      <x:c r="D13" s="122"/>
      <x:c r="E13" s="122"/>
      <x:c r="F13" s="122"/>
      <x:c r="G13" s="122"/>
      <x:c r="H13" s="122"/>
    </x:row>
    <x:row r="14">
      <x:c r="A14" s="122"/>
      <x:c r="B14" s="122"/>
      <x:c r="C14" s="122"/>
      <x:c r="D14" s="122"/>
      <x:c r="E14" s="122"/>
      <x:c r="F14" s="122"/>
      <x:c r="G14" s="122"/>
      <x:c r="H14" s="122"/>
    </x:row>
    <x:row r="15">
      <x:c r="A15" s="122"/>
      <x:c r="B15" s="122"/>
      <x:c r="C15" s="122"/>
      <x:c r="D15" s="122"/>
      <x:c r="E15" s="122"/>
      <x:c r="F15" s="122"/>
      <x:c r="G15" s="122"/>
      <x:c r="H15" s="122"/>
    </x:row>
    <x:row r="16">
      <x:c r="A16" s="122"/>
      <x:c r="B16" s="122"/>
      <x:c r="C16" s="122"/>
      <x:c r="D16" s="122"/>
      <x:c r="E16" s="122"/>
      <x:c r="F16" s="122"/>
      <x:c r="G16" s="122"/>
      <x:c r="H16" s="122"/>
    </x:row>
    <x:row r="17">
      <x:c r="A17" s="122"/>
      <x:c r="B17" s="122"/>
      <x:c r="C17" s="122"/>
      <x:c r="D17" s="122"/>
      <x:c r="E17" s="122"/>
      <x:c r="F17" s="122"/>
      <x:c r="G17" s="122"/>
      <x:c r="H17" s="122"/>
    </x:row>
    <x:row r="18">
      <x:c r="A18" s="122"/>
      <x:c r="B18" s="122"/>
      <x:c r="C18" s="122"/>
      <x:c r="D18" s="122"/>
      <x:c r="E18" s="122"/>
      <x:c r="F18" s="122"/>
      <x:c r="G18" s="122"/>
      <x:c r="H18" s="122"/>
    </x:row>
    <x:row r="19">
      <x:c r="A19" s="122"/>
      <x:c r="B19" s="122"/>
      <x:c r="C19" s="122"/>
      <x:c r="D19" s="122"/>
      <x:c r="E19" s="122"/>
      <x:c r="F19" s="122"/>
      <x:c r="G19" s="122"/>
      <x:c r="H19" s="122"/>
    </x:row>
    <x:row r="20">
      <x:c r="A20" s="122"/>
      <x:c r="B20" s="122"/>
      <x:c r="C20" s="122"/>
      <x:c r="D20" s="122"/>
      <x:c r="E20" s="122"/>
      <x:c r="F20" s="122"/>
      <x:c r="G20" s="122"/>
      <x:c r="H20" s="122"/>
    </x:row>
    <x:row r="21">
      <x:c r="A21" s="122"/>
      <x:c r="B21" s="122"/>
      <x:c r="C21" s="122"/>
      <x:c r="D21" s="122"/>
      <x:c r="E21" s="122"/>
      <x:c r="F21" s="122"/>
      <x:c r="G21" s="122"/>
      <x:c r="H21" s="122"/>
    </x:row>
    <x:row r="22">
      <x:c r="A22" s="122"/>
      <x:c r="B22" s="122"/>
      <x:c r="C22" s="122"/>
      <x:c r="D22" s="122"/>
      <x:c r="E22" s="122"/>
      <x:c r="F22" s="122"/>
      <x:c r="G22" s="122"/>
      <x:c r="H22" s="122"/>
    </x:row>
    <x:row r="23">
      <x:c r="A23" s="122"/>
      <x:c r="B23" s="122"/>
      <x:c r="C23" s="122"/>
      <x:c r="D23" s="122"/>
      <x:c r="E23" s="122"/>
      <x:c r="F23" s="122"/>
      <x:c r="G23" s="122"/>
      <x:c r="H23" s="122"/>
    </x:row>
    <x:row r="24">
      <x:c r="A24" s="122"/>
      <x:c r="B24" s="122"/>
      <x:c r="C24" s="122"/>
      <x:c r="D24" s="122"/>
      <x:c r="E24" s="122"/>
      <x:c r="F24" s="122"/>
      <x:c r="G24" s="122"/>
      <x:c r="H24" s="122"/>
    </x:row>
    <x:row r="25">
      <x:c r="A25" s="122"/>
      <x:c r="B25" s="122"/>
      <x:c r="C25" s="122"/>
      <x:c r="D25" s="122"/>
      <x:c r="E25" s="122"/>
      <x:c r="F25" s="122"/>
      <x:c r="G25" s="122"/>
      <x:c r="H25" s="122"/>
    </x:row>
    <x:row r="26">
      <x:c r="A26" s="122"/>
      <x:c r="B26" s="122"/>
      <x:c r="C26" s="122"/>
      <x:c r="D26" s="122"/>
      <x:c r="E26" s="122"/>
      <x:c r="F26" s="122"/>
      <x:c r="G26" s="122"/>
      <x:c r="H26" s="122"/>
    </x:row>
    <x:row r="27">
      <x:c r="A27" s="122"/>
      <x:c r="B27" s="122"/>
      <x:c r="C27" s="122"/>
      <x:c r="D27" s="122"/>
      <x:c r="E27" s="122"/>
      <x:c r="F27" s="122"/>
      <x:c r="G27" s="122"/>
      <x:c r="H27" s="122"/>
    </x:row>
    <x:row r="28">
      <x:c r="A28" s="122"/>
      <x:c r="B28" s="122"/>
      <x:c r="C28" s="122"/>
      <x:c r="D28" s="122"/>
      <x:c r="E28" s="122"/>
      <x:c r="F28" s="122"/>
      <x:c r="G28" s="122"/>
      <x:c r="H28" s="122"/>
    </x:row>
    <x:row r="29">
      <x:c r="A29" s="122"/>
      <x:c r="B29" s="122"/>
      <x:c r="C29" s="122"/>
      <x:c r="D29" s="122"/>
      <x:c r="E29" s="122"/>
      <x:c r="F29" s="122"/>
      <x:c r="G29" s="122"/>
      <x:c r="H29" s="122"/>
    </x:row>
    <x:row r="30">
      <x:c r="A30" s="122"/>
      <x:c r="B30" s="122"/>
      <x:c r="C30" s="122"/>
      <x:c r="D30" s="122"/>
      <x:c r="E30" s="122"/>
      <x:c r="F30" s="122"/>
      <x:c r="G30" s="122"/>
      <x:c r="H30" s="122"/>
    </x:row>
    <x:row r="31">
      <x:c r="A31" s="122"/>
      <x:c r="B31" s="122"/>
      <x:c r="C31" s="122"/>
      <x:c r="D31" s="122"/>
      <x:c r="E31" s="122"/>
      <x:c r="F31" s="122"/>
      <x:c r="G31" s="122"/>
      <x:c r="H31" s="122"/>
    </x:row>
    <x:row r="32">
      <x:c r="A32" s="122"/>
      <x:c r="B32" s="122"/>
      <x:c r="C32" s="122"/>
      <x:c r="D32" s="122"/>
      <x:c r="E32" s="122"/>
      <x:c r="F32" s="122"/>
      <x:c r="G32" s="122"/>
      <x:c r="H32" s="122"/>
    </x:row>
    <x:row r="33">
      <x:c r="A33" s="122"/>
      <x:c r="B33" s="122"/>
      <x:c r="C33" s="122"/>
      <x:c r="D33" s="122"/>
      <x:c r="E33" s="122"/>
      <x:c r="F33" s="122"/>
      <x:c r="G33" s="122"/>
      <x:c r="H33" s="122"/>
    </x:row>
    <x:row r="34">
      <x:c r="A34" s="122"/>
      <x:c r="B34" s="122"/>
      <x:c r="C34" s="122"/>
      <x:c r="D34" s="122"/>
      <x:c r="E34" s="122"/>
      <x:c r="F34" s="122"/>
      <x:c r="G34" s="122"/>
      <x:c r="H34" s="122"/>
    </x:row>
    <x:row r="35">
      <x:c r="A35" s="31"/>
      <x:c r="B35" s="31"/>
      <x:c r="C35" s="31"/>
    </x:row>
    <x:row r="36">
      <x:c r="A36" s="99" t="str">
        <x:v>COMMANDES GÉNÉRÉES</x:v>
      </x:c>
      <x:c r="B36" s="99"/>
      <x:c r="C36" s="99"/>
      <x:c r="D36" s="109"/>
      <x:c r="E36" s="109"/>
      <x:c r="F36" s="109"/>
      <x:c r="G36" s="109"/>
      <x:c r="H36" s="109"/>
    </x:row>
    <x:row r="37">
      <x:c r="A37" s="106" t="str">
        <x:v>Nom</x:v>
      </x:c>
      <x:c r="B37" s="106" t="str">
        <x:v>Commande</x:v>
      </x:c>
      <x:c r="C37" s="106" t="str">
        <x:v>Description</x:v>
      </x:c>
    </x:row>
    <x:row r="38">
      <x:c r="A38" s="31" t="str">
        <x:f>Export_Roll20_Helper!C22</x:f>
        <x:v>Attaque principale</x:v>
      </x:c>
      <x:c r="B38" s="31" t="str">
        <x:f>Export_Roll20_Helper!Q22</x:f>
        <x:v>!cof-attack @{selected|token_id} @{target|token_id} 1 --tranchant</x:v>
      </x:c>
      <x:c r="C38" s="31" t="str">
        <x:f>Export_Roll20_Helper!R22</x:f>
        <x:v>Contact · Toucher +7 · 2d12+5 Tranchant</x:v>
      </x:c>
    </x:row>
    <x:row r="39">
      <x:c r="A39" s="31" t="str">
        <x:f>Export_Roll20_Helper!C23</x:f>
        <x:v>Attaque secondaire</x:v>
      </x:c>
      <x:c r="B39" s="31" t="str">
        <x:f>Export_Roll20_Helper!Q23</x:f>
        <x:v>!cof-attack @{selected|token_id} @{target|token_id} 2 --percant</x:v>
      </x:c>
      <x:c r="C39" s="31" t="str">
        <x:f>Export_Roll20_Helper!R23</x:f>
        <x:v>Courte · Toucher +5 · 2d12+3 Perforant</x:v>
      </x:c>
    </x:row>
    <x:row r="40">
      <x:c r="A40" s="31" t="n">
        <x:f>Export_Roll20_Helper!C24</x:f>
        <x:v>0</x:v>
      </x:c>
      <x:c r="B40" s="31" t="n">
        <x:f>Export_Roll20_Helper!Q24</x:f>
        <x:v>0</x:v>
      </x:c>
      <x:c r="C40" s="31" t="n">
        <x:f>Export_Roll20_Helper!R24</x:f>
        <x:v>0</x:v>
      </x:c>
    </x:row>
    <x:row r="41">
      <x:c r="A41" s="31" t="n">
        <x:f>Export_Roll20_Helper!C25</x:f>
        <x:v>0</x:v>
      </x:c>
      <x:c r="B41" s="31" t="n">
        <x:f>Export_Roll20_Helper!Q25</x:f>
        <x:v>0</x:v>
      </x:c>
      <x:c r="C41" s="31" t="n">
        <x:f>Export_Roll20_Helper!R25</x:f>
        <x:v>0</x:v>
      </x:c>
    </x:row>
    <x:row r="42">
      <x:c r="A42" s="31" t="str">
        <x:f>Export_Roll20_Helper!C2</x:f>
        <x:v>Souffle élémentaire</x:v>
      </x:c>
      <x:c r="B42" s="31" t="str">
        <x:f>Export_Roll20_Helper!Q2</x:f>
        <x:v>!cof-attack @{selected|token_id} @{target|token_id} Souffle élémentaire --auto --dm 2d12+1 --portee 15 --feu --cone 90 --psave DEX 13 --recharge 5 MC_SIG1</x:v>
      </x:c>
      <x:c r="C42" s="31" t="str">
        <x:f>Export_Roll20_Helper!R2</x:f>
        <x:v>Élément associé ; moitié sur réussite</x:v>
      </x:c>
    </x:row>
    <x:row r="43">
      <x:c r="A43" s="31" t="n">
        <x:f>Export_Roll20_Helper!C3</x:f>
        <x:v>0</x:v>
      </x:c>
      <x:c r="B43" s="31" t="str">
        <x:f>Export_Roll20_Helper!Q3</x:f>
      </x:c>
      <x:c r="C43" s="31" t="str">
        <x:f>Export_Roll20_Helper!R3</x:f>
      </x:c>
    </x:row>
    <x:row r="44">
      <x:c r="A44" s="31" t="n">
        <x:f>Export_Roll20_Helper!C4</x:f>
        <x:v>0</x:v>
      </x:c>
      <x:c r="B44" s="31" t="str">
        <x:f>Export_Roll20_Helper!Q4</x:f>
      </x:c>
      <x:c r="C44" s="31" t="str">
        <x:f>Export_Roll20_Helper!R4</x:f>
      </x:c>
    </x:row>
    <x:row r="45">
      <x:c r="A45" s="31" t="n">
        <x:f>Export_Roll20_Helper!C5</x:f>
        <x:v>0</x:v>
      </x:c>
      <x:c r="B45" s="31" t="str">
        <x:f>Export_Roll20_Helper!Q5</x:f>
      </x:c>
      <x:c r="C45" s="31" t="str">
        <x:f>Export_Roll20_Helper!R5</x:f>
      </x:c>
    </x:row>
    <x:row r="46">
      <x:c r="A46" s="31" t="n">
        <x:f>Export_Roll20_Helper!C6</x:f>
        <x:v>0</x:v>
      </x:c>
      <x:c r="B46" s="31" t="str">
        <x:f>Export_Roll20_Helper!Q6</x:f>
      </x:c>
      <x:c r="C46" s="31" t="str">
        <x:f>Export_Roll20_Helper!R6</x:f>
      </x:c>
    </x:row>
    <x:row r="47">
      <x:c r="A47" s="31" t="n">
        <x:f>Export_Roll20_Helper!C7</x:f>
        <x:v>0</x:v>
      </x:c>
      <x:c r="B47" s="31" t="str">
        <x:f>Export_Roll20_Helper!Q7</x:f>
      </x:c>
      <x:c r="C47" s="31" t="str">
        <x:f>Export_Roll20_Helper!R7</x:f>
      </x:c>
    </x:row>
    <x:row r="48">
      <x:c r="A48" s="31" t="n">
        <x:f>Export_Roll20_Helper!C8</x:f>
        <x:v>0</x:v>
      </x:c>
      <x:c r="B48" s="31" t="str">
        <x:f>Export_Roll20_Helper!Q8</x:f>
      </x:c>
      <x:c r="C48" s="31" t="str">
        <x:f>Export_Roll20_Helper!R8</x:f>
      </x:c>
    </x:row>
    <x:row r="49">
      <x:c r="A49" s="31" t="n">
        <x:f>Export_Roll20_Helper!C9</x:f>
        <x:v>0</x:v>
      </x:c>
      <x:c r="B49" s="31" t="str">
        <x:f>Export_Roll20_Helper!Q9</x:f>
      </x:c>
      <x:c r="C49" s="31" t="str">
        <x:f>Export_Roll20_Helper!R9</x:f>
      </x:c>
    </x:row>
    <x:row r="50">
      <x:c r="A50" s="31" t="n">
        <x:f>Export_Roll20_Helper!C10</x:f>
        <x:v>0</x:v>
      </x:c>
      <x:c r="B50" s="31" t="str">
        <x:f>Export_Roll20_Helper!Q10</x:f>
      </x:c>
      <x:c r="C50" s="31" t="str">
        <x:f>Export_Roll20_Helper!R10</x:f>
      </x:c>
    </x:row>
    <x:row r="51">
      <x:c r="A51" s="31" t="n">
        <x:f>Export_Roll20_Helper!C11</x:f>
        <x:v>0</x:v>
      </x:c>
      <x:c r="B51" s="31" t="str">
        <x:f>Export_Roll20_Helper!Q11</x:f>
      </x:c>
      <x:c r="C51" s="31" t="str">
        <x:f>Export_Roll20_Helper!R11</x:f>
      </x:c>
    </x:row>
    <x:row r="52">
      <x:c r="A52" s="31" t="n">
        <x:f>Export_Roll20_Helper!C12</x:f>
        <x:v>0</x:v>
      </x:c>
      <x:c r="B52" s="31" t="str">
        <x:f>Export_Roll20_Helper!Q12</x:f>
      </x:c>
      <x:c r="C52" s="31" t="str">
        <x:f>Export_Roll20_Helper!R12</x:f>
      </x:c>
    </x:row>
    <x:row r="53">
      <x:c r="A53" s="31" t="n">
        <x:f>Export_Roll20_Helper!C13</x:f>
        <x:v>0</x:v>
      </x:c>
      <x:c r="B53" s="31" t="str">
        <x:f>Export_Roll20_Helper!Q13</x:f>
      </x:c>
      <x:c r="C53" s="31" t="str">
        <x:f>Export_Roll20_Helper!R13</x:f>
      </x:c>
    </x:row>
    <x:row r="54">
      <x:c r="A54" s="31" t="n">
        <x:f>Export_Roll20_Helper!C14</x:f>
        <x:v>0</x:v>
      </x:c>
      <x:c r="B54" s="31" t="str">
        <x:f>Export_Roll20_Helper!Q14</x:f>
      </x:c>
      <x:c r="C54" s="31" t="str">
        <x:f>Export_Roll20_Helper!R14</x:f>
      </x:c>
    </x:row>
    <x:row r="55">
      <x:c r="A55" s="31" t="n">
        <x:f>Export_Roll20_Helper!C15</x:f>
        <x:v>0</x:v>
      </x:c>
      <x:c r="B55" s="31" t="str">
        <x:f>Export_Roll20_Helper!Q15</x:f>
      </x:c>
      <x:c r="C55" s="31" t="str">
        <x:f>Export_Roll20_Helper!R15</x:f>
      </x:c>
    </x:row>
    <x:row r="56">
      <x:c r="A56" s="31" t="n">
        <x:f>Export_Roll20_Helper!C16</x:f>
        <x:v>0</x:v>
      </x:c>
      <x:c r="B56" s="31" t="str">
        <x:f>Export_Roll20_Helper!Q16</x:f>
      </x:c>
      <x:c r="C56" s="31" t="str">
        <x:f>Export_Roll20_Helper!R16</x:f>
      </x:c>
    </x:row>
    <x:row r="57">
      <x:c r="A57" s="31" t="n">
        <x:f>Export_Roll20_Helper!C17</x:f>
        <x:v>0</x:v>
      </x:c>
      <x:c r="B57" s="31" t="str">
        <x:f>Export_Roll20_Helper!Q17</x:f>
      </x:c>
      <x:c r="C57" s="31" t="str">
        <x:f>Export_Roll20_Helper!R17</x:f>
      </x:c>
    </x:row>
    <x:row r="58">
      <x:c r="A58" s="31" t="n">
        <x:f>Export_Roll20_Helper!C18</x:f>
        <x:v>0</x:v>
      </x:c>
      <x:c r="B58" s="31" t="str">
        <x:f>Export_Roll20_Helper!Q18</x:f>
      </x:c>
      <x:c r="C58" s="31" t="str">
        <x:f>Export_Roll20_Helper!R18</x:f>
      </x:c>
    </x:row>
    <x:row r="59">
      <x:c r="A59" s="31" t="n">
        <x:f>Export_Roll20_Helper!C19</x:f>
        <x:v>0</x:v>
      </x:c>
      <x:c r="B59" s="31" t="n">
        <x:f>Export_Roll20_Helper!Q19</x:f>
        <x:v>0</x:v>
      </x:c>
      <x:c r="C59" s="31" t="n">
        <x:f>Export_Roll20_Helper!R19</x:f>
        <x:v>0</x:v>
      </x:c>
    </x:row>
    <x:row r="60">
      <x:c r="A60" s="31"/>
      <x:c r="B60" s="31"/>
      <x:c r="C60" s="31"/>
    </x:row>
    <x:row r="61">
      <x:c r="A61" s="31"/>
      <x:c r="B61" s="31"/>
      <x:c r="C61" s="31"/>
    </x:row>
    <x:row r="62">
      <x:c r="A62" s="31"/>
      <x:c r="B62" s="31"/>
      <x:c r="C62" s="31"/>
    </x:row>
    <x:row r="63">
      <x:c r="A63" s="31"/>
      <x:c r="B63" s="31"/>
      <x:c r="C63" s="31"/>
    </x:row>
    <x:row r="64">
      <x:c r="A64" s="31"/>
      <x:c r="B64" s="31"/>
      <x:c r="C64" s="31"/>
    </x:row>
    <x:row r="65">
      <x:c r="A65" s="31"/>
      <x:c r="B65" s="31"/>
      <x:c r="C65" s="31"/>
    </x:row>
    <x:row r="66">
      <x:c r="A66" s="31"/>
      <x:c r="B66" s="31"/>
      <x:c r="C66" s="31"/>
    </x:row>
    <x:row r="67">
      <x:c r="A67" s="31"/>
      <x:c r="B67" s="31"/>
      <x:c r="C67" s="31"/>
    </x:row>
    <x:row r="68">
      <x:c r="A68" s="31"/>
      <x:c r="B68" s="31"/>
      <x:c r="C68" s="31"/>
    </x:row>
    <x:row r="69">
      <x:c r="A69" s="31"/>
      <x:c r="B69" s="31"/>
      <x:c r="C69" s="31"/>
    </x:row>
    <x:row r="70">
      <x:c r="A70" s="31"/>
      <x:c r="B70" s="31"/>
      <x:c r="C70" s="31"/>
    </x:row>
    <x:row r="71">
      <x:c r="A71" s="31"/>
      <x:c r="B71" s="31"/>
      <x:c r="C71" s="31"/>
    </x:row>
    <x:row r="72">
      <x:c r="A72" s="31"/>
      <x:c r="B72" s="31"/>
      <x:c r="C72" s="31"/>
    </x:row>
    <x:row r="73">
      <x:c r="A73" s="31"/>
      <x:c r="B73" s="31"/>
      <x:c r="C73" s="31"/>
    </x:row>
    <x:row r="74">
      <x:c r="A74" s="31"/>
      <x:c r="B74" s="31"/>
      <x:c r="C74" s="31"/>
    </x:row>
    <x:row r="75">
      <x:c r="A75" s="31"/>
      <x:c r="B75" s="31"/>
      <x:c r="C75" s="31"/>
    </x:row>
    <x:row r="76">
      <x:c r="A76" s="31"/>
      <x:c r="B76" s="31"/>
      <x:c r="C76" s="31"/>
    </x:row>
    <x:row r="77">
      <x:c r="A77" s="31"/>
      <x:c r="B77" s="31"/>
      <x:c r="C77" s="31"/>
    </x:row>
    <x:row r="78">
      <x:c r="A78" s="31"/>
      <x:c r="B78" s="31"/>
      <x:c r="C78" s="31"/>
    </x:row>
    <x:row r="79">
      <x:c r="A79" s="31"/>
      <x:c r="B79" s="31"/>
      <x:c r="C79" s="31"/>
    </x:row>
    <x:row r="80">
      <x:c r="A80" s="31"/>
      <x:c r="B80" s="31"/>
      <x:c r="C80" s="31"/>
    </x:row>
    <x:row r="81">
      <x:c r="A81" s="31"/>
      <x:c r="B81" s="31"/>
      <x:c r="C81" s="31"/>
    </x:row>
    <x:row r="82">
      <x:c r="A82" s="31"/>
      <x:c r="B82" s="31"/>
      <x:c r="C82" s="31"/>
    </x:row>
    <x:row r="83">
      <x:c r="A83" s="31"/>
      <x:c r="B83" s="31"/>
      <x:c r="C83" s="31"/>
    </x:row>
    <x:row r="84">
      <x:c r="A84" s="31"/>
      <x:c r="B84" s="31"/>
      <x:c r="C84" s="31"/>
    </x:row>
    <x:row r="85">
      <x:c r="A85" s="31"/>
      <x:c r="B85" s="31"/>
      <x:c r="C85" s="31"/>
    </x:row>
    <x:row r="86">
      <x:c r="A86" s="31"/>
      <x:c r="B86" s="31"/>
      <x:c r="C86" s="31"/>
    </x:row>
    <x:row r="87">
      <x:c r="A87" s="31"/>
      <x:c r="B87" s="31"/>
      <x:c r="C87" s="31"/>
    </x:row>
    <x:row r="88">
      <x:c r="A88" s="31"/>
      <x:c r="B88" s="31"/>
      <x:c r="C88" s="31"/>
    </x:row>
    <x:row r="89">
      <x:c r="A89" s="31"/>
      <x:c r="B89" s="31"/>
      <x:c r="C89" s="31"/>
    </x:row>
    <x:row r="90">
      <x:c r="A90" s="31"/>
      <x:c r="B90" s="31"/>
      <x:c r="C90" s="31"/>
    </x:row>
    <x:row r="91">
      <x:c r="A91" s="31"/>
      <x:c r="B91" s="31"/>
      <x:c r="C91" s="31"/>
    </x:row>
    <x:row r="92">
      <x:c r="A92" s="31"/>
      <x:c r="B92" s="31"/>
      <x:c r="C92" s="31"/>
    </x:row>
    <x:row r="93">
      <x:c r="A93" s="31"/>
      <x:c r="B93" s="31"/>
      <x:c r="C93" s="31"/>
    </x:row>
    <x:row r="94">
      <x:c r="A94" s="31"/>
      <x:c r="B94" s="31"/>
      <x:c r="C94" s="31"/>
    </x:row>
    <x:row r="95">
      <x:c r="A95" s="31"/>
      <x:c r="B95" s="31"/>
      <x:c r="C95" s="31"/>
    </x:row>
    <x:row r="96">
      <x:c r="A96" s="31"/>
      <x:c r="B96" s="31"/>
      <x:c r="C96" s="31"/>
    </x:row>
    <x:row r="97">
      <x:c r="A97" s="31"/>
      <x:c r="B97" s="31"/>
      <x:c r="C97" s="31"/>
    </x:row>
    <x:row r="98">
      <x:c r="A98" s="31"/>
      <x:c r="B98" s="31"/>
      <x:c r="C98" s="31"/>
    </x:row>
    <x:row r="99">
      <x:c r="A99" s="31"/>
      <x:c r="B99" s="31"/>
      <x:c r="C99" s="31"/>
    </x:row>
    <x:row r="100">
      <x:c r="A100" s="31"/>
      <x:c r="B100" s="31"/>
      <x:c r="C100" s="31"/>
    </x:row>
    <x:row r="101">
      <x:c r="A101" s="31"/>
      <x:c r="B101" s="31"/>
      <x:c r="C101" s="31"/>
    </x:row>
    <x:row r="102">
      <x:c r="A102" s="31"/>
      <x:c r="B102" s="31"/>
      <x:c r="C102" s="31"/>
    </x:row>
    <x:row r="103">
      <x:c r="A103" s="31"/>
      <x:c r="B103" s="31"/>
      <x:c r="C103" s="31"/>
    </x:row>
    <x:row r="104">
      <x:c r="A104" s="31"/>
      <x:c r="B104" s="31"/>
      <x:c r="C104" s="31"/>
    </x:row>
    <x:row r="105">
      <x:c r="A105" s="31"/>
      <x:c r="B105" s="31"/>
      <x:c r="C105" s="31"/>
    </x:row>
    <x:row r="106">
      <x:c r="A106" s="31"/>
      <x:c r="B106" s="31"/>
      <x:c r="C106" s="31"/>
    </x:row>
    <x:row r="107">
      <x:c r="A107" s="31"/>
      <x:c r="B107" s="31"/>
      <x:c r="C107" s="31"/>
    </x:row>
    <x:row r="108">
      <x:c r="A108" s="31"/>
      <x:c r="B108" s="31"/>
      <x:c r="C108" s="31"/>
    </x:row>
    <x:row r="109">
      <x:c r="A109" s="31"/>
      <x:c r="B109" s="31"/>
      <x:c r="C109" s="31"/>
    </x:row>
    <x:row r="110">
      <x:c r="A110" s="31"/>
      <x:c r="B110" s="31"/>
      <x:c r="C110" s="31"/>
    </x:row>
    <x:row r="111">
      <x:c r="A111" s="31"/>
      <x:c r="B111" s="31"/>
      <x:c r="C111" s="31"/>
    </x:row>
    <x:row r="112">
      <x:c r="A112" s="31"/>
      <x:c r="B112" s="31"/>
      <x:c r="C112" s="31"/>
    </x:row>
    <x:row r="113">
      <x:c r="A113" s="31"/>
      <x:c r="B113" s="31"/>
      <x:c r="C113" s="31"/>
    </x:row>
    <x:row r="114">
      <x:c r="A114" s="31"/>
      <x:c r="B114" s="31"/>
      <x:c r="C114" s="31"/>
    </x:row>
    <x:row r="115">
      <x:c r="A115" s="31"/>
      <x:c r="B115" s="31"/>
      <x:c r="C115" s="31"/>
    </x:row>
    <x:row r="116">
      <x:c r="A116" s="31"/>
      <x:c r="B116" s="31"/>
      <x:c r="C116" s="31"/>
    </x:row>
    <x:row r="117">
      <x:c r="A117" s="31"/>
      <x:c r="B117" s="31"/>
      <x:c r="C117" s="31"/>
    </x:row>
    <x:row r="118">
      <x:c r="A118" s="31"/>
      <x:c r="B118" s="31"/>
      <x:c r="C118" s="31"/>
    </x:row>
    <x:row r="119">
      <x:c r="A119" s="31"/>
      <x:c r="B119" s="31"/>
      <x:c r="C119" s="31"/>
    </x:row>
    <x:row r="120">
      <x:c r="A120" s="31"/>
      <x:c r="B120" s="31"/>
      <x:c r="C120" s="31"/>
    </x:row>
    <x:row r="121">
      <x:c r="A121" s="31"/>
      <x:c r="B121" s="31"/>
      <x:c r="C121" s="31"/>
    </x:row>
    <x:row r="122">
      <x:c r="A122" s="31"/>
      <x:c r="B122" s="31"/>
      <x:c r="C122" s="31"/>
    </x:row>
    <x:row r="123">
      <x:c r="A123" s="31"/>
      <x:c r="B123" s="31"/>
      <x:c r="C123" s="31"/>
    </x:row>
    <x:row r="124">
      <x:c r="A124" s="31"/>
      <x:c r="B124" s="31"/>
      <x:c r="C124" s="31"/>
    </x:row>
    <x:row r="125">
      <x:c r="A125" s="31"/>
      <x:c r="B125" s="31"/>
      <x:c r="C125" s="31"/>
    </x:row>
    <x:row r="126">
      <x:c r="A126" s="31"/>
      <x:c r="B126" s="31"/>
      <x:c r="C126" s="31"/>
    </x:row>
    <x:row r="127">
      <x:c r="A127" s="31"/>
      <x:c r="B127" s="31"/>
      <x:c r="C127" s="31"/>
    </x:row>
    <x:row r="128">
      <x:c r="A128" s="31"/>
      <x:c r="B128" s="31"/>
      <x:c r="C128" s="31"/>
    </x:row>
    <x:row r="129">
      <x:c r="A129" s="31"/>
      <x:c r="B129" s="31"/>
      <x:c r="C129" s="31"/>
    </x:row>
    <x:row r="130">
      <x:c r="A130" s="31"/>
      <x:c r="B130" s="31"/>
      <x:c r="C130" s="31"/>
    </x:row>
    <x:row r="131">
      <x:c r="A131" s="31"/>
      <x:c r="B131" s="31"/>
      <x:c r="C131" s="31"/>
    </x:row>
    <x:row r="132">
      <x:c r="A132" s="31"/>
      <x:c r="B132" s="31"/>
      <x:c r="C132" s="31"/>
    </x:row>
    <x:row r="133">
      <x:c r="A133" s="31"/>
      <x:c r="B133" s="31"/>
      <x:c r="C133" s="31"/>
    </x:row>
    <x:row r="134">
      <x:c r="A134" s="31"/>
      <x:c r="B134" s="31"/>
      <x:c r="C134" s="31"/>
    </x:row>
    <x:row r="135">
      <x:c r="A135" s="31"/>
      <x:c r="B135" s="31"/>
      <x:c r="C135" s="31"/>
    </x:row>
    <x:row r="136">
      <x:c r="A136" s="31"/>
      <x:c r="B136" s="31"/>
      <x:c r="C136" s="31"/>
    </x:row>
    <x:row r="137">
      <x:c r="A137" s="31"/>
      <x:c r="B137" s="31"/>
      <x:c r="C137" s="31"/>
    </x:row>
    <x:row r="138">
      <x:c r="A138" s="31"/>
      <x:c r="B138" s="31"/>
      <x:c r="C138" s="31"/>
    </x:row>
    <x:row r="139">
      <x:c r="A139" s="31"/>
      <x:c r="B139" s="31"/>
      <x:c r="C139" s="31"/>
    </x:row>
    <x:row r="140">
      <x:c r="A140" s="31"/>
      <x:c r="B140" s="31"/>
      <x:c r="C140" s="31"/>
    </x:row>
    <x:row r="141">
      <x:c r="A141" s="31"/>
      <x:c r="B141" s="31"/>
      <x:c r="C141" s="31"/>
    </x:row>
    <x:row r="142">
      <x:c r="A142" s="31"/>
      <x:c r="B142" s="31"/>
      <x:c r="C142" s="31"/>
    </x:row>
    <x:row r="143">
      <x:c r="A143" s="31"/>
      <x:c r="B143" s="31"/>
      <x:c r="C143" s="31"/>
    </x:row>
    <x:row r="144">
      <x:c r="A144" s="31"/>
      <x:c r="B144" s="31"/>
      <x:c r="C144" s="31"/>
    </x:row>
    <x:row r="145">
      <x:c r="A145" s="31"/>
      <x:c r="B145" s="31"/>
      <x:c r="C145" s="31"/>
    </x:row>
    <x:row r="146">
      <x:c r="A146" s="31"/>
      <x:c r="B146" s="31"/>
      <x:c r="C146" s="31"/>
    </x:row>
    <x:row r="147">
      <x:c r="A147" s="31"/>
      <x:c r="B147" s="31"/>
      <x:c r="C147" s="31"/>
    </x:row>
    <x:row r="148">
      <x:c r="A148" s="31"/>
      <x:c r="B148" s="31"/>
      <x:c r="C148" s="31"/>
    </x:row>
    <x:row r="149">
      <x:c r="A149" s="31"/>
      <x:c r="B149" s="31"/>
      <x:c r="C149" s="31"/>
    </x:row>
    <x:row r="150">
      <x:c r="A150" s="31"/>
      <x:c r="B150" s="31"/>
      <x:c r="C150" s="31"/>
    </x:row>
    <x:row r="151">
      <x:c r="A151" s="31"/>
      <x:c r="B151" s="31"/>
      <x:c r="C151" s="31"/>
    </x:row>
    <x:row r="152">
      <x:c r="A152" s="31"/>
      <x:c r="B152" s="31"/>
      <x:c r="C152" s="31"/>
    </x:row>
    <x:row r="153">
      <x:c r="A153" s="31"/>
      <x:c r="B153" s="31"/>
      <x:c r="C153" s="31"/>
    </x:row>
    <x:row r="154">
      <x:c r="A154" s="31"/>
      <x:c r="B154" s="31"/>
      <x:c r="C154" s="31"/>
    </x:row>
    <x:row r="155">
      <x:c r="A155" s="31"/>
      <x:c r="B155" s="31"/>
      <x:c r="C155" s="31"/>
    </x:row>
    <x:row r="156">
      <x:c r="A156" s="31"/>
      <x:c r="B156" s="31"/>
      <x:c r="C156" s="31"/>
    </x:row>
    <x:row r="157">
      <x:c r="A157" s="31"/>
      <x:c r="B157" s="31"/>
      <x:c r="C157" s="31"/>
    </x:row>
    <x:row r="158">
      <x:c r="A158" s="31"/>
      <x:c r="B158" s="31"/>
      <x:c r="C158" s="31"/>
    </x:row>
    <x:row r="159">
      <x:c r="A159" s="31"/>
      <x:c r="B159" s="31"/>
      <x:c r="C159" s="31"/>
    </x:row>
    <x:row r="160">
      <x:c r="A160" s="31"/>
      <x:c r="B160" s="31"/>
      <x:c r="C160" s="31"/>
    </x:row>
    <x:row r="161">
      <x:c r="A161" s="31"/>
      <x:c r="B161" s="31"/>
      <x:c r="C161" s="31"/>
    </x:row>
    <x:row r="162">
      <x:c r="A162" s="31"/>
      <x:c r="B162" s="31"/>
      <x:c r="C162" s="31"/>
    </x:row>
    <x:row r="163">
      <x:c r="A163" s="31"/>
      <x:c r="B163" s="31"/>
      <x:c r="C163" s="31"/>
    </x:row>
    <x:row r="164">
      <x:c r="A164" s="31"/>
      <x:c r="B164" s="31"/>
      <x:c r="C164" s="31"/>
    </x:row>
    <x:row r="165">
      <x:c r="A165" s="31"/>
      <x:c r="B165" s="31"/>
      <x:c r="C165" s="31"/>
    </x:row>
    <x:row r="166">
      <x:c r="A166" s="31"/>
      <x:c r="B166" s="31"/>
      <x:c r="C166" s="31"/>
    </x:row>
    <x:row r="167">
      <x:c r="A167" s="31"/>
      <x:c r="B167" s="31"/>
      <x:c r="C167" s="31"/>
    </x:row>
    <x:row r="168">
      <x:c r="A168" s="31"/>
      <x:c r="B168" s="31"/>
      <x:c r="C168" s="31"/>
    </x:row>
    <x:row r="169">
      <x:c r="A169" s="31"/>
      <x:c r="B169" s="31"/>
      <x:c r="C169" s="31"/>
    </x:row>
    <x:row r="170">
      <x:c r="A170" s="31"/>
      <x:c r="B170" s="31"/>
      <x:c r="C170" s="31"/>
    </x:row>
    <x:row r="171">
      <x:c r="A171" s="31"/>
      <x:c r="B171" s="31"/>
      <x:c r="C171" s="31"/>
    </x:row>
    <x:row r="172">
      <x:c r="A172" s="31"/>
      <x:c r="B172" s="31"/>
      <x:c r="C172" s="31"/>
    </x:row>
    <x:row r="173">
      <x:c r="A173" s="31"/>
      <x:c r="B173" s="31"/>
      <x:c r="C173" s="31"/>
    </x:row>
    <x:row r="174">
      <x:c r="A174" s="31"/>
      <x:c r="B174" s="31"/>
      <x:c r="C174" s="31"/>
    </x:row>
    <x:row r="175">
      <x:c r="A175" s="31"/>
      <x:c r="B175" s="31"/>
      <x:c r="C175" s="31"/>
    </x:row>
    <x:row r="176">
      <x:c r="A176" s="31"/>
      <x:c r="B176" s="31"/>
      <x:c r="C176" s="31"/>
    </x:row>
    <x:row r="177">
      <x:c r="A177" s="31"/>
      <x:c r="B177" s="31"/>
      <x:c r="C177" s="31"/>
    </x:row>
    <x:row r="178">
      <x:c r="A178" s="31"/>
      <x:c r="B178" s="31"/>
      <x:c r="C178" s="31"/>
    </x:row>
    <x:row r="179">
      <x:c r="A179" s="31"/>
      <x:c r="B179" s="31"/>
      <x:c r="C179" s="31"/>
    </x:row>
    <x:row r="180">
      <x:c r="A180" s="31"/>
      <x:c r="B180" s="31"/>
      <x:c r="C180" s="31"/>
    </x:row>
    <x:row r="181">
      <x:c r="A181" s="31"/>
      <x:c r="B181" s="31"/>
      <x:c r="C181" s="31"/>
    </x:row>
    <x:row r="182">
      <x:c r="A182" s="31"/>
      <x:c r="B182" s="31"/>
      <x:c r="C182" s="31"/>
    </x:row>
    <x:row r="183">
      <x:c r="A183" s="31"/>
      <x:c r="B183" s="31"/>
      <x:c r="C183" s="31"/>
    </x:row>
    <x:row r="184">
      <x:c r="A184" s="31"/>
      <x:c r="B184" s="31"/>
      <x:c r="C184" s="31"/>
    </x:row>
    <x:row r="185">
      <x:c r="A185" s="31"/>
      <x:c r="B185" s="31"/>
      <x:c r="C185" s="31"/>
    </x:row>
    <x:row r="186">
      <x:c r="A186" s="31"/>
      <x:c r="B186" s="31"/>
      <x:c r="C186" s="31"/>
    </x:row>
    <x:row r="187">
      <x:c r="A187" s="31"/>
      <x:c r="B187" s="31"/>
      <x:c r="C187" s="31"/>
    </x:row>
    <x:row r="188">
      <x:c r="A188" s="31"/>
      <x:c r="B188" s="31"/>
      <x:c r="C188" s="31"/>
    </x:row>
    <x:row r="189">
      <x:c r="A189" s="31"/>
      <x:c r="B189" s="31"/>
      <x:c r="C189" s="31"/>
    </x:row>
    <x:row r="190">
      <x:c r="A190" s="31"/>
      <x:c r="B190" s="31"/>
      <x:c r="C190" s="31"/>
    </x:row>
    <x:row r="191">
      <x:c r="A191" s="31"/>
      <x:c r="B191" s="31"/>
      <x:c r="C191" s="31"/>
    </x:row>
    <x:row r="192">
      <x:c r="A192" s="31"/>
      <x:c r="B192" s="31"/>
      <x:c r="C192" s="31"/>
    </x:row>
    <x:row r="193">
      <x:c r="A193" s="31"/>
      <x:c r="B193" s="31"/>
      <x:c r="C193" s="31"/>
    </x:row>
    <x:row r="194">
      <x:c r="A194" s="31"/>
      <x:c r="B194" s="31"/>
      <x:c r="C194" s="31"/>
    </x:row>
    <x:row r="195">
      <x:c r="A195" s="31"/>
      <x:c r="B195" s="31"/>
      <x:c r="C195" s="31"/>
    </x:row>
    <x:row r="196">
      <x:c r="A196" s="31"/>
      <x:c r="B196" s="31"/>
      <x:c r="C196" s="31"/>
    </x:row>
    <x:row r="197">
      <x:c r="A197" s="31"/>
      <x:c r="B197" s="31"/>
      <x:c r="C197" s="31"/>
    </x:row>
    <x:row r="198">
      <x:c r="A198" s="31"/>
      <x:c r="B198" s="31"/>
      <x:c r="C198" s="31"/>
    </x:row>
    <x:row r="199">
      <x:c r="A199" s="31"/>
      <x:c r="B199" s="31"/>
      <x:c r="C199" s="31"/>
    </x:row>
    <x:row r="200">
      <x:c r="A200" s="31"/>
      <x:c r="B200" s="31"/>
      <x:c r="C200" s="31"/>
    </x:row>
    <x:row r="201">
      <x:c r="A201" s="31"/>
      <x:c r="B201" s="31"/>
      <x:c r="C201" s="31"/>
    </x:row>
    <x:row r="202">
      <x:c r="A202" s="31"/>
      <x:c r="B202" s="31"/>
      <x:c r="C202" s="31"/>
    </x:row>
    <x:row r="203">
      <x:c r="A203" s="31"/>
      <x:c r="B203" s="31"/>
      <x:c r="C203" s="31"/>
    </x:row>
    <x:row r="204">
      <x:c r="A204" s="31"/>
      <x:c r="B204" s="31"/>
      <x:c r="C204" s="31"/>
    </x:row>
    <x:row r="205">
      <x:c r="A205" s="31"/>
      <x:c r="B205" s="31"/>
      <x:c r="C205" s="31"/>
    </x:row>
    <x:row r="206">
      <x:c r="A206" s="31"/>
      <x:c r="B206" s="31"/>
      <x:c r="C206" s="31"/>
    </x:row>
    <x:row r="208">
      <x:c r="A208"/>
      <x:c r="B208"/>
      <x:c r="C208"/>
    </x:row>
    <x:row r="209">
      <x:c r="A209"/>
      <x:c r="B209"/>
      <x:c r="C209"/>
    </x:row>
    <x:row r="210">
      <x:c r="A210"/>
      <x:c r="B210"/>
      <x:c r="C210"/>
    </x:row>
    <x:row r="211">
      <x:c r="A211"/>
      <x:c r="B211"/>
      <x:c r="C211"/>
    </x:row>
    <x:row r="212">
      <x:c r="A212"/>
      <x:c r="B212"/>
      <x:c r="C212"/>
    </x:row>
    <x:row r="213">
      <x:c r="A213"/>
      <x:c r="B213"/>
      <x:c r="C213"/>
    </x:row>
    <x:row r="214">
      <x:c r="A214"/>
      <x:c r="B214"/>
      <x:c r="C214"/>
    </x:row>
    <x:row r="215">
      <x:c r="A215"/>
      <x:c r="B215"/>
      <x:c r="C215"/>
    </x:row>
    <x:row r="216">
      <x:c r="A216"/>
      <x:c r="B216"/>
      <x:c r="C216"/>
    </x:row>
    <x:row r="217">
      <x:c r="A217"/>
      <x:c r="B217"/>
      <x:c r="C217"/>
    </x:row>
    <x:row r="218">
      <x:c r="A218"/>
      <x:c r="B218"/>
      <x:c r="C218"/>
    </x:row>
  </x:sheetData>
  <x:mergeCells>
    <x:mergeCell ref="A1:C1"/>
    <x:mergeCell ref="A1:H1"/>
    <x:mergeCell ref="A3:H3"/>
    <x:mergeCell ref="A12:H12"/>
    <x:mergeCell ref="A13:H34"/>
    <x:mergeCell ref="A36:H3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36" t="str">
        <x:v>NC</x:v>
      </x:c>
      <x:c r="B1" s="36" t="str">
        <x:v>Budget_carac</x:v>
      </x:c>
      <x:c r="C1" s="36" t="str">
        <x:v>PV_base</x:v>
      </x:c>
      <x:c r="D1" s="36" t="str">
        <x:v>DM_base</x:v>
      </x:c>
      <x:c r="E1" s="36" t="str">
        <x:v>Bonus_toucher_NC</x:v>
      </x:c>
      <x:c r="F1" s="36" t="str">
        <x:v>Budget_capacites</x:v>
      </x:c>
      <x:c r="G1" s="36" t="str">
        <x:v>Loot_base_PC</x:v>
      </x:c>
      <x:c r="H1" s="36" t="str">
        <x:v>Rang_sort_max</x:v>
      </x:c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t="n">
        <x:v>0</x:v>
      </x:c>
      <x:c r="B2" t="n">
        <x:v>5</x:v>
      </x:c>
      <x:c r="C2" t="n">
        <x:v>13</x:v>
      </x:c>
      <x:c r="D2" t="n">
        <x:v>2</x:v>
      </x:c>
      <x:c r="E2" t="n">
        <x:v>0</x:v>
      </x:c>
      <x:c r="F2" t="n">
        <x:v>1</x:v>
      </x:c>
      <x:c r="G2" t="n">
        <x:v>20</x:v>
      </x:c>
      <x:c r="H2" t="n">
        <x:v>1</x:v>
      </x:c>
    </x:row>
    <x:row r="3">
      <x:c r="A3" t="n">
        <x:v>1</x:v>
      </x:c>
      <x:c r="B3" t="n">
        <x:v>6</x:v>
      </x:c>
      <x:c r="C3" t="n">
        <x:v>15</x:v>
      </x:c>
      <x:c r="D3" t="n">
        <x:v>3</x:v>
      </x:c>
      <x:c r="E3" t="n">
        <x:v>0</x:v>
      </x:c>
      <x:c r="F3" t="n">
        <x:v>1</x:v>
      </x:c>
      <x:c r="G3" t="n">
        <x:v>30</x:v>
      </x:c>
      <x:c r="H3" t="n">
        <x:v>1</x:v>
      </x:c>
    </x:row>
    <x:row r="4">
      <x:c r="A4" t="n">
        <x:v>2</x:v>
      </x:c>
      <x:c r="B4" t="n">
        <x:v>7</x:v>
      </x:c>
      <x:c r="C4" t="n">
        <x:v>18</x:v>
      </x:c>
      <x:c r="D4" t="n">
        <x:v>4</x:v>
      </x:c>
      <x:c r="E4" t="n">
        <x:v>0</x:v>
      </x:c>
      <x:c r="F4" t="n">
        <x:v>1</x:v>
      </x:c>
      <x:c r="G4" t="n">
        <x:v>50</x:v>
      </x:c>
      <x:c r="H4" t="n">
        <x:v>1</x:v>
      </x:c>
    </x:row>
    <x:row r="5">
      <x:c r="A5" t="n">
        <x:v>3</x:v>
      </x:c>
      <x:c r="B5" t="n">
        <x:v>7</x:v>
      </x:c>
      <x:c r="C5" t="n">
        <x:v>22</x:v>
      </x:c>
      <x:c r="D5" t="n">
        <x:v>5</x:v>
      </x:c>
      <x:c r="E5" t="n">
        <x:v>0</x:v>
      </x:c>
      <x:c r="F5" t="n">
        <x:v>1</x:v>
      </x:c>
      <x:c r="G5" t="n">
        <x:v>80</x:v>
      </x:c>
      <x:c r="H5" t="n">
        <x:v>1</x:v>
      </x:c>
    </x:row>
    <x:row r="6">
      <x:c r="A6" t="n">
        <x:v>4</x:v>
      </x:c>
      <x:c r="B6" t="n">
        <x:v>8</x:v>
      </x:c>
      <x:c r="C6" t="n">
        <x:v>26</x:v>
      </x:c>
      <x:c r="D6" t="n">
        <x:v>6</x:v>
      </x:c>
      <x:c r="E6" t="n">
        <x:v>1</x:v>
      </x:c>
      <x:c r="F6" t="n">
        <x:v>2</x:v>
      </x:c>
      <x:c r="G6" t="n">
        <x:v>120</x:v>
      </x:c>
      <x:c r="H6" t="n">
        <x:v>2</x:v>
      </x:c>
    </x:row>
    <x:row r="7">
      <x:c r="A7" t="n">
        <x:v>5</x:v>
      </x:c>
      <x:c r="B7" t="n">
        <x:v>9</x:v>
      </x:c>
      <x:c r="C7" t="n">
        <x:v>31</x:v>
      </x:c>
      <x:c r="D7" t="n">
        <x:v>7</x:v>
      </x:c>
      <x:c r="E7" t="n">
        <x:v>1</x:v>
      </x:c>
      <x:c r="F7" t="n">
        <x:v>2</x:v>
      </x:c>
      <x:c r="G7" t="n">
        <x:v>200</x:v>
      </x:c>
      <x:c r="H7" t="n">
        <x:v>2</x:v>
      </x:c>
    </x:row>
    <x:row r="8">
      <x:c r="A8" t="n">
        <x:v>6</x:v>
      </x:c>
      <x:c r="B8" t="n">
        <x:v>10</x:v>
      </x:c>
      <x:c r="C8" t="n">
        <x:v>37</x:v>
      </x:c>
      <x:c r="D8" t="n">
        <x:v>8</x:v>
      </x:c>
      <x:c r="E8" t="n">
        <x:v>1</x:v>
      </x:c>
      <x:c r="F8" t="n">
        <x:v>2</x:v>
      </x:c>
      <x:c r="G8" t="n">
        <x:v>350</x:v>
      </x:c>
      <x:c r="H8" t="n">
        <x:v>2</x:v>
      </x:c>
    </x:row>
    <x:row r="9">
      <x:c r="A9" t="n">
        <x:v>7</x:v>
      </x:c>
      <x:c r="B9" t="n">
        <x:v>11</x:v>
      </x:c>
      <x:c r="C9" t="n">
        <x:v>44</x:v>
      </x:c>
      <x:c r="D9" t="n">
        <x:v>9</x:v>
      </x:c>
      <x:c r="E9" t="n">
        <x:v>1</x:v>
      </x:c>
      <x:c r="F9" t="n">
        <x:v>2</x:v>
      </x:c>
      <x:c r="G9" t="n">
        <x:v>600</x:v>
      </x:c>
      <x:c r="H9" t="n">
        <x:v>2</x:v>
      </x:c>
    </x:row>
    <x:row r="10">
      <x:c r="A10" t="n">
        <x:v>8</x:v>
      </x:c>
      <x:c r="B10" t="n">
        <x:v>11</x:v>
      </x:c>
      <x:c r="C10" t="n">
        <x:v>52</x:v>
      </x:c>
      <x:c r="D10" t="n">
        <x:v>10</x:v>
      </x:c>
      <x:c r="E10" t="n">
        <x:v>2</x:v>
      </x:c>
      <x:c r="F10" t="n">
        <x:v>3</x:v>
      </x:c>
      <x:c r="G10" t="n">
        <x:v>1000</x:v>
      </x:c>
      <x:c r="H10" t="n">
        <x:v>3</x:v>
      </x:c>
    </x:row>
    <x:row r="11">
      <x:c r="A11" t="n">
        <x:v>9</x:v>
      </x:c>
      <x:c r="B11" t="n">
        <x:v>12</x:v>
      </x:c>
      <x:c r="C11" t="n">
        <x:v>62</x:v>
      </x:c>
      <x:c r="D11" t="n">
        <x:v>11</x:v>
      </x:c>
      <x:c r="E11" t="n">
        <x:v>2</x:v>
      </x:c>
      <x:c r="F11" t="n">
        <x:v>3</x:v>
      </x:c>
      <x:c r="G11" t="n">
        <x:v>1700</x:v>
      </x:c>
      <x:c r="H11" t="n">
        <x:v>3</x:v>
      </x:c>
    </x:row>
    <x:row r="12">
      <x:c r="A12" t="n">
        <x:v>10</x:v>
      </x:c>
      <x:c r="B12" t="n">
        <x:v>13</x:v>
      </x:c>
      <x:c r="C12" t="n">
        <x:v>74</x:v>
      </x:c>
      <x:c r="D12" t="n">
        <x:v>12</x:v>
      </x:c>
      <x:c r="E12" t="n">
        <x:v>2</x:v>
      </x:c>
      <x:c r="F12" t="n">
        <x:v>3</x:v>
      </x:c>
      <x:c r="G12" t="n">
        <x:v>3000</x:v>
      </x:c>
      <x:c r="H12" t="n">
        <x:v>3</x:v>
      </x:c>
    </x:row>
    <x:row r="13">
      <x:c r="A13" t="n">
        <x:v>11</x:v>
      </x:c>
      <x:c r="B13" t="n">
        <x:v>14</x:v>
      </x:c>
      <x:c r="C13" t="n">
        <x:v>88</x:v>
      </x:c>
      <x:c r="D13" t="n">
        <x:v>13</x:v>
      </x:c>
      <x:c r="E13" t="n">
        <x:v>2</x:v>
      </x:c>
      <x:c r="F13" t="n">
        <x:v>3</x:v>
      </x:c>
      <x:c r="G13" t="n">
        <x:v>5500</x:v>
      </x:c>
      <x:c r="H13" t="n">
        <x:v>3</x:v>
      </x:c>
    </x:row>
    <x:row r="14">
      <x:c r="A14" t="n">
        <x:v>12</x:v>
      </x:c>
      <x:c r="B14" t="n">
        <x:v>15</x:v>
      </x:c>
      <x:c r="C14" t="n">
        <x:v>105</x:v>
      </x:c>
      <x:c r="D14" t="n">
        <x:v>14</x:v>
      </x:c>
      <x:c r="E14" t="n">
        <x:v>3</x:v>
      </x:c>
      <x:c r="F14" t="n">
        <x:v>4</x:v>
      </x:c>
      <x:c r="G14" t="n">
        <x:v>10000</x:v>
      </x:c>
      <x:c r="H14" t="n">
        <x:v>4</x:v>
      </x:c>
    </x:row>
    <x:row r="15">
      <x:c r="A15" t="n">
        <x:v>13</x:v>
      </x:c>
      <x:c r="B15" t="n">
        <x:v>15</x:v>
      </x:c>
      <x:c r="C15" t="n">
        <x:v>125</x:v>
      </x:c>
      <x:c r="D15" t="n">
        <x:v>15</x:v>
      </x:c>
      <x:c r="E15" t="n">
        <x:v>3</x:v>
      </x:c>
      <x:c r="F15" t="n">
        <x:v>4</x:v>
      </x:c>
      <x:c r="G15" t="n">
        <x:v>20000</x:v>
      </x:c>
      <x:c r="H15" t="n">
        <x:v>4</x:v>
      </x:c>
    </x:row>
    <x:row r="16">
      <x:c r="A16" t="n">
        <x:v>14</x:v>
      </x:c>
      <x:c r="B16" t="n">
        <x:v>16</x:v>
      </x:c>
      <x:c r="C16" t="n">
        <x:v>148</x:v>
      </x:c>
      <x:c r="D16" t="n">
        <x:v>16</x:v>
      </x:c>
      <x:c r="E16" t="n">
        <x:v>3</x:v>
      </x:c>
      <x:c r="F16" t="n">
        <x:v>4</x:v>
      </x:c>
      <x:c r="G16" t="n">
        <x:v>40000</x:v>
      </x:c>
      <x:c r="H16" t="n">
        <x:v>4</x:v>
      </x:c>
    </x:row>
    <x:row r="17">
      <x:c r="A17" t="n">
        <x:v>15</x:v>
      </x:c>
      <x:c r="B17" t="n">
        <x:v>17</x:v>
      </x:c>
      <x:c r="C17" t="n">
        <x:v>177</x:v>
      </x:c>
      <x:c r="D17" t="n">
        <x:v>17</x:v>
      </x:c>
      <x:c r="E17" t="n">
        <x:v>3</x:v>
      </x:c>
      <x:c r="F17" t="n">
        <x:v>4</x:v>
      </x:c>
      <x:c r="G17" t="n">
        <x:v>80000</x:v>
      </x:c>
      <x:c r="H17" t="n">
        <x:v>4</x:v>
      </x:c>
    </x:row>
    <x:row r="18">
      <x:c r="A18" t="n">
        <x:v>16</x:v>
      </x:c>
      <x:c r="B18" t="n">
        <x:v>18</x:v>
      </x:c>
      <x:c r="C18" t="n">
        <x:v>210</x:v>
      </x:c>
      <x:c r="D18" t="n">
        <x:v>18</x:v>
      </x:c>
      <x:c r="E18" t="n">
        <x:v>4</x:v>
      </x:c>
      <x:c r="F18" t="n">
        <x:v>5</x:v>
      </x:c>
      <x:c r="G18" t="n">
        <x:v>140000</x:v>
      </x:c>
      <x:c r="H18" t="n">
        <x:v>5</x:v>
      </x:c>
    </x:row>
    <x:row r="19">
      <x:c r="A19" t="n">
        <x:v>17</x:v>
      </x:c>
      <x:c r="B19" t="n">
        <x:v>19</x:v>
      </x:c>
      <x:c r="C19" t="n">
        <x:v>250</x:v>
      </x:c>
      <x:c r="D19" t="n">
        <x:v>19</x:v>
      </x:c>
      <x:c r="E19" t="n">
        <x:v>4</x:v>
      </x:c>
      <x:c r="F19" t="n">
        <x:v>5</x:v>
      </x:c>
      <x:c r="G19" t="n">
        <x:v>250000</x:v>
      </x:c>
      <x:c r="H19" t="n">
        <x:v>5</x:v>
      </x:c>
    </x:row>
    <x:row r="20">
      <x:c r="A20" t="n">
        <x:v>18</x:v>
      </x:c>
      <x:c r="B20" t="n">
        <x:v>19</x:v>
      </x:c>
      <x:c r="C20" t="n">
        <x:v>298</x:v>
      </x:c>
      <x:c r="D20" t="n">
        <x:v>20</x:v>
      </x:c>
      <x:c r="E20" t="n">
        <x:v>4</x:v>
      </x:c>
      <x:c r="F20" t="n">
        <x:v>5</x:v>
      </x:c>
      <x:c r="G20" t="n">
        <x:v>450000</x:v>
      </x:c>
      <x:c r="H20" t="n">
        <x:v>5</x:v>
      </x:c>
    </x:row>
    <x:row r="21">
      <x:c r="A21" t="n">
        <x:v>19</x:v>
      </x:c>
      <x:c r="B21" t="n">
        <x:v>20</x:v>
      </x:c>
      <x:c r="C21" t="n">
        <x:v>354</x:v>
      </x:c>
      <x:c r="D21" t="n">
        <x:v>21</x:v>
      </x:c>
      <x:c r="E21" t="n">
        <x:v>4</x:v>
      </x:c>
      <x:c r="F21" t="n">
        <x:v>5</x:v>
      </x:c>
      <x:c r="G21" t="n">
        <x:v>700000</x:v>
      </x:c>
      <x:c r="H21" t="n">
        <x:v>5</x:v>
      </x:c>
    </x:row>
    <x:row r="22">
      <x:c r="A22" t="n">
        <x:v>20</x:v>
      </x:c>
      <x:c r="B22" t="n">
        <x:v>21</x:v>
      </x:c>
      <x:c r="C22" t="n">
        <x:v>422</x:v>
      </x:c>
      <x:c r="D22" t="n">
        <x:v>22</x:v>
      </x:c>
      <x:c r="E22" t="n">
        <x:v>5</x:v>
      </x:c>
      <x:c r="F22" t="n">
        <x:v>5</x:v>
      </x:c>
      <x:c r="G22" t="n">
        <x:v>1000000</x:v>
      </x:c>
      <x:c r="H22" t="n">
        <x:v>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36" t="str">
        <x:v>Profil</x:v>
      </x:c>
      <x:c r="B1" s="36" t="str">
        <x:v>PV_mult</x:v>
      </x:c>
      <x:c r="C1" s="36" t="str">
        <x:v>DEF_mod</x:v>
      </x:c>
      <x:c r="D1" s="36" t="str">
        <x:v>Toucher_mod</x:v>
      </x:c>
      <x:c r="E1" s="36" t="str">
        <x:v>DM_mod</x:v>
      </x:c>
      <x:c r="F1" s="36" t="str">
        <x:v>Cap_mod</x:v>
      </x:c>
      <x:c r="G1" s="36" t="str">
        <x:v>DD_mod</x:v>
      </x:c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t="str">
        <x:v>Sbire</x:v>
      </x:c>
      <x:c r="B2" t="n">
        <x:v>0.5</x:v>
      </x:c>
      <x:c r="C2" t="n">
        <x:v>-1</x:v>
      </x:c>
      <x:c r="D2" t="n">
        <x:v>-1</x:v>
      </x:c>
      <x:c r="E2" t="n">
        <x:v>-2</x:v>
      </x:c>
      <x:c r="F2" t="n">
        <x:v>-1</x:v>
      </x:c>
      <x:c r="G2" t="n">
        <x:v>-1</x:v>
      </x:c>
    </x:row>
    <x:row r="3">
      <x:c r="A3" t="str">
        <x:v>Standard</x:v>
      </x:c>
      <x:c r="B3" t="n">
        <x:v>1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</x:row>
    <x:row r="4">
      <x:c r="A4" t="str">
        <x:v>Élite</x:v>
      </x:c>
      <x:c r="B4" t="n">
        <x:v>1.5</x:v>
      </x:c>
      <x:c r="C4" t="n">
        <x:v>1</x:v>
      </x:c>
      <x:c r="D4" t="n">
        <x:v>1</x:v>
      </x:c>
      <x:c r="E4" t="n">
        <x:v>2</x:v>
      </x:c>
      <x:c r="F4" t="n">
        <x:v>1</x:v>
      </x:c>
      <x:c r="G4" t="n">
        <x:v>1</x:v>
      </x:c>
    </x:row>
    <x:row r="5">
      <x:c r="A5" t="str">
        <x:v>Boss</x:v>
      </x:c>
      <x:c r="B5" t="n">
        <x:v>2.5</x:v>
      </x:c>
      <x:c r="C5" t="n">
        <x:v>1</x:v>
      </x:c>
      <x:c r="D5" t="n">
        <x:v>2</x:v>
      </x:c>
      <x:c r="E5" t="n">
        <x:v>3</x:v>
      </x:c>
      <x:c r="F5" t="n">
        <x:v>2</x:v>
      </x:c>
      <x:c r="G5" t="n">
        <x:v>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36" t="str">
        <x:v>Taille</x:v>
      </x:c>
      <x:c r="B1" s="36" t="str">
        <x:v>PV_mult</x:v>
      </x:c>
      <x:c r="C1" s="36" t="str">
        <x:v>DEF_mod</x:v>
      </x:c>
      <x:c r="D1" s="36" t="str">
        <x:v>Mvt_mod</x:v>
      </x:c>
      <x:c r="E1" s="36" t="str">
        <x:v>Allonge_m</x:v>
      </x:c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t="str">
        <x:v>Minuscule</x:v>
      </x:c>
      <x:c r="B2" t="n">
        <x:v>0.75</x:v>
      </x:c>
      <x:c r="C2" t="n">
        <x:v>2</x:v>
      </x:c>
      <x:c r="D2" t="n">
        <x:v>-1</x:v>
      </x:c>
      <x:c r="E2" t="n">
        <x:v>0</x:v>
      </x:c>
    </x:row>
    <x:row r="3">
      <x:c r="A3" t="str">
        <x:v>Petit</x:v>
      </x:c>
      <x:c r="B3" t="n">
        <x:v>0.9</x:v>
      </x:c>
      <x:c r="C3" t="n">
        <x:v>1</x:v>
      </x:c>
      <x:c r="D3" t="n">
        <x:v>0</x:v>
      </x:c>
      <x:c r="E3" t="n">
        <x:v>1</x:v>
      </x:c>
    </x:row>
    <x:row r="4">
      <x:c r="A4" t="str">
        <x:v>Moyen</x:v>
      </x:c>
      <x:c r="B4" t="n">
        <x:v>1</x:v>
      </x:c>
      <x:c r="C4" t="n">
        <x:v>0</x:v>
      </x:c>
      <x:c r="D4" t="n">
        <x:v>0</x:v>
      </x:c>
      <x:c r="E4" t="n">
        <x:v>1</x:v>
      </x:c>
    </x:row>
    <x:row r="5">
      <x:c r="A5" t="str">
        <x:v>Grand</x:v>
      </x:c>
      <x:c r="B5" t="n">
        <x:v>1.2</x:v>
      </x:c>
      <x:c r="C5" t="n">
        <x:v>-1</x:v>
      </x:c>
      <x:c r="D5" t="n">
        <x:v>1</x:v>
      </x:c>
      <x:c r="E5" t="n">
        <x:v>2</x:v>
      </x:c>
    </x:row>
    <x:row r="6">
      <x:c r="A6" t="str">
        <x:v>Très grand</x:v>
      </x:c>
      <x:c r="B6" t="n">
        <x:v>1.5</x:v>
      </x:c>
      <x:c r="C6" t="n">
        <x:v>-2</x:v>
      </x:c>
      <x:c r="D6" t="n">
        <x:v>1</x:v>
      </x:c>
      <x:c r="E6" t="n">
        <x:v>3</x:v>
      </x:c>
    </x:row>
    <x:row r="7">
      <x:c r="A7" t="str">
        <x:v>Gigantesque</x:v>
      </x:c>
      <x:c r="B7" t="n">
        <x:v>2</x:v>
      </x:c>
      <x:c r="C7" t="n">
        <x:v>-3</x:v>
      </x:c>
      <x:c r="D7" t="n">
        <x:v>2</x:v>
      </x:c>
      <x:c r="E7" t="n">
        <x:v>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36" t="str">
        <x:v>Armure</x:v>
      </x:c>
      <x:c r="B1" s="36" t="str">
        <x:v>DEF_bonus</x:v>
      </x:c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t="str">
        <x:v>Aucune</x:v>
      </x:c>
      <x:c r="B2" t="n">
        <x:v>0</x:v>
      </x:c>
    </x:row>
    <x:row r="3">
      <x:c r="A3" t="str">
        <x:v>Légère</x:v>
      </x:c>
      <x:c r="B3" t="n">
        <x:v>1</x:v>
      </x:c>
    </x:row>
    <x:row r="4">
      <x:c r="A4" t="str">
        <x:v>Intermédiaire</x:v>
      </x:c>
      <x:c r="B4" t="n">
        <x:v>2</x:v>
      </x:c>
    </x:row>
    <x:row r="5">
      <x:c r="A5" t="str">
        <x:v>Lourde</x:v>
      </x:c>
      <x:c r="B5" t="n">
        <x:v>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10" max="10" width="46" hidden="0" customWidth="1"/>
  </x:cols>
  <x:sheetData>
    <x:row r="1">
      <x:c r="A1" s="36" t="str">
        <x:v>Famille</x:v>
      </x:c>
      <x:c r="B1" s="36" t="str">
        <x:v>Sous_famille</x:v>
      </x:c>
      <x:c r="C1" s="36" t="str">
        <x:v>PV_coef</x:v>
      </x:c>
      <x:c r="D1" s="36" t="str">
        <x:v>DM_coef</x:v>
      </x:c>
      <x:c r="E1" s="36" t="str">
        <x:v>Terre</x:v>
      </x:c>
      <x:c r="F1" s="36" t="str">
        <x:v>Vol</x:v>
      </x:c>
      <x:c r="G1" s="36" t="str">
        <x:v>Nage</x:v>
      </x:c>
      <x:c r="H1" s="36" t="str">
        <x:v>Escalade</x:v>
      </x:c>
      <x:c r="I1" s="36" t="str">
        <x:v>Fouissement</x:v>
      </x:c>
      <x:c r="J1" s="36" t="str">
        <x:v>Affinites</x:v>
      </x:c>
      <x:c r="K1" s="31"/>
      <x:c r="L1" s="36" t="str">
        <x:v>Famille</x:v>
      </x:c>
      <x:c r="M1" s="36" t="str">
        <x:v>Liste</x:v>
      </x:c>
      <x:c r="N1" s="31" t="str">
        <x:v>Aberration</x:v>
      </x:c>
      <x:c r="O1" s="31" t="str">
        <x:v>Aquatique</x:v>
      </x:c>
      <x:c r="P1" s="31" t="str">
        <x:v>Artificiel</x:v>
      </x:c>
      <x:c r="Q1" s="31" t="str">
        <x:v>Bête</x:v>
      </x:c>
      <x:c r="R1" s="31" t="str">
        <x:v>Céleste</x:v>
      </x:c>
      <x:c r="S1" s="31" t="str">
        <x:v>Dragon</x:v>
      </x:c>
      <x:c r="T1" s="31" t="str">
        <x:v>Démon</x:v>
      </x:c>
      <x:c r="U1" s="31" t="str">
        <x:v>Esprit</x:v>
      </x:c>
      <x:c r="V1" s="31" t="str">
        <x:v>Fée</x:v>
      </x:c>
      <x:c r="W1" s="31" t="str">
        <x:v>Géant</x:v>
      </x:c>
      <x:c r="X1" s="31" t="str">
        <x:v>Humanoïde</x:v>
      </x:c>
      <x:c r="Y1" s="31" t="str">
        <x:v>Monstre</x:v>
      </x:c>
      <x:c r="Z1" s="31" t="str">
        <x:v>Mort-vivant</x:v>
      </x:c>
      <x:c r="AA1" t="str">
        <x:v>Plante</x:v>
      </x:c>
      <x:c r="AB1" t="str">
        <x:v>Vase</x:v>
      </x:c>
      <x:c r="AC1" t="str">
        <x:v>Vermine</x:v>
      </x:c>
      <x:c r="AD1" t="str">
        <x:v>Élémentaire</x:v>
      </x:c>
    </x:row>
    <x:row r="2">
      <x:c r="A2" t="str">
        <x:v>Humanoïde</x:v>
      </x:c>
      <x:c r="B2" t="str">
        <x:v>Gobelinoïde</x:v>
      </x:c>
      <x:c r="C2" t="n">
        <x:v>0.9</x:v>
      </x:c>
      <x:c r="D2" t="n">
        <x:v>1</x:v>
      </x:c>
      <x:c r="E2" t="n">
        <x:v>6</x:v>
      </x:c>
      <x:c r="F2" t="n">
        <x:v>0</x:v>
      </x:c>
      <x:c r="G2" t="n">
        <x:v>0</x:v>
      </x:c>
      <x:c r="H2" t="n">
        <x:v>0</x:v>
      </x:c>
      <x:c r="I2" t="n">
        <x:v>0</x:v>
      </x:c>
      <x:c r="J2" t="str">
        <x:v>—</x:v>
      </x:c>
      <x:c r="L2" t="str">
        <x:v>Aberration</x:v>
      </x:c>
      <x:c r="M2" t="str">
        <x:v>'Ref_SousFamilles'!$N$2:$N$6</x:v>
      </x:c>
      <x:c r="N2" t="str">
        <x:v>Mutante</x:v>
      </x:c>
      <x:c r="O2" t="str">
        <x:v>Prédateur marin</x:v>
      </x:c>
      <x:c r="P2" t="str">
        <x:v>Objet animé</x:v>
      </x:c>
      <x:c r="Q2" t="str">
        <x:v>Prédateur</x:v>
      </x:c>
      <x:c r="R2" t="str">
        <x:v>Messager divin</x:v>
      </x:c>
      <x:c r="S2" t="str">
        <x:v>Dragon mineur</x:v>
      </x:c>
      <x:c r="T2" t="str">
        <x:v>Démon mineur</x:v>
      </x:c>
      <x:c r="U2" t="str">
        <x:v>Esprit lié</x:v>
      </x:c>
      <x:c r="V2" t="str">
        <x:v>Sylvestre</x:v>
      </x:c>
      <x:c r="W2" t="str">
        <x:v>Ogre</x:v>
      </x:c>
      <x:c r="X2" t="str">
        <x:v>Gobelinoïde</x:v>
      </x:c>
      <x:c r="Y2" t="str">
        <x:v>Prédateur monstrueux</x:v>
      </x:c>
      <x:c r="Z2" t="str">
        <x:v>Squelette</x:v>
      </x:c>
      <x:c r="AA2" t="str">
        <x:v>Végétal animé</x:v>
      </x:c>
      <x:c r="AB2" t="str">
        <x:v>Gélatineuse</x:v>
      </x:c>
      <x:c r="AC2" t="str">
        <x:v>Insectoïde</x:v>
      </x:c>
      <x:c r="AD2" t="str">
        <x:v>Feu</x:v>
      </x:c>
    </x:row>
    <x:row r="3">
      <x:c r="A3" t="str">
        <x:v>Humanoïde</x:v>
      </x:c>
      <x:c r="B3" t="str">
        <x:v>Saurien</x:v>
      </x:c>
      <x:c r="C3" t="n">
        <x:v>1.1</x:v>
      </x:c>
      <x:c r="D3" t="n">
        <x:v>1.05</x:v>
      </x:c>
      <x:c r="E3" t="n">
        <x:v>5</x:v>
      </x:c>
      <x:c r="F3" t="n">
        <x:v>0</x:v>
      </x:c>
      <x:c r="G3" t="n">
        <x:v>6</x:v>
      </x:c>
      <x:c r="H3" t="n">
        <x:v>5</x:v>
      </x:c>
      <x:c r="I3" t="n">
        <x:v>0</x:v>
      </x:c>
      <x:c r="J3" t="str">
        <x:v>R Tranchant; V Contondant</x:v>
      </x:c>
      <x:c r="L3" t="str">
        <x:v>Aquatique</x:v>
      </x:c>
      <x:c r="M3" t="str">
        <x:v>'Ref_SousFamilles'!$O$2:$O$5</x:v>
      </x:c>
      <x:c r="N3" t="str">
        <x:v>Tentaculaire</x:v>
      </x:c>
      <x:c r="O3" t="str">
        <x:v>Amphibien intelligent</x:v>
      </x:c>
      <x:c r="P3" t="str">
        <x:v>Automate</x:v>
      </x:c>
      <x:c r="Q3" t="str">
        <x:v>Volante</x:v>
      </x:c>
      <x:c r="R3" t="str">
        <x:v>Gardien sacré</x:v>
      </x:c>
      <x:c r="S3" t="str">
        <x:v>Dragon élémentaire</x:v>
      </x:c>
      <x:c r="T3" t="str">
        <x:v>Brute infernale</x:v>
      </x:c>
      <x:c r="U3" t="str">
        <x:v>Spectre</x:v>
      </x:c>
      <x:c r="V3" t="str">
        <x:v>Sombre</x:v>
      </x:c>
      <x:c r="W3" t="str">
        <x:v>Géant véritable</x:v>
      </x:c>
      <x:c r="X3" t="str">
        <x:v>Saurien</x:v>
      </x:c>
      <x:c r="Y3" t="str">
        <x:v>Hybride</x:v>
      </x:c>
      <x:c r="Z3" t="str">
        <x:v>Charogne</x:v>
      </x:c>
      <x:c r="AA3" t="str">
        <x:v>Fongique</x:v>
      </x:c>
      <x:c r="AB3" t="str">
        <x:v>Corrosive</x:v>
      </x:c>
      <x:c r="AC3" t="str">
        <x:v>Arachnide</x:v>
      </x:c>
      <x:c r="AD3" t="str">
        <x:v>Air</x:v>
      </x:c>
    </x:row>
    <x:row r="4">
      <x:c r="A4" t="str">
        <x:v>Humanoïde</x:v>
      </x:c>
      <x:c r="B4" t="str">
        <x:v>Orcoïde</x:v>
      </x:c>
      <x:c r="C4" t="n">
        <x:v>1.15</x:v>
      </x:c>
      <x:c r="D4" t="n">
        <x:v>1.1</x:v>
      </x:c>
      <x:c r="E4" t="n">
        <x:v>5</x:v>
      </x:c>
      <x:c r="F4" t="n">
        <x:v>0</x:v>
      </x:c>
      <x:c r="G4" t="n">
        <x:v>0</x:v>
      </x:c>
      <x:c r="H4" t="n">
        <x:v>0</x:v>
      </x:c>
      <x:c r="I4" t="n">
        <x:v>0</x:v>
      </x:c>
      <x:c r="J4" t="str">
        <x:v>R Contondant; V Perforant</x:v>
      </x:c>
      <x:c r="L4" t="str">
        <x:v>Artificiel</x:v>
      </x:c>
      <x:c r="M4" t="str">
        <x:v>'Ref_SousFamilles'!$P$2:$P$6</x:v>
      </x:c>
      <x:c r="N4" t="str">
        <x:v>Mentaliste</x:v>
      </x:c>
      <x:c r="O4" t="str">
        <x:v>Carapacé</x:v>
      </x:c>
      <x:c r="P4" t="str">
        <x:v>Golem</x:v>
      </x:c>
      <x:c r="Q4" t="str">
        <x:v>Massive</x:v>
      </x:c>
      <x:c r="R4" t="str">
        <x:v>Avatar</x:v>
      </x:c>
      <x:c r="S4" t="str">
        <x:v>Dragon de métal</x:v>
      </x:c>
      <x:c r="T4" t="str">
        <x:v>Corrupteur</x:v>
      </x:c>
      <x:c r="U4" t="str">
        <x:v>Poltergeist</x:v>
      </x:c>
      <x:c r="V4" t="str">
        <x:v>Noble féerique</x:v>
      </x:c>
      <x:c r="W4" t="str">
        <x:v>Titanide</x:v>
      </x:c>
      <x:c r="X4" t="str">
        <x:v>Orcoïde</x:v>
      </x:c>
      <x:c r="Y4" t="str">
        <x:v>Régénérant</x:v>
      </x:c>
      <x:c r="Z4" t="str">
        <x:v>Noble mort-vivant</x:v>
      </x:c>
      <x:c r="AA4" t="str">
        <x:v>Carnivore</x:v>
      </x:c>
      <x:c r="AB4" t="str">
        <x:v>Mimétique</x:v>
      </x:c>
      <x:c r="AC4" t="str">
        <x:v>Fouisseuse</x:v>
      </x:c>
      <x:c r="AD4" t="str">
        <x:v>Eau</x:v>
      </x:c>
    </x:row>
    <x:row r="5">
      <x:c r="A5" t="str">
        <x:v>Mort-vivant</x:v>
      </x:c>
      <x:c r="B5" t="str">
        <x:v>Squelette</x:v>
      </x:c>
      <x:c r="C5" t="n">
        <x:v>0.85</x:v>
      </x:c>
      <x:c r="D5" t="n">
        <x:v>0.95</x:v>
      </x:c>
      <x:c r="E5" t="n">
        <x:v>5</x:v>
      </x:c>
      <x:c r="F5" t="n">
        <x:v>0</x:v>
      </x:c>
      <x:c r="G5" t="n">
        <x:v>0</x:v>
      </x:c>
      <x:c r="H5" t="n">
        <x:v>0</x:v>
      </x:c>
      <x:c r="I5" t="n">
        <x:v>0</x:v>
      </x:c>
      <x:c r="J5" t="str">
        <x:v>R Tranchant; R Perforant; R Ombre; V Contondant; V Force; FM Lumière</x:v>
      </x:c>
      <x:c r="L5" t="str">
        <x:v>Bête</x:v>
      </x:c>
      <x:c r="M5" t="str">
        <x:v>'Ref_SousFamilles'!$Q$2:$Q$6</x:v>
      </x:c>
      <x:c r="N5" t="str">
        <x:v>Amorphe</x:v>
      </x:c>
      <x:c r="O5" t="str">
        <x:v>Abyssal</x:v>
      </x:c>
      <x:c r="P5" t="str">
        <x:v>Gardien</x:v>
      </x:c>
      <x:c r="Q5" t="str">
        <x:v>Cuirassée</x:v>
      </x:c>
      <x:c r="S5" t="str">
        <x:v>Dragon de gemme</x:v>
      </x:c>
      <x:c r="T5" t="str">
        <x:v>Tentateur</x:v>
      </x:c>
      <x:c r="U5" t="str">
        <x:v>Possesseur</x:v>
      </x:c>
      <x:c r="V5" t="str">
        <x:v>Illusionniste</x:v>
      </x:c>
      <x:c r="W5" t="str">
        <x:v>Runique</x:v>
      </x:c>
      <x:c r="Y5" t="str">
        <x:v>Cuirassé</x:v>
      </x:c>
      <x:c r="AA5" t="str">
        <x:v>Arborescente</x:v>
      </x:c>
      <x:c r="AC5" t="str">
        <x:v>Parasite</x:v>
      </x:c>
      <x:c r="AD5" t="str">
        <x:v>Terre</x:v>
      </x:c>
    </x:row>
    <x:row r="6">
      <x:c r="A6" t="str">
        <x:v>Mort-vivant</x:v>
      </x:c>
      <x:c r="B6" t="str">
        <x:v>Charogne</x:v>
      </x:c>
      <x:c r="C6" t="n">
        <x:v>1.15</x:v>
      </x:c>
      <x:c r="D6" t="n">
        <x:v>1</x:v>
      </x:c>
      <x:c r="E6" t="n">
        <x:v>4</x:v>
      </x:c>
      <x:c r="F6" t="n">
        <x:v>0</x:v>
      </x:c>
      <x:c r="G6" t="n">
        <x:v>0</x:v>
      </x:c>
      <x:c r="H6" t="n">
        <x:v>0</x:v>
      </x:c>
      <x:c r="I6" t="n">
        <x:v>0</x:v>
      </x:c>
      <x:c r="J6" t="str">
        <x:v>R Perforant; R Ombre; V Tranchant; V Feu; FM Lumière</x:v>
      </x:c>
      <x:c r="L6" t="str">
        <x:v>Céleste</x:v>
      </x:c>
      <x:c r="M6" t="str">
        <x:v>'Ref_SousFamilles'!$R$2:$R$4</x:v>
      </x:c>
      <x:c r="N6" t="str">
        <x:v>Parasitaire</x:v>
      </x:c>
      <x:c r="P6" t="str">
        <x:v>Arcanique</x:v>
      </x:c>
      <x:c r="Q6" t="str">
        <x:v>Venimeuse</x:v>
      </x:c>
      <x:c r="S6" t="str">
        <x:v>Dragon nécrotique</x:v>
      </x:c>
      <x:c r="T6" t="str">
        <x:v>Prédateur infernal</x:v>
      </x:c>
      <x:c r="U6" t="str">
        <x:v>Revenant</x:v>
      </x:c>
      <x:c r="V6" t="str">
        <x:v>Bestiale</x:v>
      </x:c>
      <x:c r="Y6" t="str">
        <x:v>Volant</x:v>
      </x:c>
      <x:c r="AC6" t="str">
        <x:v>Nuée</x:v>
      </x:c>
      <x:c r="AD6" t="str">
        <x:v>Ombre</x:v>
      </x:c>
    </x:row>
    <x:row r="7">
      <x:c r="A7" t="str">
        <x:v>Mort-vivant</x:v>
      </x:c>
      <x:c r="B7" t="str">
        <x:v>Noble mort-vivant</x:v>
      </x:c>
      <x:c r="C7" t="n">
        <x:v>1.2</x:v>
      </x:c>
      <x:c r="D7" t="n">
        <x:v>1.15</x:v>
      </x:c>
      <x:c r="E7" t="n">
        <x:v>5</x:v>
      </x:c>
      <x:c r="F7" t="n">
        <x:v>0</x:v>
      </x:c>
      <x:c r="G7" t="n">
        <x:v>0</x:v>
      </x:c>
      <x:c r="H7" t="n">
        <x:v>0</x:v>
      </x:c>
      <x:c r="I7" t="n">
        <x:v>0</x:v>
      </x:c>
      <x:c r="J7" t="str">
        <x:v>R Tranchant; R Ombre; R Force; V Feu; FM Lumière</x:v>
      </x:c>
      <x:c r="L7" t="str">
        <x:v>Dragon</x:v>
      </x:c>
      <x:c r="M7" t="str">
        <x:v>'Ref_SousFamilles'!$S$2:$S$7</x:v>
      </x:c>
      <x:c r="S7" t="str">
        <x:v>Dragon primordial</x:v>
      </x:c>
      <x:c r="Y7" t="str">
        <x:v>Venimeux</x:v>
      </x:c>
      <x:c r="AD7" t="str">
        <x:v>Lumière</x:v>
      </x:c>
    </x:row>
    <x:row r="8">
      <x:c r="A8" t="str">
        <x:v>Bête</x:v>
      </x:c>
      <x:c r="B8" t="str">
        <x:v>Prédateur</x:v>
      </x:c>
      <x:c r="C8" t="n">
        <x:v>0.95</x:v>
      </x:c>
      <x:c r="D8" t="n">
        <x:v>1.1</x:v>
      </x:c>
      <x:c r="E8" t="n">
        <x:v>7</x:v>
      </x:c>
      <x:c r="F8" t="n">
        <x:v>0</x:v>
      </x:c>
      <x:c r="G8" t="n">
        <x:v>0</x:v>
      </x:c>
      <x:c r="H8" t="n">
        <x:v>0</x:v>
      </x:c>
      <x:c r="I8" t="n">
        <x:v>0</x:v>
      </x:c>
      <x:c r="J8" t="str">
        <x:v>—</x:v>
      </x:c>
      <x:c r="L8" t="str">
        <x:v>Démon</x:v>
      </x:c>
      <x:c r="M8" t="str">
        <x:v>'Ref_SousFamilles'!$T$2:$T$6</x:v>
      </x:c>
      <x:c r="AD8" t="str">
        <x:v>Force</x:v>
      </x:c>
    </x:row>
    <x:row r="9">
      <x:c r="A9" t="str">
        <x:v>Bête</x:v>
      </x:c>
      <x:c r="B9" t="str">
        <x:v>Volante</x:v>
      </x:c>
      <x:c r="C9" t="n">
        <x:v>0.85</x:v>
      </x:c>
      <x:c r="D9" t="n">
        <x:v>0.95</x:v>
      </x:c>
      <x:c r="E9" t="n">
        <x:v>5</x:v>
      </x:c>
      <x:c r="F9" t="n">
        <x:v>9</x:v>
      </x:c>
      <x:c r="G9" t="n">
        <x:v>0</x:v>
      </x:c>
      <x:c r="H9" t="n">
        <x:v>0</x:v>
      </x:c>
      <x:c r="I9" t="n">
        <x:v>0</x:v>
      </x:c>
      <x:c r="J9" t="str">
        <x:v>V Perforant</x:v>
      </x:c>
      <x:c r="L9" t="str">
        <x:v>Esprit</x:v>
      </x:c>
      <x:c r="M9" t="str">
        <x:v>'Ref_SousFamilles'!$U$2:$U$6</x:v>
      </x:c>
    </x:row>
    <x:row r="10">
      <x:c r="A10" t="str">
        <x:v>Bête</x:v>
      </x:c>
      <x:c r="B10" t="str">
        <x:v>Massive</x:v>
      </x:c>
      <x:c r="C10" t="n">
        <x:v>1.25</x:v>
      </x:c>
      <x:c r="D10" t="n">
        <x:v>1.1</x:v>
      </x:c>
      <x:c r="E10" t="n">
        <x:v>6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str">
        <x:v>R Contondant; V Perforant</x:v>
      </x:c>
      <x:c r="L10" t="str">
        <x:v>Fée</x:v>
      </x:c>
      <x:c r="M10" t="str">
        <x:v>'Ref_SousFamilles'!$V$2:$V$6</x:v>
      </x:c>
    </x:row>
    <x:row r="11">
      <x:c r="A11" t="str">
        <x:v>Bête</x:v>
      </x:c>
      <x:c r="B11" t="str">
        <x:v>Cuirassée</x:v>
      </x:c>
      <x:c r="C11" t="n">
        <x:v>1.2</x:v>
      </x:c>
      <x:c r="D11" t="n">
        <x:v>0.95</x:v>
      </x:c>
      <x:c r="E11" t="n">
        <x:v>5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str">
        <x:v>R Tranchant; R Contondant; FM Perforant</x:v>
      </x:c>
      <x:c r="L11" t="str">
        <x:v>Géant</x:v>
      </x:c>
      <x:c r="M11" t="str">
        <x:v>'Ref_SousFamilles'!$W$2:$W$5</x:v>
      </x:c>
    </x:row>
    <x:row r="12">
      <x:c r="A12" t="str">
        <x:v>Bête</x:v>
      </x:c>
      <x:c r="B12" t="str">
        <x:v>Venimeuse</x:v>
      </x:c>
      <x:c r="C12" t="n">
        <x:v>0.9</x:v>
      </x:c>
      <x:c r="D12" t="n">
        <x:v>1</x:v>
      </x:c>
      <x:c r="E12" t="n">
        <x:v>6</x:v>
      </x:c>
      <x:c r="F12" t="n">
        <x:v>0</x:v>
      </x:c>
      <x:c r="G12" t="n">
        <x:v>0</x:v>
      </x:c>
      <x:c r="H12" t="n">
        <x:v>5</x:v>
      </x:c>
      <x:c r="I12" t="n">
        <x:v>0</x:v>
      </x:c>
      <x:c r="J12" t="str">
        <x:v>R Toxique</x:v>
      </x:c>
      <x:c r="L12" t="str">
        <x:v>Humanoïde</x:v>
      </x:c>
      <x:c r="M12" t="str">
        <x:v>'Ref_SousFamilles'!$X$2:$X$4</x:v>
      </x:c>
    </x:row>
    <x:row r="13">
      <x:c r="A13" t="str">
        <x:v>Vermine</x:v>
      </x:c>
      <x:c r="B13" t="str">
        <x:v>Insectoïde</x:v>
      </x:c>
      <x:c r="C13" t="n">
        <x:v>1</x:v>
      </x:c>
      <x:c r="D13" t="n">
        <x:v>1</x:v>
      </x:c>
      <x:c r="E13" t="n">
        <x:v>6</x:v>
      </x:c>
      <x:c r="F13" t="n">
        <x:v>0</x:v>
      </x:c>
      <x:c r="G13" t="n">
        <x:v>0</x:v>
      </x:c>
      <x:c r="H13" t="n">
        <x:v>6</x:v>
      </x:c>
      <x:c r="I13" t="n">
        <x:v>0</x:v>
      </x:c>
      <x:c r="J13" t="str">
        <x:v>R Tranchant; R Toxique; V Contondant; V Feu</x:v>
      </x:c>
      <x:c r="L13" t="str">
        <x:v>Monstre</x:v>
      </x:c>
      <x:c r="M13" t="str">
        <x:v>'Ref_SousFamilles'!$Y$2:$Y$7</x:v>
      </x:c>
    </x:row>
    <x:row r="14">
      <x:c r="A14" t="str">
        <x:v>Vermine</x:v>
      </x:c>
      <x:c r="B14" t="str">
        <x:v>Arachnide</x:v>
      </x:c>
      <x:c r="C14" t="n">
        <x:v>0.9</x:v>
      </x:c>
      <x:c r="D14" t="n">
        <x:v>1.05</x:v>
      </x:c>
      <x:c r="E14" t="n">
        <x:v>6</x:v>
      </x:c>
      <x:c r="F14" t="n">
        <x:v>0</x:v>
      </x:c>
      <x:c r="G14" t="n">
        <x:v>0</x:v>
      </x:c>
      <x:c r="H14" t="n">
        <x:v>7</x:v>
      </x:c>
      <x:c r="I14" t="n">
        <x:v>0</x:v>
      </x:c>
      <x:c r="J14" t="str">
        <x:v>R Toxique; V Feu</x:v>
      </x:c>
      <x:c r="L14" t="str">
        <x:v>Mort-vivant</x:v>
      </x:c>
      <x:c r="M14" t="str">
        <x:v>'Ref_SousFamilles'!$Z$2:$Z$4</x:v>
      </x:c>
    </x:row>
    <x:row r="15">
      <x:c r="A15" t="str">
        <x:v>Vermine</x:v>
      </x:c>
      <x:c r="B15" t="str">
        <x:v>Fouisseuse</x:v>
      </x:c>
      <x:c r="C15" t="n">
        <x:v>1.15</x:v>
      </x:c>
      <x:c r="D15" t="n">
        <x:v>1.05</x:v>
      </x:c>
      <x:c r="E15" t="n">
        <x:v>5</x:v>
      </x:c>
      <x:c r="F15" t="n">
        <x:v>0</x:v>
      </x:c>
      <x:c r="G15" t="n">
        <x:v>0</x:v>
      </x:c>
      <x:c r="H15" t="n">
        <x:v>0</x:v>
      </x:c>
      <x:c r="I15" t="n">
        <x:v>5</x:v>
      </x:c>
      <x:c r="J15" t="str">
        <x:v>R Tranchant; R Terre; V Contondant; V Air</x:v>
      </x:c>
      <x:c r="L15" t="str">
        <x:v>Plante</x:v>
      </x:c>
      <x:c r="M15" t="str">
        <x:v>'Ref_SousFamilles'!$AA$2:$AA$5</x:v>
      </x:c>
    </x:row>
    <x:row r="16">
      <x:c r="A16" t="str">
        <x:v>Vermine</x:v>
      </x:c>
      <x:c r="B16" t="str">
        <x:v>Parasite</x:v>
      </x:c>
      <x:c r="C16" t="n">
        <x:v>0.7</x:v>
      </x:c>
      <x:c r="D16" t="n">
        <x:v>0.8</x:v>
      </x:c>
      <x:c r="E16" t="n">
        <x:v>6</x:v>
      </x:c>
      <x:c r="F16" t="n">
        <x:v>0</x:v>
      </x:c>
      <x:c r="G16" t="n">
        <x:v>0</x:v>
      </x:c>
      <x:c r="H16" t="n">
        <x:v>6</x:v>
      </x:c>
      <x:c r="I16" t="n">
        <x:v>0</x:v>
      </x:c>
      <x:c r="J16" t="str">
        <x:v>R Toxique; V Feu</x:v>
      </x:c>
      <x:c r="L16" t="str">
        <x:v>Vase</x:v>
      </x:c>
      <x:c r="M16" t="str">
        <x:v>'Ref_SousFamilles'!$AB$2:$AB$4</x:v>
      </x:c>
    </x:row>
    <x:row r="17">
      <x:c r="A17" t="str">
        <x:v>Vermine</x:v>
      </x:c>
      <x:c r="B17" t="str">
        <x:v>Nuée</x:v>
      </x:c>
      <x:c r="C17" t="n">
        <x:v>0.3</x:v>
      </x:c>
      <x:c r="D17" t="n">
        <x:v>0.7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str">
        <x:v>CAS SPÉCIAL NUÉE</x:v>
      </x:c>
      <x:c r="L17" t="str">
        <x:v>Vermine</x:v>
      </x:c>
      <x:c r="M17" t="str">
        <x:v>'Ref_SousFamilles'!$AC$2:$AC$6</x:v>
      </x:c>
    </x:row>
    <x:row r="18">
      <x:c r="A18" t="str">
        <x:v>Aquatique</x:v>
      </x:c>
      <x:c r="B18" t="str">
        <x:v>Prédateur marin</x:v>
      </x:c>
      <x:c r="C18" t="n">
        <x:v>1</x:v>
      </x:c>
      <x:c r="D18" t="n">
        <x:v>1.1</x:v>
      </x:c>
      <x:c r="E18" t="n">
        <x:v>3</x:v>
      </x:c>
      <x:c r="F18" t="n">
        <x:v>0</x:v>
      </x:c>
      <x:c r="G18" t="n">
        <x:v>9</x:v>
      </x:c>
      <x:c r="H18" t="n">
        <x:v>0</x:v>
      </x:c>
      <x:c r="I18" t="n">
        <x:v>0</x:v>
      </x:c>
      <x:c r="J18" t="str">
        <x:v>R Eau; V Air</x:v>
      </x:c>
      <x:c r="L18" t="str">
        <x:v>Élémentaire</x:v>
      </x:c>
      <x:c r="M18" t="str">
        <x:v>'Ref_SousFamilles'!$AD$2:$AD$8</x:v>
      </x:c>
    </x:row>
    <x:row r="19">
      <x:c r="A19" t="str">
        <x:v>Aquatique</x:v>
      </x:c>
      <x:c r="B19" t="str">
        <x:v>Amphibien intelligent</x:v>
      </x:c>
      <x:c r="C19" t="n">
        <x:v>1</x:v>
      </x:c>
      <x:c r="D19" t="n">
        <x:v>1</x:v>
      </x:c>
      <x:c r="E19" t="n">
        <x:v>5</x:v>
      </x:c>
      <x:c r="F19" t="n">
        <x:v>0</x:v>
      </x:c>
      <x:c r="G19" t="n">
        <x:v>7</x:v>
      </x:c>
      <x:c r="H19" t="n">
        <x:v>0</x:v>
      </x:c>
      <x:c r="I19" t="n">
        <x:v>0</x:v>
      </x:c>
      <x:c r="J19" t="str">
        <x:v>R Eau; V Feu</x:v>
      </x:c>
    </x:row>
    <x:row r="20">
      <x:c r="A20" t="str">
        <x:v>Aquatique</x:v>
      </x:c>
      <x:c r="B20" t="str">
        <x:v>Carapacé</x:v>
      </x:c>
      <x:c r="C20" t="n">
        <x:v>1.2</x:v>
      </x:c>
      <x:c r="D20" t="n">
        <x:v>0.95</x:v>
      </x:c>
      <x:c r="E20" t="n">
        <x:v>4</x:v>
      </x:c>
      <x:c r="F20" t="n">
        <x:v>0</x:v>
      </x:c>
      <x:c r="G20" t="n">
        <x:v>6</x:v>
      </x:c>
      <x:c r="H20" t="n">
        <x:v>0</x:v>
      </x:c>
      <x:c r="I20" t="n">
        <x:v>0</x:v>
      </x:c>
      <x:c r="J20" t="str">
        <x:v>R Tranchant; R Contondant; R Eau; FM Perforant; V Air</x:v>
      </x:c>
    </x:row>
    <x:row r="21">
      <x:c r="A21" t="str">
        <x:v>Aquatique</x:v>
      </x:c>
      <x:c r="B21" t="str">
        <x:v>Abyssal</x:v>
      </x:c>
      <x:c r="C21" t="n">
        <x:v>1.25</x:v>
      </x:c>
      <x:c r="D21" t="n">
        <x:v>1.15</x:v>
      </x:c>
      <x:c r="E21" t="n">
        <x:v>4</x:v>
      </x:c>
      <x:c r="F21" t="n">
        <x:v>0</x:v>
      </x:c>
      <x:c r="G21" t="n">
        <x:v>8</x:v>
      </x:c>
      <x:c r="H21" t="n">
        <x:v>0</x:v>
      </x:c>
      <x:c r="I21" t="n">
        <x:v>0</x:v>
      </x:c>
      <x:c r="J21" t="str">
        <x:v>R Contondant; R Eau; R Ombre; V Air; FM Lumière</x:v>
      </x:c>
    </x:row>
    <x:row r="22">
      <x:c r="A22" t="str">
        <x:v>Aberration</x:v>
      </x:c>
      <x:c r="B22" t="str">
        <x:v>Mutante</x:v>
      </x:c>
      <x:c r="C22" t="n">
        <x:v>1.2</x:v>
      </x:c>
      <x:c r="D22" t="n">
        <x:v>1.05</x:v>
      </x:c>
      <x:c r="E22" t="n">
        <x:v>5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str">
        <x:v>R Contondant; R Force; V Tranchant</x:v>
      </x:c>
    </x:row>
    <x:row r="23">
      <x:c r="A23" t="str">
        <x:v>Aberration</x:v>
      </x:c>
      <x:c r="B23" t="str">
        <x:v>Tentaculaire</x:v>
      </x:c>
      <x:c r="C23" t="n">
        <x:v>1.1</x:v>
      </x:c>
      <x:c r="D23" t="n">
        <x:v>1</x:v>
      </x:c>
      <x:c r="E23" t="n">
        <x:v>5</x:v>
      </x:c>
      <x:c r="F23" t="n">
        <x:v>0</x:v>
      </x:c>
      <x:c r="G23" t="n">
        <x:v>5</x:v>
      </x:c>
      <x:c r="H23" t="n">
        <x:v>5</x:v>
      </x:c>
      <x:c r="I23" t="n">
        <x:v>0</x:v>
      </x:c>
      <x:c r="J23" t="str">
        <x:v>R Contondant; R Force; V Tranchant</x:v>
      </x:c>
    </x:row>
    <x:row r="24">
      <x:c r="A24" t="str">
        <x:v>Aberration</x:v>
      </x:c>
      <x:c r="B24" t="str">
        <x:v>Mentaliste</x:v>
      </x:c>
      <x:c r="C24" t="n">
        <x:v>0.9</x:v>
      </x:c>
      <x:c r="D24" t="n">
        <x:v>1.1</x:v>
      </x:c>
      <x:c r="E24" t="n">
        <x:v>5</x:v>
      </x:c>
      <x:c r="F24" t="n">
        <x:v>6</x:v>
      </x:c>
      <x:c r="G24" t="n">
        <x:v>0</x:v>
      </x:c>
      <x:c r="H24" t="n">
        <x:v>0</x:v>
      </x:c>
      <x:c r="I24" t="n">
        <x:v>0</x:v>
      </x:c>
      <x:c r="J24" t="str">
        <x:v>R Force; R Psychique; V Tranchant; V Lumière</x:v>
      </x:c>
    </x:row>
    <x:row r="25">
      <x:c r="A25" t="str">
        <x:v>Aberration</x:v>
      </x:c>
      <x:c r="B25" t="str">
        <x:v>Amorphe</x:v>
      </x:c>
      <x:c r="C25" t="n">
        <x:v>1.15</x:v>
      </x:c>
      <x:c r="D25" t="n">
        <x:v>0.95</x:v>
      </x:c>
      <x:c r="E25" t="n">
        <x:v>5</x:v>
      </x:c>
      <x:c r="F25" t="n">
        <x:v>0</x:v>
      </x:c>
      <x:c r="G25" t="n">
        <x:v>5</x:v>
      </x:c>
      <x:c r="H25" t="n">
        <x:v>5</x:v>
      </x:c>
      <x:c r="I25" t="n">
        <x:v>0</x:v>
      </x:c>
      <x:c r="J25" t="str">
        <x:v>R Tranchant; R Perforant; R Force; V Feu; V Lumière</x:v>
      </x:c>
    </x:row>
    <x:row r="26">
      <x:c r="A26" t="str">
        <x:v>Aberration</x:v>
      </x:c>
      <x:c r="B26" t="str">
        <x:v>Parasitaire</x:v>
      </x:c>
      <x:c r="C26" t="n">
        <x:v>0.8</x:v>
      </x:c>
      <x:c r="D26" t="n">
        <x:v>0.9</x:v>
      </x:c>
      <x:c r="E26" t="n">
        <x:v>6</x:v>
      </x:c>
      <x:c r="F26" t="n">
        <x:v>0</x:v>
      </x:c>
      <x:c r="G26" t="n">
        <x:v>0</x:v>
      </x:c>
      <x:c r="H26" t="n">
        <x:v>7</x:v>
      </x:c>
      <x:c r="I26" t="n">
        <x:v>0</x:v>
      </x:c>
      <x:c r="J26" t="str">
        <x:v>R Psychique; V Feu; V Lumière</x:v>
      </x:c>
    </x:row>
    <x:row r="27">
      <x:c r="A27" t="str">
        <x:v>Plante</x:v>
      </x:c>
      <x:c r="B27" t="str">
        <x:v>Végétal animé</x:v>
      </x:c>
      <x:c r="C27" t="n">
        <x:v>1.2</x:v>
      </x:c>
      <x:c r="D27" t="n">
        <x:v>0.95</x:v>
      </x:c>
      <x:c r="E27" t="n">
        <x:v>4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str">
        <x:v>R Perforant; R Eau; FM Feu; V Tranchant</x:v>
      </x:c>
    </x:row>
    <x:row r="28">
      <x:c r="A28" t="str">
        <x:v>Plante</x:v>
      </x:c>
      <x:c r="B28" t="str">
        <x:v>Fongique</x:v>
      </x:c>
      <x:c r="C28" t="n">
        <x:v>1</x:v>
      </x:c>
      <x:c r="D28" t="n">
        <x:v>0.9</x:v>
      </x:c>
      <x:c r="E28" t="n">
        <x:v>4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str">
        <x:v>R Contondant; R Toxique; FM Feu; V Lumière</x:v>
      </x:c>
    </x:row>
    <x:row r="29">
      <x:c r="A29" t="str">
        <x:v>Plante</x:v>
      </x:c>
      <x:c r="B29" t="str">
        <x:v>Carnivore</x:v>
      </x:c>
      <x:c r="C29" t="n">
        <x:v>1.05</x:v>
      </x:c>
      <x:c r="D29" t="n">
        <x:v>1.15</x:v>
      </x:c>
      <x:c r="E29" t="n">
        <x:v>5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str">
        <x:v>R Perforant; FM Feu; V Tranchant</x:v>
      </x:c>
    </x:row>
    <x:row r="30">
      <x:c r="A30" t="str">
        <x:v>Plante</x:v>
      </x:c>
      <x:c r="B30" t="str">
        <x:v>Arborescente</x:v>
      </x:c>
      <x:c r="C30" t="n">
        <x:v>1.3</x:v>
      </x:c>
      <x:c r="D30" t="n">
        <x:v>1</x:v>
      </x:c>
      <x:c r="E30" t="n">
        <x:v>3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str">
        <x:v>R Perforant; R Contondant; R Eau; FM Feu; V Tranchant</x:v>
      </x:c>
    </x:row>
    <x:row r="31">
      <x:c r="A31" t="str">
        <x:v>Fée</x:v>
      </x:c>
      <x:c r="B31" t="str">
        <x:v>Sylvestre</x:v>
      </x:c>
      <x:c r="C31" t="n">
        <x:v>0.9</x:v>
      </x:c>
      <x:c r="D31" t="n">
        <x:v>1</x:v>
      </x:c>
      <x:c r="E31" t="n">
        <x:v>7</x:v>
      </x:c>
      <x:c r="F31" t="n">
        <x:v>0</x:v>
      </x:c>
      <x:c r="G31" t="n">
        <x:v>0</x:v>
      </x:c>
      <x:c r="H31" t="n">
        <x:v>6</x:v>
      </x:c>
      <x:c r="I31" t="n">
        <x:v>0</x:v>
      </x:c>
      <x:c r="J31" t="str">
        <x:v>R Eau; R Force; V Feu</x:v>
      </x:c>
    </x:row>
    <x:row r="32">
      <x:c r="A32" t="str">
        <x:v>Fée</x:v>
      </x:c>
      <x:c r="B32" t="str">
        <x:v>Sombre</x:v>
      </x:c>
      <x:c r="C32" t="n">
        <x:v>1</x:v>
      </x:c>
      <x:c r="D32" t="n">
        <x:v>1.1</x:v>
      </x:c>
      <x:c r="E32" t="n">
        <x:v>7</x:v>
      </x:c>
      <x:c r="F32" t="n">
        <x:v>8</x:v>
      </x:c>
      <x:c r="G32" t="n">
        <x:v>0</x:v>
      </x:c>
      <x:c r="H32" t="n">
        <x:v>0</x:v>
      </x:c>
      <x:c r="I32" t="n">
        <x:v>0</x:v>
      </x:c>
      <x:c r="J32" t="str">
        <x:v>R Ombre; R Force; FM Lumière</x:v>
      </x:c>
    </x:row>
    <x:row r="33">
      <x:c r="A33" t="str">
        <x:v>Fée</x:v>
      </x:c>
      <x:c r="B33" t="str">
        <x:v>Noble féerique</x:v>
      </x:c>
      <x:c r="C33" t="n">
        <x:v>1.1</x:v>
      </x:c>
      <x:c r="D33" t="n">
        <x:v>1.15</x:v>
      </x:c>
      <x:c r="E33" t="n">
        <x:v>6</x:v>
      </x:c>
      <x:c r="F33" t="n">
        <x:v>8</x:v>
      </x:c>
      <x:c r="G33" t="n">
        <x:v>0</x:v>
      </x:c>
      <x:c r="H33" t="n">
        <x:v>0</x:v>
      </x:c>
      <x:c r="I33" t="n">
        <x:v>0</x:v>
      </x:c>
      <x:c r="J33" t="str">
        <x:v>R Force; R Lumière; V Ombre; V Terre</x:v>
      </x:c>
    </x:row>
    <x:row r="34">
      <x:c r="A34" t="str">
        <x:v>Fée</x:v>
      </x:c>
      <x:c r="B34" t="str">
        <x:v>Illusionniste</x:v>
      </x:c>
      <x:c r="C34" t="n">
        <x:v>0.8</x:v>
      </x:c>
      <x:c r="D34" t="n">
        <x:v>1.05</x:v>
      </x:c>
      <x:c r="E34" t="n">
        <x:v>6</x:v>
      </x:c>
      <x:c r="F34" t="n">
        <x:v>7</x:v>
      </x:c>
      <x:c r="G34" t="n">
        <x:v>0</x:v>
      </x:c>
      <x:c r="H34" t="n">
        <x:v>0</x:v>
      </x:c>
      <x:c r="I34" t="n">
        <x:v>0</x:v>
      </x:c>
      <x:c r="J34" t="str">
        <x:v>R Force; R Psychique; V Lumière; V Perforant</x:v>
      </x:c>
    </x:row>
    <x:row r="35">
      <x:c r="A35" t="str">
        <x:v>Fée</x:v>
      </x:c>
      <x:c r="B35" t="str">
        <x:v>Bestiale</x:v>
      </x:c>
      <x:c r="C35" t="n">
        <x:v>1.1</x:v>
      </x:c>
      <x:c r="D35" t="n">
        <x:v>1.1</x:v>
      </x:c>
      <x:c r="E35" t="n">
        <x:v>7</x:v>
      </x:c>
      <x:c r="F35" t="n">
        <x:v>0</x:v>
      </x:c>
      <x:c r="G35" t="n">
        <x:v>0</x:v>
      </x:c>
      <x:c r="H35" t="n">
        <x:v>6</x:v>
      </x:c>
      <x:c r="I35" t="n">
        <x:v>0</x:v>
      </x:c>
      <x:c r="J35" t="str">
        <x:v>R Contondant; R Eau; V Feu</x:v>
      </x:c>
    </x:row>
    <x:row r="36">
      <x:c r="A36" t="str">
        <x:v>Monstre</x:v>
      </x:c>
      <x:c r="B36" t="str">
        <x:v>Prédateur monstrueux</x:v>
      </x:c>
      <x:c r="C36" t="n">
        <x:v>1</x:v>
      </x:c>
      <x:c r="D36" t="n">
        <x:v>1.1</x:v>
      </x:c>
      <x:c r="E36" t="n">
        <x:v>7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str">
        <x:v>R Tranchant; V Perforant</x:v>
      </x:c>
    </x:row>
    <x:row r="37">
      <x:c r="A37" t="str">
        <x:v>Monstre</x:v>
      </x:c>
      <x:c r="B37" t="str">
        <x:v>Hybride</x:v>
      </x:c>
      <x:c r="C37" t="n">
        <x:v>1.1</x:v>
      </x:c>
      <x:c r="D37" t="n">
        <x:v>1.05</x:v>
      </x:c>
      <x:c r="E37" t="n">
        <x:v>6</x:v>
      </x:c>
      <x:c r="F37" t="n">
        <x:v>0</x:v>
      </x:c>
      <x:c r="G37" t="n">
        <x:v>0</x:v>
      </x:c>
      <x:c r="H37" t="n">
        <x:v>5</x:v>
      </x:c>
      <x:c r="I37" t="n">
        <x:v>0</x:v>
      </x:c>
      <x:c r="J37" t="str">
        <x:v>R Contondant; V Tranchant</x:v>
      </x:c>
    </x:row>
    <x:row r="38">
      <x:c r="A38" t="str">
        <x:v>Monstre</x:v>
      </x:c>
      <x:c r="B38" t="str">
        <x:v>Régénérant</x:v>
      </x:c>
      <x:c r="C38" t="n">
        <x:v>1.25</x:v>
      </x:c>
      <x:c r="D38" t="n">
        <x:v>0.95</x:v>
      </x:c>
      <x:c r="E38" t="n">
        <x:v>5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str">
        <x:v>FM Feu; V Lumière</x:v>
      </x:c>
    </x:row>
    <x:row r="39">
      <x:c r="A39" t="str">
        <x:v>Monstre</x:v>
      </x:c>
      <x:c r="B39" t="str">
        <x:v>Cuirassé</x:v>
      </x:c>
      <x:c r="C39" t="n">
        <x:v>1.25</x:v>
      </x:c>
      <x:c r="D39" t="n">
        <x:v>1</x:v>
      </x:c>
      <x:c r="E39" t="n">
        <x:v>5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str">
        <x:v>R Tranchant; R Contondant; FM Perforant</x:v>
      </x:c>
    </x:row>
    <x:row r="40">
      <x:c r="A40" t="str">
        <x:v>Monstre</x:v>
      </x:c>
      <x:c r="B40" t="str">
        <x:v>Volant</x:v>
      </x:c>
      <x:c r="C40" t="n">
        <x:v>0.9</x:v>
      </x:c>
      <x:c r="D40" t="n">
        <x:v>1.05</x:v>
      </x:c>
      <x:c r="E40" t="n">
        <x:v>5</x:v>
      </x:c>
      <x:c r="F40" t="n">
        <x:v>9</x:v>
      </x:c>
      <x:c r="G40" t="n">
        <x:v>0</x:v>
      </x:c>
      <x:c r="H40" t="n">
        <x:v>0</x:v>
      </x:c>
      <x:c r="I40" t="n">
        <x:v>0</x:v>
      </x:c>
      <x:c r="J40" t="str">
        <x:v>V Perforant; V Air</x:v>
      </x:c>
    </x:row>
    <x:row r="41">
      <x:c r="A41" t="str">
        <x:v>Monstre</x:v>
      </x:c>
      <x:c r="B41" t="str">
        <x:v>Venimeux</x:v>
      </x:c>
      <x:c r="C41" t="n">
        <x:v>1</x:v>
      </x:c>
      <x:c r="D41" t="n">
        <x:v>1.05</x:v>
      </x:c>
      <x:c r="E41" t="n">
        <x:v>6</x:v>
      </x:c>
      <x:c r="F41" t="n">
        <x:v>0</x:v>
      </x:c>
      <x:c r="G41" t="n">
        <x:v>0</x:v>
      </x:c>
      <x:c r="H41" t="n">
        <x:v>5</x:v>
      </x:c>
      <x:c r="I41" t="n">
        <x:v>0</x:v>
      </x:c>
      <x:c r="J41" t="str">
        <x:v>R Toxique; V Feu</x:v>
      </x:c>
    </x:row>
    <x:row r="42">
      <x:c r="A42" t="str">
        <x:v>Vase</x:v>
      </x:c>
      <x:c r="B42" t="str">
        <x:v>Gélatineuse</x:v>
      </x:c>
      <x:c r="C42" t="n">
        <x:v>1.3</x:v>
      </x:c>
      <x:c r="D42" t="n">
        <x:v>0.9</x:v>
      </x:c>
      <x:c r="E42" t="n">
        <x:v>3</x:v>
      </x:c>
      <x:c r="F42" t="n">
        <x:v>0</x:v>
      </x:c>
      <x:c r="G42" t="n">
        <x:v>3</x:v>
      </x:c>
      <x:c r="H42" t="n">
        <x:v>3</x:v>
      </x:c>
      <x:c r="I42" t="n">
        <x:v>0</x:v>
      </x:c>
      <x:c r="J42" t="str">
        <x:v>R Tranchant; R Perforant; V Contondant; FM Force</x:v>
      </x:c>
    </x:row>
    <x:row r="43">
      <x:c r="A43" t="str">
        <x:v>Vase</x:v>
      </x:c>
      <x:c r="B43" t="str">
        <x:v>Corrosive</x:v>
      </x:c>
      <x:c r="C43" t="n">
        <x:v>1.1</x:v>
      </x:c>
      <x:c r="D43" t="n">
        <x:v>1.1</x:v>
      </x:c>
      <x:c r="E43" t="n">
        <x:v>4</x:v>
      </x:c>
      <x:c r="F43" t="n">
        <x:v>0</x:v>
      </x:c>
      <x:c r="G43" t="n">
        <x:v>4</x:v>
      </x:c>
      <x:c r="H43" t="n">
        <x:v>4</x:v>
      </x:c>
      <x:c r="I43" t="n">
        <x:v>0</x:v>
      </x:c>
      <x:c r="J43" t="str">
        <x:v>R Tranchant; R Perforant; R Terre; FM Eau; V Force</x:v>
      </x:c>
    </x:row>
    <x:row r="44">
      <x:c r="A44" t="str">
        <x:v>Vase</x:v>
      </x:c>
      <x:c r="B44" t="str">
        <x:v>Mimétique</x:v>
      </x:c>
      <x:c r="C44" t="n">
        <x:v>1</x:v>
      </x:c>
      <x:c r="D44" t="n">
        <x:v>1</x:v>
      </x:c>
      <x:c r="E44" t="n">
        <x:v>5</x:v>
      </x:c>
      <x:c r="F44" t="n">
        <x:v>0</x:v>
      </x:c>
      <x:c r="G44" t="n">
        <x:v>0</x:v>
      </x:c>
      <x:c r="H44" t="n">
        <x:v>5</x:v>
      </x:c>
      <x:c r="I44" t="n">
        <x:v>0</x:v>
      </x:c>
      <x:c r="J44" t="str">
        <x:v>R Perforant; V Force</x:v>
      </x:c>
    </x:row>
    <x:row r="45">
      <x:c r="A45" t="str">
        <x:v>Démon</x:v>
      </x:c>
      <x:c r="B45" t="str">
        <x:v>Démon mineur</x:v>
      </x:c>
      <x:c r="C45" t="n">
        <x:v>0.85</x:v>
      </x:c>
      <x:c r="D45" t="n">
        <x:v>0.95</x:v>
      </x:c>
      <x:c r="E45" t="n">
        <x:v>6</x:v>
      </x:c>
      <x:c r="F45" t="n">
        <x:v>7</x:v>
      </x:c>
      <x:c r="G45" t="n">
        <x:v>0</x:v>
      </x:c>
      <x:c r="H45" t="n">
        <x:v>0</x:v>
      </x:c>
      <x:c r="I45" t="n">
        <x:v>0</x:v>
      </x:c>
      <x:c r="J45" t="str">
        <x:v>R Feu; R Ombre; FM Lumière</x:v>
      </x:c>
    </x:row>
    <x:row r="46">
      <x:c r="A46" t="str">
        <x:v>Démon</x:v>
      </x:c>
      <x:c r="B46" t="str">
        <x:v>Brute infernale</x:v>
      </x:c>
      <x:c r="C46" t="n">
        <x:v>1.25</x:v>
      </x:c>
      <x:c r="D46" t="n">
        <x:v>1.15</x:v>
      </x:c>
      <x:c r="E46" t="n">
        <x:v>6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str">
        <x:v>R Contondant; R Feu; R Ombre; V Perforant; V Eau; FM Lumière</x:v>
      </x:c>
    </x:row>
    <x:row r="47">
      <x:c r="A47" t="str">
        <x:v>Démon</x:v>
      </x:c>
      <x:c r="B47" t="str">
        <x:v>Corrupteur</x:v>
      </x:c>
      <x:c r="C47" t="n">
        <x:v>0.95</x:v>
      </x:c>
      <x:c r="D47" t="n">
        <x:v>1.1</x:v>
      </x:c>
      <x:c r="E47" t="n">
        <x:v>5</x:v>
      </x:c>
      <x:c r="F47" t="n">
        <x:v>7</x:v>
      </x:c>
      <x:c r="G47" t="n">
        <x:v>0</x:v>
      </x:c>
      <x:c r="H47" t="n">
        <x:v>0</x:v>
      </x:c>
      <x:c r="I47" t="n">
        <x:v>0</x:v>
      </x:c>
      <x:c r="J47" t="str">
        <x:v>R Ombre; R Force; V Tranchant; FM Lumière</x:v>
      </x:c>
    </x:row>
    <x:row r="48">
      <x:c r="A48" t="str">
        <x:v>Démon</x:v>
      </x:c>
      <x:c r="B48" t="str">
        <x:v>Tentateur</x:v>
      </x:c>
      <x:c r="C48" t="n">
        <x:v>0.85</x:v>
      </x:c>
      <x:c r="D48" t="n">
        <x:v>1</x:v>
      </x:c>
      <x:c r="E48" t="n">
        <x:v>6</x:v>
      </x:c>
      <x:c r="F48" t="n">
        <x:v>8</x:v>
      </x:c>
      <x:c r="G48" t="n">
        <x:v>0</x:v>
      </x:c>
      <x:c r="H48" t="n">
        <x:v>0</x:v>
      </x:c>
      <x:c r="I48" t="n">
        <x:v>0</x:v>
      </x:c>
      <x:c r="J48" t="str">
        <x:v>R Ombre; R Psychique; V Perforant; FM Lumière</x:v>
      </x:c>
    </x:row>
    <x:row r="49">
      <x:c r="A49" t="str">
        <x:v>Démon</x:v>
      </x:c>
      <x:c r="B49" t="str">
        <x:v>Prédateur infernal</x:v>
      </x:c>
      <x:c r="C49" t="n">
        <x:v>1</x:v>
      </x:c>
      <x:c r="D49" t="n">
        <x:v>1.15</x:v>
      </x:c>
      <x:c r="E49" t="n">
        <x:v>8</x:v>
      </x:c>
      <x:c r="F49" t="n">
        <x:v>0</x:v>
      </x:c>
      <x:c r="G49" t="n">
        <x:v>0</x:v>
      </x:c>
      <x:c r="H49" t="n">
        <x:v>6</x:v>
      </x:c>
      <x:c r="I49" t="n">
        <x:v>0</x:v>
      </x:c>
      <x:c r="J49" t="str">
        <x:v>R Tranchant; R Feu; R Ombre; V Eau; FM Lumière</x:v>
      </x:c>
    </x:row>
    <x:row r="50">
      <x:c r="A50" t="str">
        <x:v>Géant</x:v>
      </x:c>
      <x:c r="B50" t="str">
        <x:v>Ogre</x:v>
      </x:c>
      <x:c r="C50" t="n">
        <x:v>0.9</x:v>
      </x:c>
      <x:c r="D50" t="n">
        <x:v>1</x:v>
      </x:c>
      <x:c r="E50" t="n">
        <x:v>5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str">
        <x:v>R Contondant; V Perforant</x:v>
      </x:c>
    </x:row>
    <x:row r="51">
      <x:c r="A51" t="str">
        <x:v>Géant</x:v>
      </x:c>
      <x:c r="B51" t="str">
        <x:v>Géant véritable</x:v>
      </x:c>
      <x:c r="C51" t="n">
        <x:v>1.1</x:v>
      </x:c>
      <x:c r="D51" t="n">
        <x:v>1.1</x:v>
      </x:c>
      <x:c r="E51" t="n">
        <x:v>6</x:v>
      </x:c>
      <x:c r="F51" t="n">
        <x:v>0</x:v>
      </x:c>
      <x:c r="G51" t="n">
        <x:v>0</x:v>
      </x:c>
      <x:c r="H51" t="n">
        <x:v>0</x:v>
      </x:c>
      <x:c r="I51" t="n">
        <x:v>0</x:v>
      </x:c>
      <x:c r="J51" t="str">
        <x:v>R Contondant; V Perforant</x:v>
      </x:c>
    </x:row>
    <x:row r="52">
      <x:c r="A52" t="str">
        <x:v>Géant</x:v>
      </x:c>
      <x:c r="B52" t="str">
        <x:v>Titanide</x:v>
      </x:c>
      <x:c r="C52" t="n">
        <x:v>1.3</x:v>
      </x:c>
      <x:c r="D52" t="n">
        <x:v>1.2</x:v>
      </x:c>
      <x:c r="E52" t="n">
        <x:v>7</x:v>
      </x:c>
      <x:c r="F52" t="n">
        <x:v>0</x:v>
      </x:c>
      <x:c r="G52" t="n">
        <x:v>0</x:v>
      </x:c>
      <x:c r="H52" t="n">
        <x:v>0</x:v>
      </x:c>
      <x:c r="I52" t="n">
        <x:v>0</x:v>
      </x:c>
      <x:c r="J52" t="str">
        <x:v>R Tranchant; R Contondant; R Terre; V Perforant; FM Air</x:v>
      </x:c>
    </x:row>
    <x:row r="53">
      <x:c r="A53" t="str">
        <x:v>Géant</x:v>
      </x:c>
      <x:c r="B53" t="str">
        <x:v>Runique</x:v>
      </x:c>
      <x:c r="C53" t="n">
        <x:v>1.1</x:v>
      </x:c>
      <x:c r="D53" t="n">
        <x:v>1.05</x:v>
      </x:c>
      <x:c r="E53" t="n">
        <x:v>6</x:v>
      </x:c>
      <x:c r="F53" t="n">
        <x:v>0</x:v>
      </x:c>
      <x:c r="G53" t="n">
        <x:v>0</x:v>
      </x:c>
      <x:c r="H53" t="n">
        <x:v>0</x:v>
      </x:c>
      <x:c r="I53" t="n">
        <x:v>0</x:v>
      </x:c>
      <x:c r="J53" t="str">
        <x:v>R Contondant + rune</x:v>
      </x:c>
    </x:row>
    <x:row r="54">
      <x:c r="A54" t="str">
        <x:v>Élémentaire</x:v>
      </x:c>
      <x:c r="B54" t="str">
        <x:v>Feu</x:v>
      </x:c>
      <x:c r="C54" t="n">
        <x:v>0.9</x:v>
      </x:c>
      <x:c r="D54" t="n">
        <x:v>1.2</x:v>
      </x:c>
      <x:c r="E54" t="n">
        <x:v>6</x:v>
      </x:c>
      <x:c r="F54" t="n">
        <x:v>0</x:v>
      </x:c>
      <x:c r="G54" t="n">
        <x:v>0</x:v>
      </x:c>
      <x:c r="H54" t="n">
        <x:v>0</x:v>
      </x:c>
      <x:c r="I54" t="n">
        <x:v>0</x:v>
      </x:c>
      <x:c r="J54" t="str">
        <x:v>R Tranchant; R Perforant; S Feu; FM Eau</x:v>
      </x:c>
    </x:row>
    <x:row r="55">
      <x:c r="A55" t="str">
        <x:v>Élémentaire</x:v>
      </x:c>
      <x:c r="B55" t="str">
        <x:v>Air</x:v>
      </x:c>
      <x:c r="C55" t="n">
        <x:v>0.85</x:v>
      </x:c>
      <x:c r="D55" t="n">
        <x:v>1.15</x:v>
      </x:c>
      <x:c r="E55" t="n">
        <x:v>5</x:v>
      </x:c>
      <x:c r="F55" t="n">
        <x:v>10</x:v>
      </x:c>
      <x:c r="G55" t="n">
        <x:v>0</x:v>
      </x:c>
      <x:c r="H55" t="n">
        <x:v>0</x:v>
      </x:c>
      <x:c r="I55" t="n">
        <x:v>0</x:v>
      </x:c>
      <x:c r="J55" t="str">
        <x:v>R Tranchant; R Perforant; R Contondant; S Air; FM Terre</x:v>
      </x:c>
    </x:row>
    <x:row r="56">
      <x:c r="A56" t="str">
        <x:v>Élémentaire</x:v>
      </x:c>
      <x:c r="B56" t="str">
        <x:v>Eau</x:v>
      </x:c>
      <x:c r="C56" t="n">
        <x:v>1.1</x:v>
      </x:c>
      <x:c r="D56" t="n">
        <x:v>0.95</x:v>
      </x:c>
      <x:c r="E56" t="n">
        <x:v>5</x:v>
      </x:c>
      <x:c r="F56" t="n">
        <x:v>0</x:v>
      </x:c>
      <x:c r="G56" t="n">
        <x:v>8</x:v>
      </x:c>
      <x:c r="H56" t="n">
        <x:v>0</x:v>
      </x:c>
      <x:c r="I56" t="n">
        <x:v>0</x:v>
      </x:c>
      <x:c r="J56" t="str">
        <x:v>R Tranchant; R Perforant; S Eau; FM Air</x:v>
      </x:c>
    </x:row>
    <x:row r="57">
      <x:c r="A57" t="str">
        <x:v>Élémentaire</x:v>
      </x:c>
      <x:c r="B57" t="str">
        <x:v>Terre</x:v>
      </x:c>
      <x:c r="C57" t="n">
        <x:v>1.3</x:v>
      </x:c>
      <x:c r="D57" t="n">
        <x:v>0.95</x:v>
      </x:c>
      <x:c r="E57" t="n">
        <x:v>4</x:v>
      </x:c>
      <x:c r="F57" t="n">
        <x:v>0</x:v>
      </x:c>
      <x:c r="G57" t="n">
        <x:v>0</x:v>
      </x:c>
      <x:c r="H57" t="n">
        <x:v>0</x:v>
      </x:c>
      <x:c r="I57" t="n">
        <x:v>4</x:v>
      </x:c>
      <x:c r="J57" t="str">
        <x:v>R Tranchant; R Perforant; S Terre; V Contondant; FM Air</x:v>
      </x:c>
    </x:row>
    <x:row r="58">
      <x:c r="A58" t="str">
        <x:v>Élémentaire</x:v>
      </x:c>
      <x:c r="B58" t="str">
        <x:v>Ombre</x:v>
      </x:c>
      <x:c r="C58" t="n">
        <x:v>1</x:v>
      </x:c>
      <x:c r="D58" t="n">
        <x:v>1.1</x:v>
      </x:c>
      <x:c r="E58" t="n">
        <x:v>6</x:v>
      </x:c>
      <x:c r="F58" t="n">
        <x:v>8</x:v>
      </x:c>
      <x:c r="G58" t="n">
        <x:v>0</x:v>
      </x:c>
      <x:c r="H58" t="n">
        <x:v>0</x:v>
      </x:c>
      <x:c r="I58" t="n">
        <x:v>0</x:v>
      </x:c>
      <x:c r="J58" t="str">
        <x:v>R Tranchant; R Perforant; S Ombre; FM Lumière; V Force</x:v>
      </x:c>
    </x:row>
    <x:row r="59">
      <x:c r="A59" t="str">
        <x:v>Élémentaire</x:v>
      </x:c>
      <x:c r="B59" t="str">
        <x:v>Lumière</x:v>
      </x:c>
      <x:c r="C59" t="n">
        <x:v>1.05</x:v>
      </x:c>
      <x:c r="D59" t="n">
        <x:v>1.05</x:v>
      </x:c>
      <x:c r="E59" t="n">
        <x:v>6</x:v>
      </x:c>
      <x:c r="F59" t="n">
        <x:v>9</x:v>
      </x:c>
      <x:c r="G59" t="n">
        <x:v>0</x:v>
      </x:c>
      <x:c r="H59" t="n">
        <x:v>0</x:v>
      </x:c>
      <x:c r="I59" t="n">
        <x:v>0</x:v>
      </x:c>
      <x:c r="J59" t="str">
        <x:v>R Perforant; S Lumière; FM Ombre; V Force</x:v>
      </x:c>
    </x:row>
    <x:row r="60">
      <x:c r="A60" t="str">
        <x:v>Élémentaire</x:v>
      </x:c>
      <x:c r="B60" t="str">
        <x:v>Force</x:v>
      </x:c>
      <x:c r="C60" t="n">
        <x:v>1.15</x:v>
      </x:c>
      <x:c r="D60" t="n">
        <x:v>1.1</x:v>
      </x:c>
      <x:c r="E60" t="n">
        <x:v>6</x:v>
      </x:c>
      <x:c r="F60" t="n">
        <x:v>8</x:v>
      </x:c>
      <x:c r="G60" t="n">
        <x:v>0</x:v>
      </x:c>
      <x:c r="H60" t="n">
        <x:v>0</x:v>
      </x:c>
      <x:c r="I60" t="n">
        <x:v>0</x:v>
      </x:c>
      <x:c r="J60" t="str">
        <x:v>R Tranchant; R Perforant; R Contondant; S Force; V Lumière; V Ombre</x:v>
      </x:c>
    </x:row>
    <x:row r="61">
      <x:c r="A61" t="str">
        <x:v>Céleste</x:v>
      </x:c>
      <x:c r="B61" t="str">
        <x:v>Messager divin</x:v>
      </x:c>
      <x:c r="C61" t="n">
        <x:v>0.9</x:v>
      </x:c>
      <x:c r="D61" t="n">
        <x:v>1</x:v>
      </x:c>
      <x:c r="E61" t="n">
        <x:v>6</x:v>
      </x:c>
      <x:c r="F61" t="n">
        <x:v>10</x:v>
      </x:c>
      <x:c r="G61" t="n">
        <x:v>0</x:v>
      </x:c>
      <x:c r="H61" t="n">
        <x:v>0</x:v>
      </x:c>
      <x:c r="I61" t="n">
        <x:v>0</x:v>
      </x:c>
      <x:c r="J61" t="str">
        <x:v>R Lumière; V Ombre</x:v>
      </x:c>
    </x:row>
    <x:row r="62">
      <x:c r="A62" t="str">
        <x:v>Céleste</x:v>
      </x:c>
      <x:c r="B62" t="str">
        <x:v>Gardien sacré</x:v>
      </x:c>
      <x:c r="C62" t="n">
        <x:v>1.2</x:v>
      </x:c>
      <x:c r="D62" t="n">
        <x:v>1.05</x:v>
      </x:c>
      <x:c r="E62" t="n">
        <x:v>5</x:v>
      </x:c>
      <x:c r="F62" t="n">
        <x:v>8</x:v>
      </x:c>
      <x:c r="G62" t="n">
        <x:v>0</x:v>
      </x:c>
      <x:c r="H62" t="n">
        <x:v>0</x:v>
      </x:c>
      <x:c r="I62" t="n">
        <x:v>0</x:v>
      </x:c>
      <x:c r="J62" t="str">
        <x:v>R Tranchant; R Lumière; R Force; FM Ombre</x:v>
      </x:c>
    </x:row>
    <x:row r="63">
      <x:c r="A63" t="str">
        <x:v>Céleste</x:v>
      </x:c>
      <x:c r="B63" t="str">
        <x:v>Avatar</x:v>
      </x:c>
      <x:c r="C63" t="n">
        <x:v>1.3</x:v>
      </x:c>
      <x:c r="D63" t="n">
        <x:v>1.2</x:v>
      </x:c>
      <x:c r="E63" t="n">
        <x:v>6</x:v>
      </x:c>
      <x:c r="F63" t="n">
        <x:v>9</x:v>
      </x:c>
      <x:c r="G63" t="n">
        <x:v>0</x:v>
      </x:c>
      <x:c r="H63" t="n">
        <x:v>0</x:v>
      </x:c>
      <x:c r="I63" t="n">
        <x:v>0</x:v>
      </x:c>
      <x:c r="J63" t="str">
        <x:v>R Tranchant; R Perforant; R Force; S Lumière; FM Ombre; V Terre</x:v>
      </x:c>
    </x:row>
    <x:row r="64">
      <x:c r="A64" t="str">
        <x:v>Artificiel</x:v>
      </x:c>
      <x:c r="B64" t="str">
        <x:v>Objet animé</x:v>
      </x:c>
      <x:c r="C64" t="n">
        <x:v>0.9</x:v>
      </x:c>
      <x:c r="D64" t="n">
        <x:v>0.9</x:v>
      </x:c>
      <x:c r="E64" t="n">
        <x:v>5</x:v>
      </x:c>
      <x:c r="F64" t="n">
        <x:v>0</x:v>
      </x:c>
      <x:c r="G64" t="n">
        <x:v>0</x:v>
      </x:c>
      <x:c r="H64" t="n">
        <x:v>0</x:v>
      </x:c>
      <x:c r="I64" t="n">
        <x:v>0</x:v>
      </x:c>
      <x:c r="J64" t="str">
        <x:v>Selon matériau; V Force</x:v>
      </x:c>
    </x:row>
    <x:row r="65">
      <x:c r="A65" t="str">
        <x:v>Artificiel</x:v>
      </x:c>
      <x:c r="B65" t="str">
        <x:v>Automate</x:v>
      </x:c>
      <x:c r="C65" t="n">
        <x:v>1.1</x:v>
      </x:c>
      <x:c r="D65" t="n">
        <x:v>1</x:v>
      </x:c>
      <x:c r="E65" t="n">
        <x:v>5</x:v>
      </x:c>
      <x:c r="F65" t="n">
        <x:v>0</x:v>
      </x:c>
      <x:c r="G65" t="n">
        <x:v>0</x:v>
      </x:c>
      <x:c r="H65" t="n">
        <x:v>0</x:v>
      </x:c>
      <x:c r="I65" t="n">
        <x:v>0</x:v>
      </x:c>
      <x:c r="J65" t="str">
        <x:v>R Tranchant; R Perforant; V Contondant; V Air</x:v>
      </x:c>
    </x:row>
    <x:row r="66">
      <x:c r="A66" t="str">
        <x:v>Artificiel</x:v>
      </x:c>
      <x:c r="B66" t="str">
        <x:v>Golem</x:v>
      </x:c>
      <x:c r="C66" t="n">
        <x:v>1.3</x:v>
      </x:c>
      <x:c r="D66" t="n">
        <x:v>1.15</x:v>
      </x:c>
      <x:c r="E66" t="n">
        <x:v>4</x:v>
      </x:c>
      <x:c r="F66" t="n">
        <x:v>0</x:v>
      </x:c>
      <x:c r="G66" t="n">
        <x:v>0</x:v>
      </x:c>
      <x:c r="H66" t="n">
        <x:v>0</x:v>
      </x:c>
      <x:c r="I66" t="n">
        <x:v>0</x:v>
      </x:c>
      <x:c r="J66" t="str">
        <x:v>R Tranchant; R Perforant; R Terre; FM Contondant; V Air</x:v>
      </x:c>
    </x:row>
    <x:row r="67">
      <x:c r="A67" t="str">
        <x:v>Artificiel</x:v>
      </x:c>
      <x:c r="B67" t="str">
        <x:v>Gardien</x:v>
      </x:c>
      <x:c r="C67" t="n">
        <x:v>1.25</x:v>
      </x:c>
      <x:c r="D67" t="n">
        <x:v>0.95</x:v>
      </x:c>
      <x:c r="E67" t="n">
        <x:v>5</x:v>
      </x:c>
      <x:c r="F67" t="n">
        <x:v>0</x:v>
      </x:c>
      <x:c r="G67" t="n">
        <x:v>0</x:v>
      </x:c>
      <x:c r="H67" t="n">
        <x:v>0</x:v>
      </x:c>
      <x:c r="I67" t="n">
        <x:v>0</x:v>
      </x:c>
      <x:c r="J67" t="str">
        <x:v>R Tranchant; R Perforant; V Contondant; V Force</x:v>
      </x:c>
    </x:row>
    <x:row r="68">
      <x:c r="A68" t="str">
        <x:v>Artificiel</x:v>
      </x:c>
      <x:c r="B68" t="str">
        <x:v>Arcanique</x:v>
      </x:c>
      <x:c r="C68" t="n">
        <x:v>0.95</x:v>
      </x:c>
      <x:c r="D68" t="n">
        <x:v>1.1</x:v>
      </x:c>
      <x:c r="E68" t="n">
        <x:v>5</x:v>
      </x:c>
      <x:c r="F68" t="n">
        <x:v>7</x:v>
      </x:c>
      <x:c r="G68" t="n">
        <x:v>0</x:v>
      </x:c>
      <x:c r="H68" t="n">
        <x:v>0</x:v>
      </x:c>
      <x:c r="I68" t="n">
        <x:v>0</x:v>
      </x:c>
      <x:c r="J68" t="str">
        <x:v>R Perforant; S Force; V Contondant; V Terre</x:v>
      </x:c>
    </x:row>
    <x:row r="69">
      <x:c r="A69" t="str">
        <x:v>Esprit</x:v>
      </x:c>
      <x:c r="B69" t="str">
        <x:v>Esprit lié</x:v>
      </x:c>
      <x:c r="C69" t="n">
        <x:v>1</x:v>
      </x:c>
      <x:c r="D69" t="n">
        <x:v>0.95</x:v>
      </x:c>
      <x:c r="E69" t="n">
        <x:v>5</x:v>
      </x:c>
      <x:c r="F69" t="n">
        <x:v>7</x:v>
      </x:c>
      <x:c r="G69" t="n">
        <x:v>0</x:v>
      </x:c>
      <x:c r="H69" t="n">
        <x:v>0</x:v>
      </x:c>
      <x:c r="I69" t="n">
        <x:v>0</x:v>
      </x:c>
      <x:c r="J69" t="str">
        <x:v>R Tranchant; R Perforant; R Contondant; R Ombre; V Force; FM Lumière</x:v>
      </x:c>
    </x:row>
    <x:row r="70">
      <x:c r="A70" t="str">
        <x:v>Esprit</x:v>
      </x:c>
      <x:c r="B70" t="str">
        <x:v>Spectre</x:v>
      </x:c>
      <x:c r="C70" t="n">
        <x:v>0.85</x:v>
      </x:c>
      <x:c r="D70" t="n">
        <x:v>1.1</x:v>
      </x:c>
      <x:c r="E70" t="n">
        <x:v>0</x:v>
      </x:c>
      <x:c r="F70" t="n">
        <x:v>9</x:v>
      </x:c>
      <x:c r="G70" t="n">
        <x:v>0</x:v>
      </x:c>
      <x:c r="H70" t="n">
        <x:v>0</x:v>
      </x:c>
      <x:c r="I70" t="n">
        <x:v>0</x:v>
      </x:c>
      <x:c r="J70" t="str">
        <x:v>I Tranchant; I Perforant; I Contondant; S Ombre; V Force; FM Lumière</x:v>
      </x:c>
    </x:row>
    <x:row r="71">
      <x:c r="A71" t="str">
        <x:v>Esprit</x:v>
      </x:c>
      <x:c r="B71" t="str">
        <x:v>Poltergeist</x:v>
      </x:c>
      <x:c r="C71" t="n">
        <x:v>0.9</x:v>
      </x:c>
      <x:c r="D71" t="n">
        <x:v>1</x:v>
      </x:c>
      <x:c r="E71" t="n">
        <x:v>0</x:v>
      </x:c>
      <x:c r="F71" t="n">
        <x:v>7</x:v>
      </x:c>
      <x:c r="G71" t="n">
        <x:v>0</x:v>
      </x:c>
      <x:c r="H71" t="n">
        <x:v>0</x:v>
      </x:c>
      <x:c r="I71" t="n">
        <x:v>0</x:v>
      </x:c>
      <x:c r="J71" t="str">
        <x:v>I Tranchant; I Perforant; R Contondant; R Force; V Terre; FM Lumière</x:v>
      </x:c>
    </x:row>
    <x:row r="72">
      <x:c r="A72" t="str">
        <x:v>Esprit</x:v>
      </x:c>
      <x:c r="B72" t="str">
        <x:v>Possesseur</x:v>
      </x:c>
      <x:c r="C72" t="n">
        <x:v>0.75</x:v>
      </x:c>
      <x:c r="D72" t="n">
        <x:v>0.9</x:v>
      </x:c>
      <x:c r="E72" t="n">
        <x:v>0</x:v>
      </x:c>
      <x:c r="F72" t="n">
        <x:v>8</x:v>
      </x:c>
      <x:c r="G72" t="n">
        <x:v>0</x:v>
      </x:c>
      <x:c r="H72" t="n">
        <x:v>0</x:v>
      </x:c>
      <x:c r="I72" t="n">
        <x:v>0</x:v>
      </x:c>
      <x:c r="J72" t="str">
        <x:v>I Tranchant; I Perforant; I Contondant; R Ombre; V Force; FM Lumière</x:v>
      </x:c>
    </x:row>
    <x:row r="73">
      <x:c r="A73" t="str">
        <x:v>Esprit</x:v>
      </x:c>
      <x:c r="B73" t="str">
        <x:v>Revenant</x:v>
      </x:c>
      <x:c r="C73" t="n">
        <x:v>1.2</x:v>
      </x:c>
      <x:c r="D73" t="n">
        <x:v>1.1</x:v>
      </x:c>
      <x:c r="E73" t="n">
        <x:v>5</x:v>
      </x:c>
      <x:c r="F73" t="n">
        <x:v>0</x:v>
      </x:c>
      <x:c r="G73" t="n">
        <x:v>0</x:v>
      </x:c>
      <x:c r="H73" t="n">
        <x:v>0</x:v>
      </x:c>
      <x:c r="I73" t="n">
        <x:v>0</x:v>
      </x:c>
      <x:c r="J73" t="str">
        <x:v>R Tranchant; R Perforant; R Ombre; V Contondant; FM Lumière</x:v>
      </x:c>
    </x:row>
    <x:row r="74">
      <x:c r="A74" t="str">
        <x:v>Dragon</x:v>
      </x:c>
      <x:c r="B74" t="str">
        <x:v>Dragon mineur</x:v>
      </x:c>
      <x:c r="C74" t="n">
        <x:v>0.8</x:v>
      </x:c>
      <x:c r="D74" t="n">
        <x:v>0.9</x:v>
      </x:c>
      <x:c r="E74" t="n">
        <x:v>7</x:v>
      </x:c>
      <x:c r="F74" t="n">
        <x:v>9</x:v>
      </x:c>
      <x:c r="G74" t="n">
        <x:v>6</x:v>
      </x:c>
      <x:c r="H74" t="n">
        <x:v>0</x:v>
      </x:c>
      <x:c r="I74" t="n">
        <x:v>0</x:v>
      </x:c>
      <x:c r="J74" t="str">
        <x:v>R Tranchant; R Force; V Perforant</x:v>
      </x:c>
    </x:row>
    <x:row r="75">
      <x:c r="A75" t="str">
        <x:v>Dragon</x:v>
      </x:c>
      <x:c r="B75" t="str">
        <x:v>Dragon élémentaire</x:v>
      </x:c>
      <x:c r="C75" t="n">
        <x:v>1</x:v>
      </x:c>
      <x:c r="D75" t="n">
        <x:v>1.05</x:v>
      </x:c>
      <x:c r="E75" t="n">
        <x:v>7</x:v>
      </x:c>
      <x:c r="F75" t="n">
        <x:v>10</x:v>
      </x:c>
      <x:c r="G75" t="n">
        <x:v>7</x:v>
      </x:c>
      <x:c r="H75" t="n">
        <x:v>0</x:v>
      </x:c>
      <x:c r="I75" t="n">
        <x:v>0</x:v>
      </x:c>
      <x:c r="J75" t="str">
        <x:v>R Tranchant; R Perforant; S élément; FM élément opposé</x:v>
      </x:c>
    </x:row>
    <x:row r="76">
      <x:c r="A76" t="str">
        <x:v>Dragon</x:v>
      </x:c>
      <x:c r="B76" t="str">
        <x:v>Dragon de métal</x:v>
      </x:c>
      <x:c r="C76" t="n">
        <x:v>1.15</x:v>
      </x:c>
      <x:c r="D76" t="n">
        <x:v>1</x:v>
      </x:c>
      <x:c r="E76" t="n">
        <x:v>6</x:v>
      </x:c>
      <x:c r="F76" t="n">
        <x:v>9</x:v>
      </x:c>
      <x:c r="G76" t="n">
        <x:v>0</x:v>
      </x:c>
      <x:c r="H76" t="n">
        <x:v>0</x:v>
      </x:c>
      <x:c r="I76" t="n">
        <x:v>0</x:v>
      </x:c>
      <x:c r="J76" t="str">
        <x:v>R Tranchant; R Perforant; R Terre; FM Contondant; V Air</x:v>
      </x:c>
    </x:row>
    <x:row r="77">
      <x:c r="A77" t="str">
        <x:v>Dragon</x:v>
      </x:c>
      <x:c r="B77" t="str">
        <x:v>Dragon de gemme</x:v>
      </x:c>
      <x:c r="C77" t="n">
        <x:v>1</x:v>
      </x:c>
      <x:c r="D77" t="n">
        <x:v>1.1</x:v>
      </x:c>
      <x:c r="E77" t="n">
        <x:v>7</x:v>
      </x:c>
      <x:c r="F77" t="n">
        <x:v>10</x:v>
      </x:c>
      <x:c r="G77" t="n">
        <x:v>0</x:v>
      </x:c>
      <x:c r="H77" t="n">
        <x:v>0</x:v>
      </x:c>
      <x:c r="I77" t="n">
        <x:v>0</x:v>
      </x:c>
      <x:c r="J77" t="str">
        <x:v>R Tranchant; R Force; R Psychique; V Contondant; V Ombre</x:v>
      </x:c>
    </x:row>
    <x:row r="78">
      <x:c r="A78" t="str">
        <x:v>Dragon</x:v>
      </x:c>
      <x:c r="B78" t="str">
        <x:v>Dragon nécrotique</x:v>
      </x:c>
      <x:c r="C78" t="n">
        <x:v>1.1</x:v>
      </x:c>
      <x:c r="D78" t="n">
        <x:v>1.15</x:v>
      </x:c>
      <x:c r="E78" t="n">
        <x:v>6</x:v>
      </x:c>
      <x:c r="F78" t="n">
        <x:v>9</x:v>
      </x:c>
      <x:c r="G78" t="n">
        <x:v>0</x:v>
      </x:c>
      <x:c r="H78" t="n">
        <x:v>0</x:v>
      </x:c>
      <x:c r="I78" t="n">
        <x:v>0</x:v>
      </x:c>
      <x:c r="J78" t="str">
        <x:v>R Tranchant; R Perforant; R Force; S Ombre; V Feu; FM Lumière</x:v>
      </x:c>
    </x:row>
    <x:row r="79">
      <x:c r="A79" t="str">
        <x:v>Dragon</x:v>
      </x:c>
      <x:c r="B79" t="str">
        <x:v>Dragon primordial</x:v>
      </x:c>
      <x:c r="C79" t="n">
        <x:v>1.3</x:v>
      </x:c>
      <x:c r="D79" t="n">
        <x:v>1.25</x:v>
      </x:c>
      <x:c r="E79" t="n">
        <x:v>8</x:v>
      </x:c>
      <x:c r="F79" t="n">
        <x:v>11</x:v>
      </x:c>
      <x:c r="G79" t="n">
        <x:v>8</x:v>
      </x:c>
      <x:c r="H79" t="n">
        <x:v>0</x:v>
      </x:c>
      <x:c r="I79" t="n">
        <x:v>0</x:v>
      </x:c>
      <x:c r="J79" t="str">
        <x:v>R Tranchant; R Perforant; R Force + propres affinités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</x:cols>
  <x:sheetData>
    <x:row r="1">
      <x:c r="A1" s="36" t="str">
        <x:v>Key</x:v>
      </x:c>
      <x:c r="B1" s="36" t="str">
        <x:v>Type</x:v>
      </x:c>
      <x:c r="C1" s="36" t="str">
        <x:v>Archetype</x:v>
      </x:c>
      <x:c r="D1" s="36" t="str">
        <x:v>Pool</x:v>
      </x:c>
      <x:c r="E1" s="36" t="str">
        <x:v>FOR</x:v>
      </x:c>
      <x:c r="F1" s="36" t="str">
        <x:v>DEX</x:v>
      </x:c>
      <x:c r="G1" s="36" t="str">
        <x:v>CON</x:v>
      </x:c>
      <x:c r="H1" s="36" t="str">
        <x:v>INT</x:v>
      </x:c>
      <x:c r="I1" s="36" t="str">
        <x:v>SAG</x:v>
      </x:c>
      <x:c r="J1" s="36" t="str">
        <x:v>CHA</x:v>
      </x:c>
      <x:c r="K1" s="36" t="str">
        <x:v>Phys</x:v>
      </x:c>
      <x:c r="L1" s="36" t="str">
        <x:v>Mental</x:v>
      </x:c>
      <x:c r="M1" s="36" t="str">
        <x:v>Mineur</x:v>
      </x:c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t="str">
        <x:v>P|Martial|5</x:v>
      </x:c>
      <x:c r="B2" t="str">
        <x:v>Principal</x:v>
      </x:c>
      <x:c r="C2" t="str">
        <x:v>Martial</x:v>
      </x:c>
      <x:c r="D2" t="n">
        <x:v>5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3</x:v>
      </x:c>
      <x:c r="L2" t="n">
        <x:v>1</x:v>
      </x:c>
      <x:c r="M2" t="n">
        <x:v>1</x:v>
      </x:c>
    </x:row>
    <x:row r="3">
      <x:c r="A3" t="str">
        <x:v>P|Martial|6</x:v>
      </x:c>
      <x:c r="B3" t="str">
        <x:v>Principal</x:v>
      </x:c>
      <x:c r="C3" t="str">
        <x:v>Martial</x:v>
      </x:c>
      <x:c r="D3" t="n">
        <x:v>6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4</x:v>
      </x:c>
      <x:c r="L3" t="n">
        <x:v>1</x:v>
      </x:c>
      <x:c r="M3" t="n">
        <x:v>1</x:v>
      </x:c>
    </x:row>
    <x:row r="4">
      <x:c r="A4" t="str">
        <x:v>P|Martial|7</x:v>
      </x:c>
      <x:c r="B4" t="str">
        <x:v>Principal</x:v>
      </x:c>
      <x:c r="C4" t="str">
        <x:v>Martial</x:v>
      </x:c>
      <x:c r="D4" t="n">
        <x:v>7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5</x:v>
      </x:c>
      <x:c r="L4" t="n">
        <x:v>1</x:v>
      </x:c>
      <x:c r="M4" t="n">
        <x:v>1</x:v>
      </x:c>
    </x:row>
    <x:row r="5">
      <x:c r="A5" t="str">
        <x:v>P|Martial|8</x:v>
      </x:c>
      <x:c r="B5" t="str">
        <x:v>Principal</x:v>
      </x:c>
      <x:c r="C5" t="str">
        <x:v>Martial</x:v>
      </x:c>
      <x:c r="D5" t="n">
        <x:v>8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5</x:v>
      </x:c>
      <x:c r="L5" t="n">
        <x:v>2</x:v>
      </x:c>
      <x:c r="M5" t="n">
        <x:v>1</x:v>
      </x:c>
    </x:row>
    <x:row r="6">
      <x:c r="A6" t="str">
        <x:v>P|Martial|9</x:v>
      </x:c>
      <x:c r="B6" t="str">
        <x:v>Principal</x:v>
      </x:c>
      <x:c r="C6" t="str">
        <x:v>Martial</x:v>
      </x:c>
      <x:c r="D6" t="n">
        <x:v>9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6</x:v>
      </x:c>
      <x:c r="L6" t="n">
        <x:v>2</x:v>
      </x:c>
      <x:c r="M6" t="n">
        <x:v>1</x:v>
      </x:c>
    </x:row>
    <x:row r="7">
      <x:c r="A7" t="str">
        <x:v>P|Martial|10</x:v>
      </x:c>
      <x:c r="B7" t="str">
        <x:v>Principal</x:v>
      </x:c>
      <x:c r="C7" t="str">
        <x:v>Martial</x:v>
      </x:c>
      <x:c r="D7" t="n">
        <x:v>10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7</x:v>
      </x:c>
      <x:c r="L7" t="n">
        <x:v>2</x:v>
      </x:c>
      <x:c r="M7" t="n">
        <x:v>1</x:v>
      </x:c>
    </x:row>
    <x:row r="8">
      <x:c r="A8" t="str">
        <x:v>P|Martial|11</x:v>
      </x:c>
      <x:c r="B8" t="str">
        <x:v>Principal</x:v>
      </x:c>
      <x:c r="C8" t="str">
        <x:v>Martial</x:v>
      </x:c>
      <x:c r="D8" t="n">
        <x:v>11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7</x:v>
      </x:c>
      <x:c r="L8" t="n">
        <x:v>2</x:v>
      </x:c>
      <x:c r="M8" t="n">
        <x:v>2</x:v>
      </x:c>
    </x:row>
    <x:row r="9">
      <x:c r="A9" t="str">
        <x:v>P|Martial|12</x:v>
      </x:c>
      <x:c r="B9" t="str">
        <x:v>Principal</x:v>
      </x:c>
      <x:c r="C9" t="str">
        <x:v>Martial</x:v>
      </x:c>
      <x:c r="D9" t="n">
        <x:v>12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8</x:v>
      </x:c>
      <x:c r="L9" t="n">
        <x:v>2</x:v>
      </x:c>
      <x:c r="M9" t="n">
        <x:v>2</x:v>
      </x:c>
    </x:row>
    <x:row r="10">
      <x:c r="A10" t="str">
        <x:v>P|Martial|13</x:v>
      </x:c>
      <x:c r="B10" t="str">
        <x:v>Principal</x:v>
      </x:c>
      <x:c r="C10" t="str">
        <x:v>Martial</x:v>
      </x:c>
      <x:c r="D10" t="n">
        <x:v>13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8</x:v>
      </x:c>
      <x:c r="L10" t="n">
        <x:v>3</x:v>
      </x:c>
      <x:c r="M10" t="n">
        <x:v>2</x:v>
      </x:c>
    </x:row>
    <x:row r="11">
      <x:c r="A11" t="str">
        <x:v>P|Martial|14</x:v>
      </x:c>
      <x:c r="B11" t="str">
        <x:v>Principal</x:v>
      </x:c>
      <x:c r="C11" t="str">
        <x:v>Martial</x:v>
      </x:c>
      <x:c r="D11" t="n">
        <x:v>14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9</x:v>
      </x:c>
      <x:c r="L11" t="n">
        <x:v>3</x:v>
      </x:c>
      <x:c r="M11" t="n">
        <x:v>2</x:v>
      </x:c>
    </x:row>
    <x:row r="12">
      <x:c r="A12" t="str">
        <x:v>P|Martial|15</x:v>
      </x:c>
      <x:c r="B12" t="str">
        <x:v>Principal</x:v>
      </x:c>
      <x:c r="C12" t="str">
        <x:v>Martial</x:v>
      </x:c>
      <x:c r="D12" t="n">
        <x:v>15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10</x:v>
      </x:c>
      <x:c r="L12" t="n">
        <x:v>3</x:v>
      </x:c>
      <x:c r="M12" t="n">
        <x:v>2</x:v>
      </x:c>
    </x:row>
    <x:row r="13">
      <x:c r="A13" t="str">
        <x:v>P|Martial|16</x:v>
      </x:c>
      <x:c r="B13" t="str">
        <x:v>Principal</x:v>
      </x:c>
      <x:c r="C13" t="str">
        <x:v>Martial</x:v>
      </x:c>
      <x:c r="D13" t="n">
        <x:v>16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11</x:v>
      </x:c>
      <x:c r="L13" t="n">
        <x:v>3</x:v>
      </x:c>
      <x:c r="M13" t="n">
        <x:v>2</x:v>
      </x:c>
    </x:row>
    <x:row r="14">
      <x:c r="A14" t="str">
        <x:v>P|Martial|17</x:v>
      </x:c>
      <x:c r="B14" t="str">
        <x:v>Principal</x:v>
      </x:c>
      <x:c r="C14" t="str">
        <x:v>Martial</x:v>
      </x:c>
      <x:c r="D14" t="n">
        <x:v>17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11</x:v>
      </x:c>
      <x:c r="L14" t="n">
        <x:v>3</x:v>
      </x:c>
      <x:c r="M14" t="n">
        <x:v>3</x:v>
      </x:c>
    </x:row>
    <x:row r="15">
      <x:c r="A15" t="str">
        <x:v>P|Martial|18</x:v>
      </x:c>
      <x:c r="B15" t="str">
        <x:v>Principal</x:v>
      </x:c>
      <x:c r="C15" t="str">
        <x:v>Martial</x:v>
      </x:c>
      <x:c r="D15" t="n">
        <x:v>18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12</x:v>
      </x:c>
      <x:c r="L15" t="n">
        <x:v>3</x:v>
      </x:c>
      <x:c r="M15" t="n">
        <x:v>3</x:v>
      </x:c>
    </x:row>
    <x:row r="16">
      <x:c r="A16" t="str">
        <x:v>P|Martial|19</x:v>
      </x:c>
      <x:c r="B16" t="str">
        <x:v>Principal</x:v>
      </x:c>
      <x:c r="C16" t="str">
        <x:v>Martial</x:v>
      </x:c>
      <x:c r="D16" t="n">
        <x:v>19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12</x:v>
      </x:c>
      <x:c r="L16" t="n">
        <x:v>4</x:v>
      </x:c>
      <x:c r="M16" t="n">
        <x:v>3</x:v>
      </x:c>
    </x:row>
    <x:row r="17">
      <x:c r="A17" t="str">
        <x:v>P|Martial|20</x:v>
      </x:c>
      <x:c r="B17" t="str">
        <x:v>Principal</x:v>
      </x:c>
      <x:c r="C17" t="str">
        <x:v>Martial</x:v>
      </x:c>
      <x:c r="D17" t="n">
        <x:v>20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13</x:v>
      </x:c>
      <x:c r="L17" t="n">
        <x:v>4</x:v>
      </x:c>
      <x:c r="M17" t="n">
        <x:v>3</x:v>
      </x:c>
    </x:row>
    <x:row r="18">
      <x:c r="A18" t="str">
        <x:v>P|Martial|21</x:v>
      </x:c>
      <x:c r="B18" t="str">
        <x:v>Principal</x:v>
      </x:c>
      <x:c r="C18" t="str">
        <x:v>Martial</x:v>
      </x:c>
      <x:c r="D18" t="n">
        <x:v>21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14</x:v>
      </x:c>
      <x:c r="L18" t="n">
        <x:v>4</x:v>
      </x:c>
      <x:c r="M18" t="n">
        <x:v>3</x:v>
      </x:c>
    </x:row>
    <x:row r="19">
      <x:c r="A19" t="str">
        <x:v>P|Mystique|5</x:v>
      </x:c>
      <x:c r="B19" t="str">
        <x:v>Principal</x:v>
      </x:c>
      <x:c r="C19" t="str">
        <x:v>Mystique</x:v>
      </x:c>
      <x:c r="D19" t="n">
        <x:v>5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1</x:v>
      </x:c>
      <x:c r="L19" t="n">
        <x:v>3</x:v>
      </x:c>
      <x:c r="M19" t="n">
        <x:v>1</x:v>
      </x:c>
    </x:row>
    <x:row r="20">
      <x:c r="A20" t="str">
        <x:v>P|Mystique|6</x:v>
      </x:c>
      <x:c r="B20" t="str">
        <x:v>Principal</x:v>
      </x:c>
      <x:c r="C20" t="str">
        <x:v>Mystique</x:v>
      </x:c>
      <x:c r="D20" t="n">
        <x:v>6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1</x:v>
      </x:c>
      <x:c r="L20" t="n">
        <x:v>4</x:v>
      </x:c>
      <x:c r="M20" t="n">
        <x:v>1</x:v>
      </x:c>
    </x:row>
    <x:row r="21">
      <x:c r="A21" t="str">
        <x:v>P|Mystique|7</x:v>
      </x:c>
      <x:c r="B21" t="str">
        <x:v>Principal</x:v>
      </x:c>
      <x:c r="C21" t="str">
        <x:v>Mystique</x:v>
      </x:c>
      <x:c r="D21" t="n">
        <x:v>7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1</x:v>
      </x:c>
      <x:c r="L21" t="n">
        <x:v>5</x:v>
      </x:c>
      <x:c r="M21" t="n">
        <x:v>1</x:v>
      </x:c>
    </x:row>
    <x:row r="22">
      <x:c r="A22" t="str">
        <x:v>P|Mystique|8</x:v>
      </x:c>
      <x:c r="B22" t="str">
        <x:v>Principal</x:v>
      </x:c>
      <x:c r="C22" t="str">
        <x:v>Mystique</x:v>
      </x:c>
      <x:c r="D22" t="n">
        <x:v>8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2</x:v>
      </x:c>
      <x:c r="L22" t="n">
        <x:v>5</x:v>
      </x:c>
      <x:c r="M22" t="n">
        <x:v>1</x:v>
      </x:c>
    </x:row>
    <x:row r="23">
      <x:c r="A23" t="str">
        <x:v>P|Mystique|9</x:v>
      </x:c>
      <x:c r="B23" t="str">
        <x:v>Principal</x:v>
      </x:c>
      <x:c r="C23" t="str">
        <x:v>Mystique</x:v>
      </x:c>
      <x:c r="D23" t="n">
        <x:v>9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2</x:v>
      </x:c>
      <x:c r="L23" t="n">
        <x:v>6</x:v>
      </x:c>
      <x:c r="M23" t="n">
        <x:v>1</x:v>
      </x:c>
    </x:row>
    <x:row r="24">
      <x:c r="A24" t="str">
        <x:v>P|Mystique|10</x:v>
      </x:c>
      <x:c r="B24" t="str">
        <x:v>Principal</x:v>
      </x:c>
      <x:c r="C24" t="str">
        <x:v>Mystique</x:v>
      </x:c>
      <x:c r="D24" t="n">
        <x:v>10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2</x:v>
      </x:c>
      <x:c r="L24" t="n">
        <x:v>7</x:v>
      </x:c>
      <x:c r="M24" t="n">
        <x:v>1</x:v>
      </x:c>
    </x:row>
    <x:row r="25">
      <x:c r="A25" t="str">
        <x:v>P|Mystique|11</x:v>
      </x:c>
      <x:c r="B25" t="str">
        <x:v>Principal</x:v>
      </x:c>
      <x:c r="C25" t="str">
        <x:v>Mystique</x:v>
      </x:c>
      <x:c r="D25" t="n">
        <x:v>11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2</x:v>
      </x:c>
      <x:c r="L25" t="n">
        <x:v>7</x:v>
      </x:c>
      <x:c r="M25" t="n">
        <x:v>2</x:v>
      </x:c>
    </x:row>
    <x:row r="26">
      <x:c r="A26" t="str">
        <x:v>P|Mystique|12</x:v>
      </x:c>
      <x:c r="B26" t="str">
        <x:v>Principal</x:v>
      </x:c>
      <x:c r="C26" t="str">
        <x:v>Mystique</x:v>
      </x:c>
      <x:c r="D26" t="n">
        <x:v>12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2</x:v>
      </x:c>
      <x:c r="L26" t="n">
        <x:v>8</x:v>
      </x:c>
      <x:c r="M26" t="n">
        <x:v>2</x:v>
      </x:c>
    </x:row>
    <x:row r="27">
      <x:c r="A27" t="str">
        <x:v>P|Mystique|13</x:v>
      </x:c>
      <x:c r="B27" t="str">
        <x:v>Principal</x:v>
      </x:c>
      <x:c r="C27" t="str">
        <x:v>Mystique</x:v>
      </x:c>
      <x:c r="D27" t="n">
        <x:v>13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3</x:v>
      </x:c>
      <x:c r="L27" t="n">
        <x:v>8</x:v>
      </x:c>
      <x:c r="M27" t="n">
        <x:v>2</x:v>
      </x:c>
    </x:row>
    <x:row r="28">
      <x:c r="A28" t="str">
        <x:v>P|Mystique|14</x:v>
      </x:c>
      <x:c r="B28" t="str">
        <x:v>Principal</x:v>
      </x:c>
      <x:c r="C28" t="str">
        <x:v>Mystique</x:v>
      </x:c>
      <x:c r="D28" t="n">
        <x:v>14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3</x:v>
      </x:c>
      <x:c r="L28" t="n">
        <x:v>9</x:v>
      </x:c>
      <x:c r="M28" t="n">
        <x:v>2</x:v>
      </x:c>
    </x:row>
    <x:row r="29">
      <x:c r="A29" t="str">
        <x:v>P|Mystique|15</x:v>
      </x:c>
      <x:c r="B29" t="str">
        <x:v>Principal</x:v>
      </x:c>
      <x:c r="C29" t="str">
        <x:v>Mystique</x:v>
      </x:c>
      <x:c r="D29" t="n">
        <x:v>15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3</x:v>
      </x:c>
      <x:c r="L29" t="n">
        <x:v>10</x:v>
      </x:c>
      <x:c r="M29" t="n">
        <x:v>2</x:v>
      </x:c>
    </x:row>
    <x:row r="30">
      <x:c r="A30" t="str">
        <x:v>P|Mystique|16</x:v>
      </x:c>
      <x:c r="B30" t="str">
        <x:v>Principal</x:v>
      </x:c>
      <x:c r="C30" t="str">
        <x:v>Mystique</x:v>
      </x:c>
      <x:c r="D30" t="n">
        <x:v>16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3</x:v>
      </x:c>
      <x:c r="L30" t="n">
        <x:v>11</x:v>
      </x:c>
      <x:c r="M30" t="n">
        <x:v>2</x:v>
      </x:c>
    </x:row>
    <x:row r="31">
      <x:c r="A31" t="str">
        <x:v>P|Mystique|17</x:v>
      </x:c>
      <x:c r="B31" t="str">
        <x:v>Principal</x:v>
      </x:c>
      <x:c r="C31" t="str">
        <x:v>Mystique</x:v>
      </x:c>
      <x:c r="D31" t="n">
        <x:v>17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3</x:v>
      </x:c>
      <x:c r="L31" t="n">
        <x:v>11</x:v>
      </x:c>
      <x:c r="M31" t="n">
        <x:v>3</x:v>
      </x:c>
    </x:row>
    <x:row r="32">
      <x:c r="A32" t="str">
        <x:v>P|Mystique|18</x:v>
      </x:c>
      <x:c r="B32" t="str">
        <x:v>Principal</x:v>
      </x:c>
      <x:c r="C32" t="str">
        <x:v>Mystique</x:v>
      </x:c>
      <x:c r="D32" t="n">
        <x:v>18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3</x:v>
      </x:c>
      <x:c r="L32" t="n">
        <x:v>12</x:v>
      </x:c>
      <x:c r="M32" t="n">
        <x:v>3</x:v>
      </x:c>
    </x:row>
    <x:row r="33">
      <x:c r="A33" t="str">
        <x:v>P|Mystique|19</x:v>
      </x:c>
      <x:c r="B33" t="str">
        <x:v>Principal</x:v>
      </x:c>
      <x:c r="C33" t="str">
        <x:v>Mystique</x:v>
      </x:c>
      <x:c r="D33" t="n">
        <x:v>19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4</x:v>
      </x:c>
      <x:c r="L33" t="n">
        <x:v>12</x:v>
      </x:c>
      <x:c r="M33" t="n">
        <x:v>3</x:v>
      </x:c>
    </x:row>
    <x:row r="34">
      <x:c r="A34" t="str">
        <x:v>P|Mystique|20</x:v>
      </x:c>
      <x:c r="B34" t="str">
        <x:v>Principal</x:v>
      </x:c>
      <x:c r="C34" t="str">
        <x:v>Mystique</x:v>
      </x:c>
      <x:c r="D34" t="n">
        <x:v>20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4</x:v>
      </x:c>
      <x:c r="L34" t="n">
        <x:v>13</x:v>
      </x:c>
      <x:c r="M34" t="n">
        <x:v>3</x:v>
      </x:c>
    </x:row>
    <x:row r="35">
      <x:c r="A35" t="str">
        <x:v>P|Mystique|21</x:v>
      </x:c>
      <x:c r="B35" t="str">
        <x:v>Principal</x:v>
      </x:c>
      <x:c r="C35" t="str">
        <x:v>Mystique</x:v>
      </x:c>
      <x:c r="D35" t="n">
        <x:v>21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4</x:v>
      </x:c>
      <x:c r="L35" t="n">
        <x:v>14</x:v>
      </x:c>
      <x:c r="M35" t="n">
        <x:v>3</x:v>
      </x:c>
    </x:row>
    <x:row r="36">
      <x:c r="A36" t="str">
        <x:v>P|Composite|5</x:v>
      </x:c>
      <x:c r="B36" t="str">
        <x:v>Principal</x:v>
      </x:c>
      <x:c r="C36" t="str">
        <x:v>Composite</x:v>
      </x:c>
      <x:c r="D36" t="n">
        <x:v>5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2</x:v>
      </x:c>
      <x:c r="L36" t="n">
        <x:v>2</x:v>
      </x:c>
      <x:c r="M36" t="n">
        <x:v>1</x:v>
      </x:c>
    </x:row>
    <x:row r="37">
      <x:c r="A37" t="str">
        <x:v>P|Composite|6</x:v>
      </x:c>
      <x:c r="B37" t="str">
        <x:v>Principal</x:v>
      </x:c>
      <x:c r="C37" t="str">
        <x:v>Composite</x:v>
      </x:c>
      <x:c r="D37" t="n">
        <x:v>6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3</x:v>
      </x:c>
      <x:c r="L37" t="n">
        <x:v>2</x:v>
      </x:c>
      <x:c r="M37" t="n">
        <x:v>1</x:v>
      </x:c>
    </x:row>
    <x:row r="38">
      <x:c r="A38" t="str">
        <x:v>P|Composite|7</x:v>
      </x:c>
      <x:c r="B38" t="str">
        <x:v>Principal</x:v>
      </x:c>
      <x:c r="C38" t="str">
        <x:v>Composite</x:v>
      </x:c>
      <x:c r="D38" t="n">
        <x:v>7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3</x:v>
      </x:c>
      <x:c r="L38" t="n">
        <x:v>3</x:v>
      </x:c>
      <x:c r="M38" t="n">
        <x:v>1</x:v>
      </x:c>
    </x:row>
    <x:row r="39">
      <x:c r="A39" t="str">
        <x:v>P|Composite|8</x:v>
      </x:c>
      <x:c r="B39" t="str">
        <x:v>Principal</x:v>
      </x:c>
      <x:c r="C39" t="str">
        <x:v>Composite</x:v>
      </x:c>
      <x:c r="D39" t="n">
        <x:v>8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4</x:v>
      </x:c>
      <x:c r="L39" t="n">
        <x:v>3</x:v>
      </x:c>
      <x:c r="M39" t="n">
        <x:v>1</x:v>
      </x:c>
    </x:row>
    <x:row r="40">
      <x:c r="A40" t="str">
        <x:v>P|Composite|9</x:v>
      </x:c>
      <x:c r="B40" t="str">
        <x:v>Principal</x:v>
      </x:c>
      <x:c r="C40" t="str">
        <x:v>Composite</x:v>
      </x:c>
      <x:c r="D40" t="n">
        <x:v>9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4</x:v>
      </x:c>
      <x:c r="L40" t="n">
        <x:v>4</x:v>
      </x:c>
      <x:c r="M40" t="n">
        <x:v>1</x:v>
      </x:c>
    </x:row>
    <x:row r="41">
      <x:c r="A41" t="str">
        <x:v>P|Composite|10</x:v>
      </x:c>
      <x:c r="B41" t="str">
        <x:v>Principal</x:v>
      </x:c>
      <x:c r="C41" t="str">
        <x:v>Composite</x:v>
      </x:c>
      <x:c r="D41" t="n">
        <x:v>10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v>5</x:v>
      </x:c>
      <x:c r="L41" t="n">
        <x:v>4</x:v>
      </x:c>
      <x:c r="M41" t="n">
        <x:v>1</x:v>
      </x:c>
    </x:row>
    <x:row r="42">
      <x:c r="A42" t="str">
        <x:v>P|Composite|11</x:v>
      </x:c>
      <x:c r="B42" t="str">
        <x:v>Principal</x:v>
      </x:c>
      <x:c r="C42" t="str">
        <x:v>Composite</x:v>
      </x:c>
      <x:c r="D42" t="n">
        <x:v>11</x:v>
      </x:c>
      <x:c r="E42" t="n">
        <x:v>0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5</x:v>
      </x:c>
      <x:c r="L42" t="n">
        <x:v>4</x:v>
      </x:c>
      <x:c r="M42" t="n">
        <x:v>2</x:v>
      </x:c>
    </x:row>
    <x:row r="43">
      <x:c r="A43" t="str">
        <x:v>P|Composite|12</x:v>
      </x:c>
      <x:c r="B43" t="str">
        <x:v>Principal</x:v>
      </x:c>
      <x:c r="C43" t="str">
        <x:v>Composite</x:v>
      </x:c>
      <x:c r="D43" t="n">
        <x:v>12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5</x:v>
      </x:c>
      <x:c r="L43" t="n">
        <x:v>5</x:v>
      </x:c>
      <x:c r="M43" t="n">
        <x:v>2</x:v>
      </x:c>
    </x:row>
    <x:row r="44">
      <x:c r="A44" t="str">
        <x:v>P|Composite|13</x:v>
      </x:c>
      <x:c r="B44" t="str">
        <x:v>Principal</x:v>
      </x:c>
      <x:c r="C44" t="str">
        <x:v>Composite</x:v>
      </x:c>
      <x:c r="D44" t="n">
        <x:v>13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6</x:v>
      </x:c>
      <x:c r="L44" t="n">
        <x:v>5</x:v>
      </x:c>
      <x:c r="M44" t="n">
        <x:v>2</x:v>
      </x:c>
    </x:row>
    <x:row r="45">
      <x:c r="A45" t="str">
        <x:v>P|Composite|14</x:v>
      </x:c>
      <x:c r="B45" t="str">
        <x:v>Principal</x:v>
      </x:c>
      <x:c r="C45" t="str">
        <x:v>Composite</x:v>
      </x:c>
      <x:c r="D45" t="n">
        <x:v>14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6</x:v>
      </x:c>
      <x:c r="L45" t="n">
        <x:v>6</x:v>
      </x:c>
      <x:c r="M45" t="n">
        <x:v>2</x:v>
      </x:c>
    </x:row>
    <x:row r="46">
      <x:c r="A46" t="str">
        <x:v>P|Composite|15</x:v>
      </x:c>
      <x:c r="B46" t="str">
        <x:v>Principal</x:v>
      </x:c>
      <x:c r="C46" t="str">
        <x:v>Composite</x:v>
      </x:c>
      <x:c r="D46" t="n">
        <x:v>15</x:v>
      </x:c>
      <x:c r="E46" t="n">
        <x:v>0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0</x:v>
      </x:c>
      <x:c r="K46" t="n">
        <x:v>7</x:v>
      </x:c>
      <x:c r="L46" t="n">
        <x:v>6</x:v>
      </x:c>
      <x:c r="M46" t="n">
        <x:v>2</x:v>
      </x:c>
    </x:row>
    <x:row r="47">
      <x:c r="A47" t="str">
        <x:v>P|Composite|16</x:v>
      </x:c>
      <x:c r="B47" t="str">
        <x:v>Principal</x:v>
      </x:c>
      <x:c r="C47" t="str">
        <x:v>Composite</x:v>
      </x:c>
      <x:c r="D47" t="n">
        <x:v>16</x:v>
      </x:c>
      <x:c r="E47" t="n">
        <x:v>0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7</x:v>
      </x:c>
      <x:c r="L47" t="n">
        <x:v>7</x:v>
      </x:c>
      <x:c r="M47" t="n">
        <x:v>2</x:v>
      </x:c>
    </x:row>
    <x:row r="48">
      <x:c r="A48" t="str">
        <x:v>P|Composite|17</x:v>
      </x:c>
      <x:c r="B48" t="str">
        <x:v>Principal</x:v>
      </x:c>
      <x:c r="C48" t="str">
        <x:v>Composite</x:v>
      </x:c>
      <x:c r="D48" t="n">
        <x:v>17</x:v>
      </x:c>
      <x:c r="E48" t="n">
        <x:v>0</x:v>
      </x:c>
      <x:c r="F48" t="n">
        <x:v>0</x:v>
      </x:c>
      <x:c r="G48" t="n">
        <x:v>0</x:v>
      </x:c>
      <x:c r="H48" t="n">
        <x:v>0</x:v>
      </x:c>
      <x:c r="I48" t="n">
        <x:v>0</x:v>
      </x:c>
      <x:c r="J48" t="n">
        <x:v>0</x:v>
      </x:c>
      <x:c r="K48" t="n">
        <x:v>8</x:v>
      </x:c>
      <x:c r="L48" t="n">
        <x:v>7</x:v>
      </x:c>
      <x:c r="M48" t="n">
        <x:v>2</x:v>
      </x:c>
    </x:row>
    <x:row r="49">
      <x:c r="A49" t="str">
        <x:v>P|Composite|18</x:v>
      </x:c>
      <x:c r="B49" t="str">
        <x:v>Principal</x:v>
      </x:c>
      <x:c r="C49" t="str">
        <x:v>Composite</x:v>
      </x:c>
      <x:c r="D49" t="n">
        <x:v>18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8</x:v>
      </x:c>
      <x:c r="L49" t="n">
        <x:v>7</x:v>
      </x:c>
      <x:c r="M49" t="n">
        <x:v>3</x:v>
      </x:c>
    </x:row>
    <x:row r="50">
      <x:c r="A50" t="str">
        <x:v>P|Composite|19</x:v>
      </x:c>
      <x:c r="B50" t="str">
        <x:v>Principal</x:v>
      </x:c>
      <x:c r="C50" t="str">
        <x:v>Composite</x:v>
      </x:c>
      <x:c r="D50" t="n">
        <x:v>19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0</x:v>
      </x:c>
      <x:c r="K50" t="n">
        <x:v>8</x:v>
      </x:c>
      <x:c r="L50" t="n">
        <x:v>8</x:v>
      </x:c>
      <x:c r="M50" t="n">
        <x:v>3</x:v>
      </x:c>
    </x:row>
    <x:row r="51">
      <x:c r="A51" t="str">
        <x:v>P|Composite|20</x:v>
      </x:c>
      <x:c r="B51" t="str">
        <x:v>Principal</x:v>
      </x:c>
      <x:c r="C51" t="str">
        <x:v>Composite</x:v>
      </x:c>
      <x:c r="D51" t="n">
        <x:v>20</x:v>
      </x:c>
      <x:c r="E51" t="n">
        <x:v>0</x:v>
      </x:c>
      <x:c r="F51" t="n">
        <x:v>0</x:v>
      </x:c>
      <x:c r="G51" t="n">
        <x:v>0</x:v>
      </x:c>
      <x:c r="H51" t="n">
        <x:v>0</x:v>
      </x:c>
      <x:c r="I51" t="n">
        <x:v>0</x:v>
      </x:c>
      <x:c r="J51" t="n">
        <x:v>0</x:v>
      </x:c>
      <x:c r="K51" t="n">
        <x:v>9</x:v>
      </x:c>
      <x:c r="L51" t="n">
        <x:v>8</x:v>
      </x:c>
      <x:c r="M51" t="n">
        <x:v>3</x:v>
      </x:c>
    </x:row>
    <x:row r="52">
      <x:c r="A52" t="str">
        <x:v>P|Composite|21</x:v>
      </x:c>
      <x:c r="B52" t="str">
        <x:v>Principal</x:v>
      </x:c>
      <x:c r="C52" t="str">
        <x:v>Composite</x:v>
      </x:c>
      <x:c r="D52" t="n">
        <x:v>21</x:v>
      </x:c>
      <x:c r="E52" t="n">
        <x:v>0</x:v>
      </x:c>
      <x:c r="F52" t="n">
        <x:v>0</x:v>
      </x:c>
      <x:c r="G52" t="n">
        <x:v>0</x:v>
      </x:c>
      <x:c r="H52" t="n">
        <x:v>0</x:v>
      </x:c>
      <x:c r="I52" t="n">
        <x:v>0</x:v>
      </x:c>
      <x:c r="J52" t="n">
        <x:v>0</x:v>
      </x:c>
      <x:c r="K52" t="n">
        <x:v>10</x:v>
      </x:c>
      <x:c r="L52" t="n">
        <x:v>8</x:v>
      </x:c>
      <x:c r="M52" t="n">
        <x:v>3</x:v>
      </x:c>
    </x:row>
    <x:row r="53">
      <x:c r="A53" t="str">
        <x:v>PH|Puissant|0</x:v>
      </x:c>
      <x:c r="B53" t="str">
        <x:v>Physique</x:v>
      </x:c>
      <x:c r="C53" t="str">
        <x:v>Puissant</x:v>
      </x:c>
      <x:c r="D53" t="n">
        <x:v>0</x:v>
      </x:c>
      <x:c r="E53" t="n">
        <x:v>0</x:v>
      </x:c>
      <x:c r="F53" t="n">
        <x:v>0</x:v>
      </x:c>
      <x:c r="G53" t="n">
        <x:v>0</x:v>
      </x:c>
      <x:c r="H53" t="n">
        <x:v>0</x:v>
      </x:c>
      <x:c r="I53" t="n">
        <x:v>0</x:v>
      </x:c>
      <x:c r="J53" t="n">
        <x:v>0</x:v>
      </x:c>
      <x:c r="K53" t="n">
        <x:v>0</x:v>
      </x:c>
      <x:c r="L53" t="n">
        <x:v>0</x:v>
      </x:c>
      <x:c r="M53" t="n">
        <x:v>0</x:v>
      </x:c>
    </x:row>
    <x:row r="54">
      <x:c r="A54" t="str">
        <x:v>PH|Puissant|1</x:v>
      </x:c>
      <x:c r="B54" t="str">
        <x:v>Physique</x:v>
      </x:c>
      <x:c r="C54" t="str">
        <x:v>Puissant</x:v>
      </x:c>
      <x:c r="D54" t="n">
        <x:v>1</x:v>
      </x:c>
      <x:c r="E54" t="n">
        <x:v>1</x:v>
      </x:c>
      <x:c r="F54" t="n">
        <x:v>0</x:v>
      </x:c>
      <x:c r="G54" t="n">
        <x:v>0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n">
        <x:v>0</x:v>
      </x:c>
      <x:c r="M54" t="n">
        <x:v>0</x:v>
      </x:c>
    </x:row>
    <x:row r="55">
      <x:c r="A55" t="str">
        <x:v>PH|Puissant|2</x:v>
      </x:c>
      <x:c r="B55" t="str">
        <x:v>Physique</x:v>
      </x:c>
      <x:c r="C55" t="str">
        <x:v>Puissant</x:v>
      </x:c>
      <x:c r="D55" t="n">
        <x:v>2</x:v>
      </x:c>
      <x:c r="E55" t="n">
        <x:v>1</x:v>
      </x:c>
      <x:c r="F55" t="n">
        <x:v>0</x:v>
      </x:c>
      <x:c r="G55" t="n">
        <x:v>1</x:v>
      </x:c>
      <x:c r="H55" t="n">
        <x:v>0</x:v>
      </x:c>
      <x:c r="I55" t="n">
        <x:v>0</x:v>
      </x:c>
      <x:c r="J55" t="n">
        <x:v>0</x:v>
      </x:c>
      <x:c r="K55" t="n">
        <x:v>0</x:v>
      </x:c>
      <x:c r="L55" t="n">
        <x:v>0</x:v>
      </x:c>
      <x:c r="M55" t="n">
        <x:v>0</x:v>
      </x:c>
    </x:row>
    <x:row r="56">
      <x:c r="A56" t="str">
        <x:v>PH|Puissant|3</x:v>
      </x:c>
      <x:c r="B56" t="str">
        <x:v>Physique</x:v>
      </x:c>
      <x:c r="C56" t="str">
        <x:v>Puissant</x:v>
      </x:c>
      <x:c r="D56" t="n">
        <x:v>3</x:v>
      </x:c>
      <x:c r="E56" t="n">
        <x:v>2</x:v>
      </x:c>
      <x:c r="F56" t="n">
        <x:v>0</x:v>
      </x:c>
      <x:c r="G56" t="n">
        <x:v>1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n">
        <x:v>0</x:v>
      </x:c>
      <x:c r="M56" t="n">
        <x:v>0</x:v>
      </x:c>
    </x:row>
    <x:row r="57">
      <x:c r="A57" t="str">
        <x:v>PH|Puissant|4</x:v>
      </x:c>
      <x:c r="B57" t="str">
        <x:v>Physique</x:v>
      </x:c>
      <x:c r="C57" t="str">
        <x:v>Puissant</x:v>
      </x:c>
      <x:c r="D57" t="n">
        <x:v>4</x:v>
      </x:c>
      <x:c r="E57" t="n">
        <x:v>3</x:v>
      </x:c>
      <x:c r="F57" t="n">
        <x:v>0</x:v>
      </x:c>
      <x:c r="G57" t="n">
        <x:v>1</x:v>
      </x:c>
      <x:c r="H57" t="n">
        <x:v>0</x:v>
      </x:c>
      <x:c r="I57" t="n">
        <x:v>0</x:v>
      </x:c>
      <x:c r="J57" t="n">
        <x:v>0</x:v>
      </x:c>
      <x:c r="K57" t="n">
        <x:v>0</x:v>
      </x:c>
      <x:c r="L57" t="n">
        <x:v>0</x:v>
      </x:c>
      <x:c r="M57" t="n">
        <x:v>0</x:v>
      </x:c>
    </x:row>
    <x:row r="58">
      <x:c r="A58" t="str">
        <x:v>PH|Puissant|5</x:v>
      </x:c>
      <x:c r="B58" t="str">
        <x:v>Physique</x:v>
      </x:c>
      <x:c r="C58" t="str">
        <x:v>Puissant</x:v>
      </x:c>
      <x:c r="D58" t="n">
        <x:v>5</x:v>
      </x:c>
      <x:c r="E58" t="n">
        <x:v>3</x:v>
      </x:c>
      <x:c r="F58" t="n">
        <x:v>0</x:v>
      </x:c>
      <x:c r="G58" t="n">
        <x:v>2</x:v>
      </x:c>
      <x:c r="H58" t="n">
        <x:v>0</x:v>
      </x:c>
      <x:c r="I58" t="n">
        <x:v>0</x:v>
      </x:c>
      <x:c r="J58" t="n">
        <x:v>0</x:v>
      </x:c>
      <x:c r="K58" t="n">
        <x:v>0</x:v>
      </x:c>
      <x:c r="L58" t="n">
        <x:v>0</x:v>
      </x:c>
      <x:c r="M58" t="n">
        <x:v>0</x:v>
      </x:c>
    </x:row>
    <x:row r="59">
      <x:c r="A59" t="str">
        <x:v>PH|Puissant|6</x:v>
      </x:c>
      <x:c r="B59" t="str">
        <x:v>Physique</x:v>
      </x:c>
      <x:c r="C59" t="str">
        <x:v>Puissant</x:v>
      </x:c>
      <x:c r="D59" t="n">
        <x:v>6</x:v>
      </x:c>
      <x:c r="E59" t="n">
        <x:v>4</x:v>
      </x:c>
      <x:c r="F59" t="n">
        <x:v>0</x:v>
      </x:c>
      <x:c r="G59" t="n">
        <x:v>2</x:v>
      </x:c>
      <x:c r="H59" t="n">
        <x:v>0</x:v>
      </x:c>
      <x:c r="I59" t="n">
        <x:v>0</x:v>
      </x:c>
      <x:c r="J59" t="n">
        <x:v>0</x:v>
      </x:c>
      <x:c r="K59" t="n">
        <x:v>0</x:v>
      </x:c>
      <x:c r="L59" t="n">
        <x:v>0</x:v>
      </x:c>
      <x:c r="M59" t="n">
        <x:v>0</x:v>
      </x:c>
    </x:row>
    <x:row r="60">
      <x:c r="A60" t="str">
        <x:v>PH|Puissant|7</x:v>
      </x:c>
      <x:c r="B60" t="str">
        <x:v>Physique</x:v>
      </x:c>
      <x:c r="C60" t="str">
        <x:v>Puissant</x:v>
      </x:c>
      <x:c r="D60" t="n">
        <x:v>7</x:v>
      </x:c>
      <x:c r="E60" t="n">
        <x:v>5</x:v>
      </x:c>
      <x:c r="F60" t="n">
        <x:v>0</x:v>
      </x:c>
      <x:c r="G60" t="n">
        <x:v>2</x:v>
      </x:c>
      <x:c r="H60" t="n">
        <x:v>0</x:v>
      </x:c>
      <x:c r="I60" t="n">
        <x:v>0</x:v>
      </x:c>
      <x:c r="J60" t="n">
        <x:v>0</x:v>
      </x:c>
      <x:c r="K60" t="n">
        <x:v>0</x:v>
      </x:c>
      <x:c r="L60" t="n">
        <x:v>0</x:v>
      </x:c>
      <x:c r="M60" t="n">
        <x:v>0</x:v>
      </x:c>
    </x:row>
    <x:row r="61">
      <x:c r="A61" t="str">
        <x:v>PH|Puissant|8</x:v>
      </x:c>
      <x:c r="B61" t="str">
        <x:v>Physique</x:v>
      </x:c>
      <x:c r="C61" t="str">
        <x:v>Puissant</x:v>
      </x:c>
      <x:c r="D61" t="n">
        <x:v>8</x:v>
      </x:c>
      <x:c r="E61" t="n">
        <x:v>5</x:v>
      </x:c>
      <x:c r="F61" t="n">
        <x:v>0</x:v>
      </x:c>
      <x:c r="G61" t="n">
        <x:v>3</x:v>
      </x:c>
      <x:c r="H61" t="n">
        <x:v>0</x:v>
      </x:c>
      <x:c r="I61" t="n">
        <x:v>0</x:v>
      </x:c>
      <x:c r="J61" t="n">
        <x:v>0</x:v>
      </x:c>
      <x:c r="K61" t="n">
        <x:v>0</x:v>
      </x:c>
      <x:c r="L61" t="n">
        <x:v>0</x:v>
      </x:c>
      <x:c r="M61" t="n">
        <x:v>0</x:v>
      </x:c>
    </x:row>
    <x:row r="62">
      <x:c r="A62" t="str">
        <x:v>PH|Puissant|9</x:v>
      </x:c>
      <x:c r="B62" t="str">
        <x:v>Physique</x:v>
      </x:c>
      <x:c r="C62" t="str">
        <x:v>Puissant</x:v>
      </x:c>
      <x:c r="D62" t="n">
        <x:v>9</x:v>
      </x:c>
      <x:c r="E62" t="n">
        <x:v>6</x:v>
      </x:c>
      <x:c r="F62" t="n">
        <x:v>0</x:v>
      </x:c>
      <x:c r="G62" t="n">
        <x:v>3</x:v>
      </x:c>
      <x:c r="H62" t="n">
        <x:v>0</x:v>
      </x:c>
      <x:c r="I62" t="n">
        <x:v>0</x:v>
      </x:c>
      <x:c r="J62" t="n">
        <x:v>0</x:v>
      </x:c>
      <x:c r="K62" t="n">
        <x:v>0</x:v>
      </x:c>
      <x:c r="L62" t="n">
        <x:v>0</x:v>
      </x:c>
      <x:c r="M62" t="n">
        <x:v>0</x:v>
      </x:c>
    </x:row>
    <x:row r="63">
      <x:c r="A63" t="str">
        <x:v>PH|Puissant|10</x:v>
      </x:c>
      <x:c r="B63" t="str">
        <x:v>Physique</x:v>
      </x:c>
      <x:c r="C63" t="str">
        <x:v>Puissant</x:v>
      </x:c>
      <x:c r="D63" t="n">
        <x:v>10</x:v>
      </x:c>
      <x:c r="E63" t="n">
        <x:v>7</x:v>
      </x:c>
      <x:c r="F63" t="n">
        <x:v>0</x:v>
      </x:c>
      <x:c r="G63" t="n">
        <x:v>3</x:v>
      </x:c>
      <x:c r="H63" t="n">
        <x:v>0</x:v>
      </x:c>
      <x:c r="I63" t="n">
        <x:v>0</x:v>
      </x:c>
      <x:c r="J63" t="n">
        <x:v>0</x:v>
      </x:c>
      <x:c r="K63" t="n">
        <x:v>0</x:v>
      </x:c>
      <x:c r="L63" t="n">
        <x:v>0</x:v>
      </x:c>
      <x:c r="M63" t="n">
        <x:v>0</x:v>
      </x:c>
    </x:row>
    <x:row r="64">
      <x:c r="A64" t="str">
        <x:v>PH|Puissant|11</x:v>
      </x:c>
      <x:c r="B64" t="str">
        <x:v>Physique</x:v>
      </x:c>
      <x:c r="C64" t="str">
        <x:v>Puissant</x:v>
      </x:c>
      <x:c r="D64" t="n">
        <x:v>11</x:v>
      </x:c>
      <x:c r="E64" t="n">
        <x:v>7</x:v>
      </x:c>
      <x:c r="F64" t="n">
        <x:v>0</x:v>
      </x:c>
      <x:c r="G64" t="n">
        <x:v>4</x:v>
      </x:c>
      <x:c r="H64" t="n">
        <x:v>0</x:v>
      </x:c>
      <x:c r="I64" t="n">
        <x:v>0</x:v>
      </x:c>
      <x:c r="J64" t="n">
        <x:v>0</x:v>
      </x:c>
      <x:c r="K64" t="n">
        <x:v>0</x:v>
      </x:c>
      <x:c r="L64" t="n">
        <x:v>0</x:v>
      </x:c>
      <x:c r="M64" t="n">
        <x:v>0</x:v>
      </x:c>
    </x:row>
    <x:row r="65">
      <x:c r="A65" t="str">
        <x:v>PH|Puissant|12</x:v>
      </x:c>
      <x:c r="B65" t="str">
        <x:v>Physique</x:v>
      </x:c>
      <x:c r="C65" t="str">
        <x:v>Puissant</x:v>
      </x:c>
      <x:c r="D65" t="n">
        <x:v>12</x:v>
      </x:c>
      <x:c r="E65" t="n">
        <x:v>8</x:v>
      </x:c>
      <x:c r="F65" t="n">
        <x:v>0</x:v>
      </x:c>
      <x:c r="G65" t="n">
        <x:v>4</x:v>
      </x:c>
      <x:c r="H65" t="n">
        <x:v>0</x:v>
      </x:c>
      <x:c r="I65" t="n">
        <x:v>0</x:v>
      </x:c>
      <x:c r="J65" t="n">
        <x:v>0</x:v>
      </x:c>
      <x:c r="K65" t="n">
        <x:v>0</x:v>
      </x:c>
      <x:c r="L65" t="n">
        <x:v>0</x:v>
      </x:c>
      <x:c r="M65" t="n">
        <x:v>0</x:v>
      </x:c>
    </x:row>
    <x:row r="66">
      <x:c r="A66" t="str">
        <x:v>PH|Puissant|13</x:v>
      </x:c>
      <x:c r="B66" t="str">
        <x:v>Physique</x:v>
      </x:c>
      <x:c r="C66" t="str">
        <x:v>Puissant</x:v>
      </x:c>
      <x:c r="D66" t="n">
        <x:v>13</x:v>
      </x:c>
      <x:c r="E66" t="n">
        <x:v>8</x:v>
      </x:c>
      <x:c r="F66" t="n">
        <x:v>0</x:v>
      </x:c>
      <x:c r="G66" t="n">
        <x:v>5</x:v>
      </x:c>
      <x:c r="H66" t="n">
        <x:v>0</x:v>
      </x:c>
      <x:c r="I66" t="n">
        <x:v>0</x:v>
      </x:c>
      <x:c r="J66" t="n">
        <x:v>0</x:v>
      </x:c>
      <x:c r="K66" t="n">
        <x:v>0</x:v>
      </x:c>
      <x:c r="L66" t="n">
        <x:v>0</x:v>
      </x:c>
      <x:c r="M66" t="n">
        <x:v>0</x:v>
      </x:c>
    </x:row>
    <x:row r="67">
      <x:c r="A67" t="str">
        <x:v>PH|Puissant|14</x:v>
      </x:c>
      <x:c r="B67" t="str">
        <x:v>Physique</x:v>
      </x:c>
      <x:c r="C67" t="str">
        <x:v>Puissant</x:v>
      </x:c>
      <x:c r="D67" t="n">
        <x:v>14</x:v>
      </x:c>
      <x:c r="E67" t="n">
        <x:v>9</x:v>
      </x:c>
      <x:c r="F67" t="n">
        <x:v>0</x:v>
      </x:c>
      <x:c r="G67" t="n">
        <x:v>5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0</x:v>
      </x:c>
      <x:c r="M67" t="n">
        <x:v>0</x:v>
      </x:c>
    </x:row>
    <x:row r="68">
      <x:c r="A68" t="str">
        <x:v>PH|Puissant|15</x:v>
      </x:c>
      <x:c r="B68" t="str">
        <x:v>Physique</x:v>
      </x:c>
      <x:c r="C68" t="str">
        <x:v>Puissant</x:v>
      </x:c>
      <x:c r="D68" t="n">
        <x:v>15</x:v>
      </x:c>
      <x:c r="E68" t="n">
        <x:v>10</x:v>
      </x:c>
      <x:c r="F68" t="n">
        <x:v>0</x:v>
      </x:c>
      <x:c r="G68" t="n">
        <x:v>5</x:v>
      </x:c>
      <x:c r="H68" t="n">
        <x:v>0</x:v>
      </x:c>
      <x:c r="I68" t="n">
        <x:v>0</x:v>
      </x:c>
      <x:c r="J68" t="n">
        <x:v>0</x:v>
      </x:c>
      <x:c r="K68" t="n">
        <x:v>0</x:v>
      </x:c>
      <x:c r="L68" t="n">
        <x:v>0</x:v>
      </x:c>
      <x:c r="M68" t="n">
        <x:v>0</x:v>
      </x:c>
    </x:row>
    <x:row r="69">
      <x:c r="A69" t="str">
        <x:v>PH|Puissant|16</x:v>
      </x:c>
      <x:c r="B69" t="str">
        <x:v>Physique</x:v>
      </x:c>
      <x:c r="C69" t="str">
        <x:v>Puissant</x:v>
      </x:c>
      <x:c r="D69" t="n">
        <x:v>16</x:v>
      </x:c>
      <x:c r="E69" t="n">
        <x:v>10</x:v>
      </x:c>
      <x:c r="F69" t="n">
        <x:v>0</x:v>
      </x:c>
      <x:c r="G69" t="n">
        <x:v>6</x:v>
      </x:c>
      <x:c r="H69" t="n">
        <x:v>0</x:v>
      </x:c>
      <x:c r="I69" t="n">
        <x:v>0</x:v>
      </x:c>
      <x:c r="J69" t="n">
        <x:v>0</x:v>
      </x:c>
      <x:c r="K69" t="n">
        <x:v>0</x:v>
      </x:c>
      <x:c r="L69" t="n">
        <x:v>0</x:v>
      </x:c>
      <x:c r="M69" t="n">
        <x:v>0</x:v>
      </x:c>
    </x:row>
    <x:row r="70">
      <x:c r="A70" t="str">
        <x:v>PH|Puissant|17</x:v>
      </x:c>
      <x:c r="B70" t="str">
        <x:v>Physique</x:v>
      </x:c>
      <x:c r="C70" t="str">
        <x:v>Puissant</x:v>
      </x:c>
      <x:c r="D70" t="n">
        <x:v>17</x:v>
      </x:c>
      <x:c r="E70" t="n">
        <x:v>11</x:v>
      </x:c>
      <x:c r="F70" t="n">
        <x:v>0</x:v>
      </x:c>
      <x:c r="G70" t="n">
        <x:v>6</x:v>
      </x:c>
      <x:c r="H70" t="n">
        <x:v>0</x:v>
      </x:c>
      <x:c r="I70" t="n">
        <x:v>0</x:v>
      </x:c>
      <x:c r="J70" t="n">
        <x:v>0</x:v>
      </x:c>
      <x:c r="K70" t="n">
        <x:v>0</x:v>
      </x:c>
      <x:c r="L70" t="n">
        <x:v>0</x:v>
      </x:c>
      <x:c r="M70" t="n">
        <x:v>0</x:v>
      </x:c>
    </x:row>
    <x:row r="71">
      <x:c r="A71" t="str">
        <x:v>PH|Puissant|18</x:v>
      </x:c>
      <x:c r="B71" t="str">
        <x:v>Physique</x:v>
      </x:c>
      <x:c r="C71" t="str">
        <x:v>Puissant</x:v>
      </x:c>
      <x:c r="D71" t="n">
        <x:v>18</x:v>
      </x:c>
      <x:c r="E71" t="n">
        <x:v>12</x:v>
      </x:c>
      <x:c r="F71" t="n">
        <x:v>0</x:v>
      </x:c>
      <x:c r="G71" t="n">
        <x:v>6</x:v>
      </x:c>
      <x:c r="H71" t="n">
        <x:v>0</x:v>
      </x:c>
      <x:c r="I71" t="n">
        <x:v>0</x:v>
      </x:c>
      <x:c r="J71" t="n">
        <x:v>0</x:v>
      </x:c>
      <x:c r="K71" t="n">
        <x:v>0</x:v>
      </x:c>
      <x:c r="L71" t="n">
        <x:v>0</x:v>
      </x:c>
      <x:c r="M71" t="n">
        <x:v>0</x:v>
      </x:c>
    </x:row>
    <x:row r="72">
      <x:c r="A72" t="str">
        <x:v>PH|Puissant|19</x:v>
      </x:c>
      <x:c r="B72" t="str">
        <x:v>Physique</x:v>
      </x:c>
      <x:c r="C72" t="str">
        <x:v>Puissant</x:v>
      </x:c>
      <x:c r="D72" t="n">
        <x:v>19</x:v>
      </x:c>
      <x:c r="E72" t="n">
        <x:v>12</x:v>
      </x:c>
      <x:c r="F72" t="n">
        <x:v>0</x:v>
      </x:c>
      <x:c r="G72" t="n">
        <x:v>7</x:v>
      </x:c>
      <x:c r="H72" t="n">
        <x:v>0</x:v>
      </x:c>
      <x:c r="I72" t="n">
        <x:v>0</x:v>
      </x:c>
      <x:c r="J72" t="n">
        <x:v>0</x:v>
      </x:c>
      <x:c r="K72" t="n">
        <x:v>0</x:v>
      </x:c>
      <x:c r="L72" t="n">
        <x:v>0</x:v>
      </x:c>
      <x:c r="M72" t="n">
        <x:v>0</x:v>
      </x:c>
    </x:row>
    <x:row r="73">
      <x:c r="A73" t="str">
        <x:v>PH|Puissant|20</x:v>
      </x:c>
      <x:c r="B73" t="str">
        <x:v>Physique</x:v>
      </x:c>
      <x:c r="C73" t="str">
        <x:v>Puissant</x:v>
      </x:c>
      <x:c r="D73" t="n">
        <x:v>20</x:v>
      </x:c>
      <x:c r="E73" t="n">
        <x:v>13</x:v>
      </x:c>
      <x:c r="F73" t="n">
        <x:v>0</x:v>
      </x:c>
      <x:c r="G73" t="n">
        <x:v>7</x:v>
      </x:c>
      <x:c r="H73" t="n">
        <x:v>0</x:v>
      </x:c>
      <x:c r="I73" t="n">
        <x:v>0</x:v>
      </x:c>
      <x:c r="J73" t="n">
        <x:v>0</x:v>
      </x:c>
      <x:c r="K73" t="n">
        <x:v>0</x:v>
      </x:c>
      <x:c r="L73" t="n">
        <x:v>0</x:v>
      </x:c>
      <x:c r="M73" t="n">
        <x:v>0</x:v>
      </x:c>
    </x:row>
    <x:row r="74">
      <x:c r="A74" t="str">
        <x:v>PH|Puissant|21</x:v>
      </x:c>
      <x:c r="B74" t="str">
        <x:v>Physique</x:v>
      </x:c>
      <x:c r="C74" t="str">
        <x:v>Puissant</x:v>
      </x:c>
      <x:c r="D74" t="n">
        <x:v>21</x:v>
      </x:c>
      <x:c r="E74" t="n">
        <x:v>14</x:v>
      </x:c>
      <x:c r="F74" t="n">
        <x:v>0</x:v>
      </x:c>
      <x:c r="G74" t="n">
        <x:v>7</x:v>
      </x:c>
      <x:c r="H74" t="n">
        <x:v>0</x:v>
      </x:c>
      <x:c r="I74" t="n">
        <x:v>0</x:v>
      </x:c>
      <x:c r="J74" t="n">
        <x:v>0</x:v>
      </x:c>
      <x:c r="K74" t="n">
        <x:v>0</x:v>
      </x:c>
      <x:c r="L74" t="n">
        <x:v>0</x:v>
      </x:c>
      <x:c r="M74" t="n">
        <x:v>0</x:v>
      </x:c>
    </x:row>
    <x:row r="75">
      <x:c r="A75" t="str">
        <x:v>PH|Ravageur|0</x:v>
      </x:c>
      <x:c r="B75" t="str">
        <x:v>Physique</x:v>
      </x:c>
      <x:c r="C75" t="str">
        <x:v>Ravageur</x:v>
      </x:c>
      <x:c r="D75" t="n">
        <x:v>0</x:v>
      </x:c>
      <x:c r="E75" t="n">
        <x:v>0</x:v>
      </x:c>
      <x:c r="F75" t="n">
        <x:v>0</x:v>
      </x:c>
      <x:c r="G75" t="n">
        <x:v>0</x:v>
      </x:c>
      <x:c r="H75" t="n">
        <x:v>0</x:v>
      </x:c>
      <x:c r="I75" t="n">
        <x:v>0</x:v>
      </x:c>
      <x:c r="J75" t="n">
        <x:v>0</x:v>
      </x:c>
      <x:c r="K75" t="n">
        <x:v>0</x:v>
      </x:c>
      <x:c r="L75" t="n">
        <x:v>0</x:v>
      </x:c>
      <x:c r="M75" t="n">
        <x:v>0</x:v>
      </x:c>
    </x:row>
    <x:row r="76">
      <x:c r="A76" t="str">
        <x:v>PH|Ravageur|1</x:v>
      </x:c>
      <x:c r="B76" t="str">
        <x:v>Physique</x:v>
      </x:c>
      <x:c r="C76" t="str">
        <x:v>Ravageur</x:v>
      </x:c>
      <x:c r="D76" t="n">
        <x:v>1</x:v>
      </x:c>
      <x:c r="E76" t="n">
        <x:v>1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n">
        <x:v>0</x:v>
      </x:c>
      <x:c r="K76" t="n">
        <x:v>0</x:v>
      </x:c>
      <x:c r="L76" t="n">
        <x:v>0</x:v>
      </x:c>
      <x:c r="M76" t="n">
        <x:v>0</x:v>
      </x:c>
    </x:row>
    <x:row r="77">
      <x:c r="A77" t="str">
        <x:v>PH|Ravageur|2</x:v>
      </x:c>
      <x:c r="B77" t="str">
        <x:v>Physique</x:v>
      </x:c>
      <x:c r="C77" t="str">
        <x:v>Ravageur</x:v>
      </x:c>
      <x:c r="D77" t="n">
        <x:v>2</x:v>
      </x:c>
      <x:c r="E77" t="n">
        <x:v>1</x:v>
      </x:c>
      <x:c r="F77" t="n">
        <x:v>1</x:v>
      </x:c>
      <x:c r="G77" t="n">
        <x:v>0</x:v>
      </x:c>
      <x:c r="H77" t="n">
        <x:v>0</x:v>
      </x:c>
      <x:c r="I77" t="n">
        <x:v>0</x:v>
      </x:c>
      <x:c r="J77" t="n">
        <x:v>0</x:v>
      </x:c>
      <x:c r="K77" t="n">
        <x:v>0</x:v>
      </x:c>
      <x:c r="L77" t="n">
        <x:v>0</x:v>
      </x:c>
      <x:c r="M77" t="n">
        <x:v>0</x:v>
      </x:c>
    </x:row>
    <x:row r="78">
      <x:c r="A78" t="str">
        <x:v>PH|Ravageur|3</x:v>
      </x:c>
      <x:c r="B78" t="str">
        <x:v>Physique</x:v>
      </x:c>
      <x:c r="C78" t="str">
        <x:v>Ravageur</x:v>
      </x:c>
      <x:c r="D78" t="n">
        <x:v>3</x:v>
      </x:c>
      <x:c r="E78" t="n">
        <x:v>2</x:v>
      </x:c>
      <x:c r="F78" t="n">
        <x:v>1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0</x:v>
      </x:c>
      <x:c r="L78" t="n">
        <x:v>0</x:v>
      </x:c>
      <x:c r="M78" t="n">
        <x:v>0</x:v>
      </x:c>
    </x:row>
    <x:row r="79">
      <x:c r="A79" t="str">
        <x:v>PH|Ravageur|4</x:v>
      </x:c>
      <x:c r="B79" t="str">
        <x:v>Physique</x:v>
      </x:c>
      <x:c r="C79" t="str">
        <x:v>Ravageur</x:v>
      </x:c>
      <x:c r="D79" t="n">
        <x:v>4</x:v>
      </x:c>
      <x:c r="E79" t="n">
        <x:v>3</x:v>
      </x:c>
      <x:c r="F79" t="n">
        <x:v>1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0</x:v>
      </x:c>
      <x:c r="L79" t="n">
        <x:v>0</x:v>
      </x:c>
      <x:c r="M79" t="n">
        <x:v>0</x:v>
      </x:c>
    </x:row>
    <x:row r="80">
      <x:c r="A80" t="str">
        <x:v>PH|Ravageur|5</x:v>
      </x:c>
      <x:c r="B80" t="str">
        <x:v>Physique</x:v>
      </x:c>
      <x:c r="C80" t="str">
        <x:v>Ravageur</x:v>
      </x:c>
      <x:c r="D80" t="n">
        <x:v>5</x:v>
      </x:c>
      <x:c r="E80" t="n">
        <x:v>3</x:v>
      </x:c>
      <x:c r="F80" t="n">
        <x:v>2</x:v>
      </x:c>
      <x:c r="G80" t="n">
        <x:v>0</x:v>
      </x:c>
      <x:c r="H80" t="n">
        <x:v>0</x:v>
      </x:c>
      <x:c r="I80" t="n">
        <x:v>0</x:v>
      </x:c>
      <x:c r="J80" t="n">
        <x:v>0</x:v>
      </x:c>
      <x:c r="K80" t="n">
        <x:v>0</x:v>
      </x:c>
      <x:c r="L80" t="n">
        <x:v>0</x:v>
      </x:c>
      <x:c r="M80" t="n">
        <x:v>0</x:v>
      </x:c>
    </x:row>
    <x:row r="81">
      <x:c r="A81" t="str">
        <x:v>PH|Ravageur|6</x:v>
      </x:c>
      <x:c r="B81" t="str">
        <x:v>Physique</x:v>
      </x:c>
      <x:c r="C81" t="str">
        <x:v>Ravageur</x:v>
      </x:c>
      <x:c r="D81" t="n">
        <x:v>6</x:v>
      </x:c>
      <x:c r="E81" t="n">
        <x:v>4</x:v>
      </x:c>
      <x:c r="F81" t="n">
        <x:v>2</x:v>
      </x:c>
      <x:c r="G81" t="n">
        <x:v>0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0</x:v>
      </x:c>
      <x:c r="M81" t="n">
        <x:v>0</x:v>
      </x:c>
    </x:row>
    <x:row r="82">
      <x:c r="A82" t="str">
        <x:v>PH|Ravageur|7</x:v>
      </x:c>
      <x:c r="B82" t="str">
        <x:v>Physique</x:v>
      </x:c>
      <x:c r="C82" t="str">
        <x:v>Ravageur</x:v>
      </x:c>
      <x:c r="D82" t="n">
        <x:v>7</x:v>
      </x:c>
      <x:c r="E82" t="n">
        <x:v>5</x:v>
      </x:c>
      <x:c r="F82" t="n">
        <x:v>2</x:v>
      </x:c>
      <x:c r="G82" t="n">
        <x:v>0</x:v>
      </x:c>
      <x:c r="H82" t="n">
        <x:v>0</x:v>
      </x:c>
      <x:c r="I82" t="n">
        <x:v>0</x:v>
      </x:c>
      <x:c r="J82" t="n">
        <x:v>0</x:v>
      </x:c>
      <x:c r="K82" t="n">
        <x:v>0</x:v>
      </x:c>
      <x:c r="L82" t="n">
        <x:v>0</x:v>
      </x:c>
      <x:c r="M82" t="n">
        <x:v>0</x:v>
      </x:c>
    </x:row>
    <x:row r="83">
      <x:c r="A83" t="str">
        <x:v>PH|Ravageur|8</x:v>
      </x:c>
      <x:c r="B83" t="str">
        <x:v>Physique</x:v>
      </x:c>
      <x:c r="C83" t="str">
        <x:v>Ravageur</x:v>
      </x:c>
      <x:c r="D83" t="n">
        <x:v>8</x:v>
      </x:c>
      <x:c r="E83" t="n">
        <x:v>5</x:v>
      </x:c>
      <x:c r="F83" t="n">
        <x:v>3</x:v>
      </x:c>
      <x:c r="G83" t="n">
        <x:v>0</x:v>
      </x:c>
      <x:c r="H83" t="n">
        <x:v>0</x:v>
      </x:c>
      <x:c r="I83" t="n">
        <x:v>0</x:v>
      </x:c>
      <x:c r="J83" t="n">
        <x:v>0</x:v>
      </x:c>
      <x:c r="K83" t="n">
        <x:v>0</x:v>
      </x:c>
      <x:c r="L83" t="n">
        <x:v>0</x:v>
      </x:c>
      <x:c r="M83" t="n">
        <x:v>0</x:v>
      </x:c>
    </x:row>
    <x:row r="84">
      <x:c r="A84" t="str">
        <x:v>PH|Ravageur|9</x:v>
      </x:c>
      <x:c r="B84" t="str">
        <x:v>Physique</x:v>
      </x:c>
      <x:c r="C84" t="str">
        <x:v>Ravageur</x:v>
      </x:c>
      <x:c r="D84" t="n">
        <x:v>9</x:v>
      </x:c>
      <x:c r="E84" t="n">
        <x:v>6</x:v>
      </x:c>
      <x:c r="F84" t="n">
        <x:v>3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0</x:v>
      </x:c>
      <x:c r="M84" t="n">
        <x:v>0</x:v>
      </x:c>
    </x:row>
    <x:row r="85">
      <x:c r="A85" t="str">
        <x:v>PH|Ravageur|10</x:v>
      </x:c>
      <x:c r="B85" t="str">
        <x:v>Physique</x:v>
      </x:c>
      <x:c r="C85" t="str">
        <x:v>Ravageur</x:v>
      </x:c>
      <x:c r="D85" t="n">
        <x:v>10</x:v>
      </x:c>
      <x:c r="E85" t="n">
        <x:v>7</x:v>
      </x:c>
      <x:c r="F85" t="n">
        <x:v>3</x:v>
      </x:c>
      <x:c r="G85" t="n">
        <x:v>0</x:v>
      </x:c>
      <x:c r="H85" t="n">
        <x:v>0</x:v>
      </x:c>
      <x:c r="I85" t="n">
        <x:v>0</x:v>
      </x:c>
      <x:c r="J85" t="n">
        <x:v>0</x:v>
      </x:c>
      <x:c r="K85" t="n">
        <x:v>0</x:v>
      </x:c>
      <x:c r="L85" t="n">
        <x:v>0</x:v>
      </x:c>
      <x:c r="M85" t="n">
        <x:v>0</x:v>
      </x:c>
    </x:row>
    <x:row r="86">
      <x:c r="A86" t="str">
        <x:v>PH|Ravageur|11</x:v>
      </x:c>
      <x:c r="B86" t="str">
        <x:v>Physique</x:v>
      </x:c>
      <x:c r="C86" t="str">
        <x:v>Ravageur</x:v>
      </x:c>
      <x:c r="D86" t="n">
        <x:v>11</x:v>
      </x:c>
      <x:c r="E86" t="n">
        <x:v>7</x:v>
      </x:c>
      <x:c r="F86" t="n">
        <x:v>4</x:v>
      </x:c>
      <x:c r="G86" t="n">
        <x:v>0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0</x:v>
      </x:c>
      <x:c r="M86" t="n">
        <x:v>0</x:v>
      </x:c>
    </x:row>
    <x:row r="87">
      <x:c r="A87" t="str">
        <x:v>PH|Ravageur|12</x:v>
      </x:c>
      <x:c r="B87" t="str">
        <x:v>Physique</x:v>
      </x:c>
      <x:c r="C87" t="str">
        <x:v>Ravageur</x:v>
      </x:c>
      <x:c r="D87" t="n">
        <x:v>12</x:v>
      </x:c>
      <x:c r="E87" t="n">
        <x:v>8</x:v>
      </x:c>
      <x:c r="F87" t="n">
        <x:v>4</x:v>
      </x:c>
      <x:c r="G87" t="n">
        <x:v>0</x:v>
      </x:c>
      <x:c r="H87" t="n">
        <x:v>0</x:v>
      </x:c>
      <x:c r="I87" t="n">
        <x:v>0</x:v>
      </x:c>
      <x:c r="J87" t="n">
        <x:v>0</x:v>
      </x:c>
      <x:c r="K87" t="n">
        <x:v>0</x:v>
      </x:c>
      <x:c r="L87" t="n">
        <x:v>0</x:v>
      </x:c>
      <x:c r="M87" t="n">
        <x:v>0</x:v>
      </x:c>
    </x:row>
    <x:row r="88">
      <x:c r="A88" t="str">
        <x:v>PH|Ravageur|13</x:v>
      </x:c>
      <x:c r="B88" t="str">
        <x:v>Physique</x:v>
      </x:c>
      <x:c r="C88" t="str">
        <x:v>Ravageur</x:v>
      </x:c>
      <x:c r="D88" t="n">
        <x:v>13</x:v>
      </x:c>
      <x:c r="E88" t="n">
        <x:v>8</x:v>
      </x:c>
      <x:c r="F88" t="n">
        <x:v>5</x:v>
      </x:c>
      <x:c r="G88" t="n">
        <x:v>0</x:v>
      </x:c>
      <x:c r="H88" t="n">
        <x:v>0</x:v>
      </x:c>
      <x:c r="I88" t="n">
        <x:v>0</x:v>
      </x:c>
      <x:c r="J88" t="n">
        <x:v>0</x:v>
      </x:c>
      <x:c r="K88" t="n">
        <x:v>0</x:v>
      </x:c>
      <x:c r="L88" t="n">
        <x:v>0</x:v>
      </x:c>
      <x:c r="M88" t="n">
        <x:v>0</x:v>
      </x:c>
    </x:row>
    <x:row r="89">
      <x:c r="A89" t="str">
        <x:v>PH|Ravageur|14</x:v>
      </x:c>
      <x:c r="B89" t="str">
        <x:v>Physique</x:v>
      </x:c>
      <x:c r="C89" t="str">
        <x:v>Ravageur</x:v>
      </x:c>
      <x:c r="D89" t="n">
        <x:v>14</x:v>
      </x:c>
      <x:c r="E89" t="n">
        <x:v>9</x:v>
      </x:c>
      <x:c r="F89" t="n">
        <x:v>5</x:v>
      </x:c>
      <x:c r="G89" t="n">
        <x:v>0</x:v>
      </x:c>
      <x:c r="H89" t="n">
        <x:v>0</x:v>
      </x:c>
      <x:c r="I89" t="n">
        <x:v>0</x:v>
      </x:c>
      <x:c r="J89" t="n">
        <x:v>0</x:v>
      </x:c>
      <x:c r="K89" t="n">
        <x:v>0</x:v>
      </x:c>
      <x:c r="L89" t="n">
        <x:v>0</x:v>
      </x:c>
      <x:c r="M89" t="n">
        <x:v>0</x:v>
      </x:c>
    </x:row>
    <x:row r="90">
      <x:c r="A90" t="str">
        <x:v>PH|Ravageur|15</x:v>
      </x:c>
      <x:c r="B90" t="str">
        <x:v>Physique</x:v>
      </x:c>
      <x:c r="C90" t="str">
        <x:v>Ravageur</x:v>
      </x:c>
      <x:c r="D90" t="n">
        <x:v>15</x:v>
      </x:c>
      <x:c r="E90" t="n">
        <x:v>10</x:v>
      </x:c>
      <x:c r="F90" t="n">
        <x:v>5</x:v>
      </x:c>
      <x:c r="G90" t="n">
        <x:v>0</x:v>
      </x:c>
      <x:c r="H90" t="n">
        <x:v>0</x:v>
      </x:c>
      <x:c r="I90" t="n">
        <x:v>0</x:v>
      </x:c>
      <x:c r="J90" t="n">
        <x:v>0</x:v>
      </x:c>
      <x:c r="K90" t="n">
        <x:v>0</x:v>
      </x:c>
      <x:c r="L90" t="n">
        <x:v>0</x:v>
      </x:c>
      <x:c r="M90" t="n">
        <x:v>0</x:v>
      </x:c>
    </x:row>
    <x:row r="91">
      <x:c r="A91" t="str">
        <x:v>PH|Ravageur|16</x:v>
      </x:c>
      <x:c r="B91" t="str">
        <x:v>Physique</x:v>
      </x:c>
      <x:c r="C91" t="str">
        <x:v>Ravageur</x:v>
      </x:c>
      <x:c r="D91" t="n">
        <x:v>16</x:v>
      </x:c>
      <x:c r="E91" t="n">
        <x:v>10</x:v>
      </x:c>
      <x:c r="F91" t="n">
        <x:v>6</x:v>
      </x:c>
      <x:c r="G91" t="n">
        <x:v>0</x:v>
      </x:c>
      <x:c r="H91" t="n">
        <x:v>0</x:v>
      </x:c>
      <x:c r="I91" t="n">
        <x:v>0</x:v>
      </x:c>
      <x:c r="J91" t="n">
        <x:v>0</x:v>
      </x:c>
      <x:c r="K91" t="n">
        <x:v>0</x:v>
      </x:c>
      <x:c r="L91" t="n">
        <x:v>0</x:v>
      </x:c>
      <x:c r="M91" t="n">
        <x:v>0</x:v>
      </x:c>
    </x:row>
    <x:row r="92">
      <x:c r="A92" t="str">
        <x:v>PH|Ravageur|17</x:v>
      </x:c>
      <x:c r="B92" t="str">
        <x:v>Physique</x:v>
      </x:c>
      <x:c r="C92" t="str">
        <x:v>Ravageur</x:v>
      </x:c>
      <x:c r="D92" t="n">
        <x:v>17</x:v>
      </x:c>
      <x:c r="E92" t="n">
        <x:v>11</x:v>
      </x:c>
      <x:c r="F92" t="n">
        <x:v>6</x:v>
      </x:c>
      <x:c r="G92" t="n">
        <x:v>0</x:v>
      </x:c>
      <x:c r="H92" t="n">
        <x:v>0</x:v>
      </x:c>
      <x:c r="I92" t="n">
        <x:v>0</x:v>
      </x:c>
      <x:c r="J92" t="n">
        <x:v>0</x:v>
      </x:c>
      <x:c r="K92" t="n">
        <x:v>0</x:v>
      </x:c>
      <x:c r="L92" t="n">
        <x:v>0</x:v>
      </x:c>
      <x:c r="M92" t="n">
        <x:v>0</x:v>
      </x:c>
    </x:row>
    <x:row r="93">
      <x:c r="A93" t="str">
        <x:v>PH|Ravageur|18</x:v>
      </x:c>
      <x:c r="B93" t="str">
        <x:v>Physique</x:v>
      </x:c>
      <x:c r="C93" t="str">
        <x:v>Ravageur</x:v>
      </x:c>
      <x:c r="D93" t="n">
        <x:v>18</x:v>
      </x:c>
      <x:c r="E93" t="n">
        <x:v>12</x:v>
      </x:c>
      <x:c r="F93" t="n">
        <x:v>6</x:v>
      </x:c>
      <x:c r="G93" t="n">
        <x:v>0</x:v>
      </x:c>
      <x:c r="H93" t="n">
        <x:v>0</x:v>
      </x:c>
      <x:c r="I93" t="n">
        <x:v>0</x:v>
      </x:c>
      <x:c r="J93" t="n">
        <x:v>0</x:v>
      </x:c>
      <x:c r="K93" t="n">
        <x:v>0</x:v>
      </x:c>
      <x:c r="L93" t="n">
        <x:v>0</x:v>
      </x:c>
      <x:c r="M93" t="n">
        <x:v>0</x:v>
      </x:c>
    </x:row>
    <x:row r="94">
      <x:c r="A94" t="str">
        <x:v>PH|Ravageur|19</x:v>
      </x:c>
      <x:c r="B94" t="str">
        <x:v>Physique</x:v>
      </x:c>
      <x:c r="C94" t="str">
        <x:v>Ravageur</x:v>
      </x:c>
      <x:c r="D94" t="n">
        <x:v>19</x:v>
      </x:c>
      <x:c r="E94" t="n">
        <x:v>12</x:v>
      </x:c>
      <x:c r="F94" t="n">
        <x:v>7</x:v>
      </x:c>
      <x:c r="G94" t="n">
        <x:v>0</x:v>
      </x:c>
      <x:c r="H94" t="n">
        <x:v>0</x:v>
      </x:c>
      <x:c r="I94" t="n">
        <x:v>0</x:v>
      </x:c>
      <x:c r="J94" t="n">
        <x:v>0</x:v>
      </x:c>
      <x:c r="K94" t="n">
        <x:v>0</x:v>
      </x:c>
      <x:c r="L94" t="n">
        <x:v>0</x:v>
      </x:c>
      <x:c r="M94" t="n">
        <x:v>0</x:v>
      </x:c>
    </x:row>
    <x:row r="95">
      <x:c r="A95" t="str">
        <x:v>PH|Ravageur|20</x:v>
      </x:c>
      <x:c r="B95" t="str">
        <x:v>Physique</x:v>
      </x:c>
      <x:c r="C95" t="str">
        <x:v>Ravageur</x:v>
      </x:c>
      <x:c r="D95" t="n">
        <x:v>20</x:v>
      </x:c>
      <x:c r="E95" t="n">
        <x:v>13</x:v>
      </x:c>
      <x:c r="F95" t="n">
        <x:v>7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0</x:v>
      </x:c>
      <x:c r="M95" t="n">
        <x:v>0</x:v>
      </x:c>
    </x:row>
    <x:row r="96">
      <x:c r="A96" t="str">
        <x:v>PH|Ravageur|21</x:v>
      </x:c>
      <x:c r="B96" t="str">
        <x:v>Physique</x:v>
      </x:c>
      <x:c r="C96" t="str">
        <x:v>Ravageur</x:v>
      </x:c>
      <x:c r="D96" t="n">
        <x:v>21</x:v>
      </x:c>
      <x:c r="E96" t="n">
        <x:v>14</x:v>
      </x:c>
      <x:c r="F96" t="n">
        <x:v>7</x:v>
      </x:c>
      <x:c r="G96" t="n">
        <x:v>0</x:v>
      </x:c>
      <x:c r="H96" t="n">
        <x:v>0</x:v>
      </x:c>
      <x:c r="I96" t="n">
        <x:v>0</x:v>
      </x:c>
      <x:c r="J96" t="n">
        <x:v>0</x:v>
      </x:c>
      <x:c r="K96" t="n">
        <x:v>0</x:v>
      </x:c>
      <x:c r="L96" t="n">
        <x:v>0</x:v>
      </x:c>
      <x:c r="M96" t="n">
        <x:v>0</x:v>
      </x:c>
    </x:row>
    <x:row r="97">
      <x:c r="A97" t="str">
        <x:v>PH|Lutteur|0</x:v>
      </x:c>
      <x:c r="B97" t="str">
        <x:v>Physique</x:v>
      </x:c>
      <x:c r="C97" t="str">
        <x:v>Lutteur</x:v>
      </x:c>
      <x:c r="D97" t="n">
        <x:v>0</x:v>
      </x:c>
      <x:c r="E97" t="n">
        <x:v>0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0</x:v>
      </x:c>
      <x:c r="M97" t="n">
        <x:v>0</x:v>
      </x:c>
    </x:row>
    <x:row r="98">
      <x:c r="A98" t="str">
        <x:v>PH|Lutteur|1</x:v>
      </x:c>
      <x:c r="B98" t="str">
        <x:v>Physique</x:v>
      </x:c>
      <x:c r="C98" t="str">
        <x:v>Lutteur</x:v>
      </x:c>
      <x:c r="D98" t="n">
        <x:v>1</x:v>
      </x:c>
      <x:c r="E98" t="n">
        <x:v>1</x:v>
      </x:c>
      <x:c r="F98" t="n">
        <x:v>0</x:v>
      </x:c>
      <x:c r="G98" t="n">
        <x:v>0</x:v>
      </x:c>
      <x:c r="H98" t="n">
        <x:v>0</x:v>
      </x:c>
      <x:c r="I98" t="n">
        <x:v>0</x:v>
      </x:c>
      <x:c r="J98" t="n">
        <x:v>0</x:v>
      </x:c>
      <x:c r="K98" t="n">
        <x:v>0</x:v>
      </x:c>
      <x:c r="L98" t="n">
        <x:v>0</x:v>
      </x:c>
      <x:c r="M98" t="n">
        <x:v>0</x:v>
      </x:c>
    </x:row>
    <x:row r="99">
      <x:c r="A99" t="str">
        <x:v>PH|Lutteur|2</x:v>
      </x:c>
      <x:c r="B99" t="str">
        <x:v>Physique</x:v>
      </x:c>
      <x:c r="C99" t="str">
        <x:v>Lutteur</x:v>
      </x:c>
      <x:c r="D99" t="n">
        <x:v>2</x:v>
      </x:c>
      <x:c r="E99" t="n">
        <x:v>1</x:v>
      </x:c>
      <x:c r="F99" t="n">
        <x:v>0</x:v>
      </x:c>
      <x:c r="G99" t="n">
        <x:v>1</x:v>
      </x:c>
      <x:c r="H99" t="n">
        <x:v>0</x:v>
      </x:c>
      <x:c r="I99" t="n">
        <x:v>0</x:v>
      </x:c>
      <x:c r="J99" t="n">
        <x:v>0</x:v>
      </x:c>
      <x:c r="K99" t="n">
        <x:v>0</x:v>
      </x:c>
      <x:c r="L99" t="n">
        <x:v>0</x:v>
      </x:c>
      <x:c r="M99" t="n">
        <x:v>0</x:v>
      </x:c>
    </x:row>
    <x:row r="100">
      <x:c r="A100" t="str">
        <x:v>PH|Lutteur|3</x:v>
      </x:c>
      <x:c r="B100" t="str">
        <x:v>Physique</x:v>
      </x:c>
      <x:c r="C100" t="str">
        <x:v>Lutteur</x:v>
      </x:c>
      <x:c r="D100" t="n">
        <x:v>3</x:v>
      </x:c>
      <x:c r="E100" t="n">
        <x:v>2</x:v>
      </x:c>
      <x:c r="F100" t="n">
        <x:v>0</x:v>
      </x:c>
      <x:c r="G100" t="n">
        <x:v>1</x:v>
      </x:c>
      <x:c r="H100" t="n">
        <x:v>0</x:v>
      </x:c>
      <x:c r="I100" t="n">
        <x:v>0</x:v>
      </x:c>
      <x:c r="J100" t="n">
        <x:v>0</x:v>
      </x:c>
      <x:c r="K100" t="n">
        <x:v>0</x:v>
      </x:c>
      <x:c r="L100" t="n">
        <x:v>0</x:v>
      </x:c>
      <x:c r="M100" t="n">
        <x:v>0</x:v>
      </x:c>
    </x:row>
    <x:row r="101">
      <x:c r="A101" t="str">
        <x:v>PH|Lutteur|4</x:v>
      </x:c>
      <x:c r="B101" t="str">
        <x:v>Physique</x:v>
      </x:c>
      <x:c r="C101" t="str">
        <x:v>Lutteur</x:v>
      </x:c>
      <x:c r="D101" t="n">
        <x:v>4</x:v>
      </x:c>
      <x:c r="E101" t="n">
        <x:v>2</x:v>
      </x:c>
      <x:c r="F101" t="n">
        <x:v>1</x:v>
      </x:c>
      <x:c r="G101" t="n">
        <x:v>1</x:v>
      </x:c>
      <x:c r="H101" t="n">
        <x:v>0</x:v>
      </x:c>
      <x:c r="I101" t="n">
        <x:v>0</x:v>
      </x:c>
      <x:c r="J101" t="n">
        <x:v>0</x:v>
      </x:c>
      <x:c r="K101" t="n">
        <x:v>0</x:v>
      </x:c>
      <x:c r="L101" t="n">
        <x:v>0</x:v>
      </x:c>
      <x:c r="M101" t="n">
        <x:v>0</x:v>
      </x:c>
    </x:row>
    <x:row r="102">
      <x:c r="A102" t="str">
        <x:v>PH|Lutteur|5</x:v>
      </x:c>
      <x:c r="B102" t="str">
        <x:v>Physique</x:v>
      </x:c>
      <x:c r="C102" t="str">
        <x:v>Lutteur</x:v>
      </x:c>
      <x:c r="D102" t="n">
        <x:v>5</x:v>
      </x:c>
      <x:c r="E102" t="n">
        <x:v>3</x:v>
      </x:c>
      <x:c r="F102" t="n">
        <x:v>1</x:v>
      </x:c>
      <x:c r="G102" t="n">
        <x:v>1</x:v>
      </x:c>
      <x:c r="H102" t="n">
        <x:v>0</x:v>
      </x:c>
      <x:c r="I102" t="n">
        <x:v>0</x:v>
      </x:c>
      <x:c r="J102" t="n">
        <x:v>0</x:v>
      </x:c>
      <x:c r="K102" t="n">
        <x:v>0</x:v>
      </x:c>
      <x:c r="L102" t="n">
        <x:v>0</x:v>
      </x:c>
      <x:c r="M102" t="n">
        <x:v>0</x:v>
      </x:c>
    </x:row>
    <x:row r="103">
      <x:c r="A103" t="str">
        <x:v>PH|Lutteur|6</x:v>
      </x:c>
      <x:c r="B103" t="str">
        <x:v>Physique</x:v>
      </x:c>
      <x:c r="C103" t="str">
        <x:v>Lutteur</x:v>
      </x:c>
      <x:c r="D103" t="n">
        <x:v>6</x:v>
      </x:c>
      <x:c r="E103" t="n">
        <x:v>3</x:v>
      </x:c>
      <x:c r="F103" t="n">
        <x:v>1</x:v>
      </x:c>
      <x:c r="G103" t="n">
        <x:v>2</x:v>
      </x:c>
      <x:c r="H103" t="n">
        <x:v>0</x:v>
      </x:c>
      <x:c r="I103" t="n">
        <x:v>0</x:v>
      </x:c>
      <x:c r="J103" t="n">
        <x:v>0</x:v>
      </x:c>
      <x:c r="K103" t="n">
        <x:v>0</x:v>
      </x:c>
      <x:c r="L103" t="n">
        <x:v>0</x:v>
      </x:c>
      <x:c r="M103" t="n">
        <x:v>0</x:v>
      </x:c>
    </x:row>
    <x:row r="104">
      <x:c r="A104" t="str">
        <x:v>PH|Lutteur|7</x:v>
      </x:c>
      <x:c r="B104" t="str">
        <x:v>Physique</x:v>
      </x:c>
      <x:c r="C104" t="str">
        <x:v>Lutteur</x:v>
      </x:c>
      <x:c r="D104" t="n">
        <x:v>7</x:v>
      </x:c>
      <x:c r="E104" t="n">
        <x:v>4</x:v>
      </x:c>
      <x:c r="F104" t="n">
        <x:v>1</x:v>
      </x:c>
      <x:c r="G104" t="n">
        <x:v>2</x:v>
      </x:c>
      <x:c r="H104" t="n">
        <x:v>0</x:v>
      </x:c>
      <x:c r="I104" t="n">
        <x:v>0</x:v>
      </x:c>
      <x:c r="J104" t="n">
        <x:v>0</x:v>
      </x:c>
      <x:c r="K104" t="n">
        <x:v>0</x:v>
      </x:c>
      <x:c r="L104" t="n">
        <x:v>0</x:v>
      </x:c>
      <x:c r="M104" t="n">
        <x:v>0</x:v>
      </x:c>
    </x:row>
    <x:row r="105">
      <x:c r="A105" t="str">
        <x:v>PH|Lutteur|8</x:v>
      </x:c>
      <x:c r="B105" t="str">
        <x:v>Physique</x:v>
      </x:c>
      <x:c r="C105" t="str">
        <x:v>Lutteur</x:v>
      </x:c>
      <x:c r="D105" t="n">
        <x:v>8</x:v>
      </x:c>
      <x:c r="E105" t="n">
        <x:v>5</x:v>
      </x:c>
      <x:c r="F105" t="n">
        <x:v>1</x:v>
      </x:c>
      <x:c r="G105" t="n">
        <x:v>2</x:v>
      </x:c>
      <x:c r="H105" t="n">
        <x:v>0</x:v>
      </x:c>
      <x:c r="I105" t="n">
        <x:v>0</x:v>
      </x:c>
      <x:c r="J105" t="n">
        <x:v>0</x:v>
      </x:c>
      <x:c r="K105" t="n">
        <x:v>0</x:v>
      </x:c>
      <x:c r="L105" t="n">
        <x:v>0</x:v>
      </x:c>
      <x:c r="M105" t="n">
        <x:v>0</x:v>
      </x:c>
    </x:row>
    <x:row r="106">
      <x:c r="A106" t="str">
        <x:v>PH|Lutteur|9</x:v>
      </x:c>
      <x:c r="B106" t="str">
        <x:v>Physique</x:v>
      </x:c>
      <x:c r="C106" t="str">
        <x:v>Lutteur</x:v>
      </x:c>
      <x:c r="D106" t="n">
        <x:v>9</x:v>
      </x:c>
      <x:c r="E106" t="n">
        <x:v>5</x:v>
      </x:c>
      <x:c r="F106" t="n">
        <x:v>1</x:v>
      </x:c>
      <x:c r="G106" t="n">
        <x:v>3</x:v>
      </x:c>
      <x:c r="H106" t="n">
        <x:v>0</x:v>
      </x:c>
      <x:c r="I106" t="n">
        <x:v>0</x:v>
      </x:c>
      <x:c r="J106" t="n">
        <x:v>0</x:v>
      </x:c>
      <x:c r="K106" t="n">
        <x:v>0</x:v>
      </x:c>
      <x:c r="L106" t="n">
        <x:v>0</x:v>
      </x:c>
      <x:c r="M106" t="n">
        <x:v>0</x:v>
      </x:c>
    </x:row>
    <x:row r="107">
      <x:c r="A107" t="str">
        <x:v>PH|Lutteur|10</x:v>
      </x:c>
      <x:c r="B107" t="str">
        <x:v>Physique</x:v>
      </x:c>
      <x:c r="C107" t="str">
        <x:v>Lutteur</x:v>
      </x:c>
      <x:c r="D107" t="n">
        <x:v>10</x:v>
      </x:c>
      <x:c r="E107" t="n">
        <x:v>6</x:v>
      </x:c>
      <x:c r="F107" t="n">
        <x:v>1</x:v>
      </x:c>
      <x:c r="G107" t="n">
        <x:v>3</x:v>
      </x:c>
      <x:c r="H107" t="n">
        <x:v>0</x:v>
      </x:c>
      <x:c r="I107" t="n">
        <x:v>0</x:v>
      </x:c>
      <x:c r="J107" t="n">
        <x:v>0</x:v>
      </x:c>
      <x:c r="K107" t="n">
        <x:v>0</x:v>
      </x:c>
      <x:c r="L107" t="n">
        <x:v>0</x:v>
      </x:c>
      <x:c r="M107" t="n">
        <x:v>0</x:v>
      </x:c>
    </x:row>
    <x:row r="108">
      <x:c r="A108" t="str">
        <x:v>PH|Lutteur|11</x:v>
      </x:c>
      <x:c r="B108" t="str">
        <x:v>Physique</x:v>
      </x:c>
      <x:c r="C108" t="str">
        <x:v>Lutteur</x:v>
      </x:c>
      <x:c r="D108" t="n">
        <x:v>11</x:v>
      </x:c>
      <x:c r="E108" t="n">
        <x:v>6</x:v>
      </x:c>
      <x:c r="F108" t="n">
        <x:v>2</x:v>
      </x:c>
      <x:c r="G108" t="n">
        <x:v>3</x:v>
      </x:c>
      <x:c r="H108" t="n">
        <x:v>0</x:v>
      </x:c>
      <x:c r="I108" t="n">
        <x:v>0</x:v>
      </x:c>
      <x:c r="J108" t="n">
        <x:v>0</x:v>
      </x:c>
      <x:c r="K108" t="n">
        <x:v>0</x:v>
      </x:c>
      <x:c r="L108" t="n">
        <x:v>0</x:v>
      </x:c>
      <x:c r="M108" t="n">
        <x:v>0</x:v>
      </x:c>
    </x:row>
    <x:row r="109">
      <x:c r="A109" t="str">
        <x:v>PH|Lutteur|12</x:v>
      </x:c>
      <x:c r="B109" t="str">
        <x:v>Physique</x:v>
      </x:c>
      <x:c r="C109" t="str">
        <x:v>Lutteur</x:v>
      </x:c>
      <x:c r="D109" t="n">
        <x:v>12</x:v>
      </x:c>
      <x:c r="E109" t="n">
        <x:v>7</x:v>
      </x:c>
      <x:c r="F109" t="n">
        <x:v>2</x:v>
      </x:c>
      <x:c r="G109" t="n">
        <x:v>3</x:v>
      </x:c>
      <x:c r="H109" t="n">
        <x:v>0</x:v>
      </x:c>
      <x:c r="I109" t="n">
        <x:v>0</x:v>
      </x:c>
      <x:c r="J109" t="n">
        <x:v>0</x:v>
      </x:c>
      <x:c r="K109" t="n">
        <x:v>0</x:v>
      </x:c>
      <x:c r="L109" t="n">
        <x:v>0</x:v>
      </x:c>
      <x:c r="M109" t="n">
        <x:v>0</x:v>
      </x:c>
    </x:row>
    <x:row r="110">
      <x:c r="A110" t="str">
        <x:v>PH|Lutteur|13</x:v>
      </x:c>
      <x:c r="B110" t="str">
        <x:v>Physique</x:v>
      </x:c>
      <x:c r="C110" t="str">
        <x:v>Lutteur</x:v>
      </x:c>
      <x:c r="D110" t="n">
        <x:v>13</x:v>
      </x:c>
      <x:c r="E110" t="n">
        <x:v>7</x:v>
      </x:c>
      <x:c r="F110" t="n">
        <x:v>2</x:v>
      </x:c>
      <x:c r="G110" t="n">
        <x:v>4</x:v>
      </x:c>
      <x:c r="H110" t="n">
        <x:v>0</x:v>
      </x:c>
      <x:c r="I110" t="n">
        <x:v>0</x:v>
      </x:c>
      <x:c r="J110" t="n">
        <x:v>0</x:v>
      </x:c>
      <x:c r="K110" t="n">
        <x:v>0</x:v>
      </x:c>
      <x:c r="L110" t="n">
        <x:v>0</x:v>
      </x:c>
      <x:c r="M110" t="n">
        <x:v>0</x:v>
      </x:c>
    </x:row>
    <x:row r="111">
      <x:c r="A111" t="str">
        <x:v>PH|Lutteur|14</x:v>
      </x:c>
      <x:c r="B111" t="str">
        <x:v>Physique</x:v>
      </x:c>
      <x:c r="C111" t="str">
        <x:v>Lutteur</x:v>
      </x:c>
      <x:c r="D111" t="n">
        <x:v>14</x:v>
      </x:c>
      <x:c r="E111" t="n">
        <x:v>8</x:v>
      </x:c>
      <x:c r="F111" t="n">
        <x:v>2</x:v>
      </x:c>
      <x:c r="G111" t="n">
        <x:v>4</x:v>
      </x:c>
      <x:c r="H111" t="n">
        <x:v>0</x:v>
      </x:c>
      <x:c r="I111" t="n">
        <x:v>0</x:v>
      </x:c>
      <x:c r="J111" t="n">
        <x:v>0</x:v>
      </x:c>
      <x:c r="K111" t="n">
        <x:v>0</x:v>
      </x:c>
      <x:c r="L111" t="n">
        <x:v>0</x:v>
      </x:c>
      <x:c r="M111" t="n">
        <x:v>0</x:v>
      </x:c>
    </x:row>
    <x:row r="112">
      <x:c r="A112" t="str">
        <x:v>PH|Lutteur|15</x:v>
      </x:c>
      <x:c r="B112" t="str">
        <x:v>Physique</x:v>
      </x:c>
      <x:c r="C112" t="str">
        <x:v>Lutteur</x:v>
      </x:c>
      <x:c r="D112" t="n">
        <x:v>15</x:v>
      </x:c>
      <x:c r="E112" t="n">
        <x:v>8</x:v>
      </x:c>
      <x:c r="F112" t="n">
        <x:v>2</x:v>
      </x:c>
      <x:c r="G112" t="n">
        <x:v>5</x:v>
      </x:c>
      <x:c r="H112" t="n">
        <x:v>0</x:v>
      </x:c>
      <x:c r="I112" t="n">
        <x:v>0</x:v>
      </x:c>
      <x:c r="J112" t="n">
        <x:v>0</x:v>
      </x:c>
      <x:c r="K112" t="n">
        <x:v>0</x:v>
      </x:c>
      <x:c r="L112" t="n">
        <x:v>0</x:v>
      </x:c>
      <x:c r="M112" t="n">
        <x:v>0</x:v>
      </x:c>
    </x:row>
    <x:row r="113">
      <x:c r="A113" t="str">
        <x:v>PH|Lutteur|16</x:v>
      </x:c>
      <x:c r="B113" t="str">
        <x:v>Physique</x:v>
      </x:c>
      <x:c r="C113" t="str">
        <x:v>Lutteur</x:v>
      </x:c>
      <x:c r="D113" t="n">
        <x:v>16</x:v>
      </x:c>
      <x:c r="E113" t="n">
        <x:v>9</x:v>
      </x:c>
      <x:c r="F113" t="n">
        <x:v>2</x:v>
      </x:c>
      <x:c r="G113" t="n">
        <x:v>5</x:v>
      </x:c>
      <x:c r="H113" t="n">
        <x:v>0</x:v>
      </x:c>
      <x:c r="I113" t="n">
        <x:v>0</x:v>
      </x:c>
      <x:c r="J113" t="n">
        <x:v>0</x:v>
      </x:c>
      <x:c r="K113" t="n">
        <x:v>0</x:v>
      </x:c>
      <x:c r="L113" t="n">
        <x:v>0</x:v>
      </x:c>
      <x:c r="M113" t="n">
        <x:v>0</x:v>
      </x:c>
    </x:row>
    <x:row r="114">
      <x:c r="A114" t="str">
        <x:v>PH|Lutteur|17</x:v>
      </x:c>
      <x:c r="B114" t="str">
        <x:v>Physique</x:v>
      </x:c>
      <x:c r="C114" t="str">
        <x:v>Lutteur</x:v>
      </x:c>
      <x:c r="D114" t="n">
        <x:v>17</x:v>
      </x:c>
      <x:c r="E114" t="n">
        <x:v>9</x:v>
      </x:c>
      <x:c r="F114" t="n">
        <x:v>3</x:v>
      </x:c>
      <x:c r="G114" t="n">
        <x:v>5</x:v>
      </x:c>
      <x:c r="H114" t="n">
        <x:v>0</x:v>
      </x:c>
      <x:c r="I114" t="n">
        <x:v>0</x:v>
      </x:c>
      <x:c r="J114" t="n">
        <x:v>0</x:v>
      </x:c>
      <x:c r="K114" t="n">
        <x:v>0</x:v>
      </x:c>
      <x:c r="L114" t="n">
        <x:v>0</x:v>
      </x:c>
      <x:c r="M114" t="n">
        <x:v>0</x:v>
      </x:c>
    </x:row>
    <x:row r="115">
      <x:c r="A115" t="str">
        <x:v>PH|Lutteur|18</x:v>
      </x:c>
      <x:c r="B115" t="str">
        <x:v>Physique</x:v>
      </x:c>
      <x:c r="C115" t="str">
        <x:v>Lutteur</x:v>
      </x:c>
      <x:c r="D115" t="n">
        <x:v>18</x:v>
      </x:c>
      <x:c r="E115" t="n">
        <x:v>10</x:v>
      </x:c>
      <x:c r="F115" t="n">
        <x:v>3</x:v>
      </x:c>
      <x:c r="G115" t="n">
        <x:v>5</x:v>
      </x:c>
      <x:c r="H115" t="n">
        <x:v>0</x:v>
      </x:c>
      <x:c r="I115" t="n">
        <x:v>0</x:v>
      </x:c>
      <x:c r="J115" t="n">
        <x:v>0</x:v>
      </x:c>
      <x:c r="K115" t="n">
        <x:v>0</x:v>
      </x:c>
      <x:c r="L115" t="n">
        <x:v>0</x:v>
      </x:c>
      <x:c r="M115" t="n">
        <x:v>0</x:v>
      </x:c>
    </x:row>
    <x:row r="116">
      <x:c r="A116" t="str">
        <x:v>PH|Lutteur|19</x:v>
      </x:c>
      <x:c r="B116" t="str">
        <x:v>Physique</x:v>
      </x:c>
      <x:c r="C116" t="str">
        <x:v>Lutteur</x:v>
      </x:c>
      <x:c r="D116" t="n">
        <x:v>19</x:v>
      </x:c>
      <x:c r="E116" t="n">
        <x:v>10</x:v>
      </x:c>
      <x:c r="F116" t="n">
        <x:v>3</x:v>
      </x:c>
      <x:c r="G116" t="n">
        <x:v>6</x:v>
      </x:c>
      <x:c r="H116" t="n">
        <x:v>0</x:v>
      </x:c>
      <x:c r="I116" t="n">
        <x:v>0</x:v>
      </x:c>
      <x:c r="J116" t="n">
        <x:v>0</x:v>
      </x:c>
      <x:c r="K116" t="n">
        <x:v>0</x:v>
      </x:c>
      <x:c r="L116" t="n">
        <x:v>0</x:v>
      </x:c>
      <x:c r="M116" t="n">
        <x:v>0</x:v>
      </x:c>
    </x:row>
    <x:row r="117">
      <x:c r="A117" t="str">
        <x:v>PH|Lutteur|20</x:v>
      </x:c>
      <x:c r="B117" t="str">
        <x:v>Physique</x:v>
      </x:c>
      <x:c r="C117" t="str">
        <x:v>Lutteur</x:v>
      </x:c>
      <x:c r="D117" t="n">
        <x:v>20</x:v>
      </x:c>
      <x:c r="E117" t="n">
        <x:v>11</x:v>
      </x:c>
      <x:c r="F117" t="n">
        <x:v>3</x:v>
      </x:c>
      <x:c r="G117" t="n">
        <x:v>6</x:v>
      </x:c>
      <x:c r="H117" t="n">
        <x:v>0</x:v>
      </x:c>
      <x:c r="I117" t="n">
        <x:v>0</x:v>
      </x:c>
      <x:c r="J117" t="n">
        <x:v>0</x:v>
      </x:c>
      <x:c r="K117" t="n">
        <x:v>0</x:v>
      </x:c>
      <x:c r="L117" t="n">
        <x:v>0</x:v>
      </x:c>
      <x:c r="M117" t="n">
        <x:v>0</x:v>
      </x:c>
    </x:row>
    <x:row r="118">
      <x:c r="A118" t="str">
        <x:v>PH|Lutteur|21</x:v>
      </x:c>
      <x:c r="B118" t="str">
        <x:v>Physique</x:v>
      </x:c>
      <x:c r="C118" t="str">
        <x:v>Lutteur</x:v>
      </x:c>
      <x:c r="D118" t="n">
        <x:v>21</x:v>
      </x:c>
      <x:c r="E118" t="n">
        <x:v>12</x:v>
      </x:c>
      <x:c r="F118" t="n">
        <x:v>3</x:v>
      </x:c>
      <x:c r="G118" t="n">
        <x:v>6</x:v>
      </x:c>
      <x:c r="H118" t="n">
        <x:v>0</x:v>
      </x:c>
      <x:c r="I118" t="n">
        <x:v>0</x:v>
      </x:c>
      <x:c r="J118" t="n">
        <x:v>0</x:v>
      </x:c>
      <x:c r="K118" t="n">
        <x:v>0</x:v>
      </x:c>
      <x:c r="L118" t="n">
        <x:v>0</x:v>
      </x:c>
      <x:c r="M118" t="n">
        <x:v>0</x:v>
      </x:c>
    </x:row>
    <x:row r="119">
      <x:c r="A119" t="str">
        <x:v>PH|Agile|0</x:v>
      </x:c>
      <x:c r="B119" t="str">
        <x:v>Physique</x:v>
      </x:c>
      <x:c r="C119" t="str">
        <x:v>Agile</x:v>
      </x:c>
      <x:c r="D119" t="n">
        <x:v>0</x:v>
      </x:c>
      <x:c r="E119" t="n">
        <x:v>0</x:v>
      </x:c>
      <x:c r="F119" t="n">
        <x:v>0</x:v>
      </x:c>
      <x:c r="G119" t="n">
        <x:v>0</x:v>
      </x:c>
      <x:c r="H119" t="n">
        <x:v>0</x:v>
      </x:c>
      <x:c r="I119" t="n">
        <x:v>0</x:v>
      </x:c>
      <x:c r="J119" t="n">
        <x:v>0</x:v>
      </x:c>
      <x:c r="K119" t="n">
        <x:v>0</x:v>
      </x:c>
      <x:c r="L119" t="n">
        <x:v>0</x:v>
      </x:c>
      <x:c r="M119" t="n">
        <x:v>0</x:v>
      </x:c>
    </x:row>
    <x:row r="120">
      <x:c r="A120" t="str">
        <x:v>PH|Agile|1</x:v>
      </x:c>
      <x:c r="B120" t="str">
        <x:v>Physique</x:v>
      </x:c>
      <x:c r="C120" t="str">
        <x:v>Agile</x:v>
      </x:c>
      <x:c r="D120" t="n">
        <x:v>1</x:v>
      </x:c>
      <x:c r="E120" t="n">
        <x:v>0</x:v>
      </x:c>
      <x:c r="F120" t="n">
        <x:v>1</x:v>
      </x:c>
      <x:c r="G120" t="n">
        <x:v>0</x:v>
      </x:c>
      <x:c r="H120" t="n">
        <x:v>0</x:v>
      </x:c>
      <x:c r="I120" t="n">
        <x:v>0</x:v>
      </x:c>
      <x:c r="J120" t="n">
        <x:v>0</x:v>
      </x:c>
      <x:c r="K120" t="n">
        <x:v>0</x:v>
      </x:c>
      <x:c r="L120" t="n">
        <x:v>0</x:v>
      </x:c>
      <x:c r="M120" t="n">
        <x:v>0</x:v>
      </x:c>
    </x:row>
    <x:row r="121">
      <x:c r="A121" t="str">
        <x:v>PH|Agile|2</x:v>
      </x:c>
      <x:c r="B121" t="str">
        <x:v>Physique</x:v>
      </x:c>
      <x:c r="C121" t="str">
        <x:v>Agile</x:v>
      </x:c>
      <x:c r="D121" t="n">
        <x:v>2</x:v>
      </x:c>
      <x:c r="E121" t="n">
        <x:v>0</x:v>
      </x:c>
      <x:c r="F121" t="n">
        <x:v>1</x:v>
      </x:c>
      <x:c r="G121" t="n">
        <x:v>1</x:v>
      </x:c>
      <x:c r="H121" t="n">
        <x:v>0</x:v>
      </x:c>
      <x:c r="I121" t="n">
        <x:v>0</x:v>
      </x:c>
      <x:c r="J121" t="n">
        <x:v>0</x:v>
      </x:c>
      <x:c r="K121" t="n">
        <x:v>0</x:v>
      </x:c>
      <x:c r="L121" t="n">
        <x:v>0</x:v>
      </x:c>
      <x:c r="M121" t="n">
        <x:v>0</x:v>
      </x:c>
    </x:row>
    <x:row r="122">
      <x:c r="A122" t="str">
        <x:v>PH|Agile|3</x:v>
      </x:c>
      <x:c r="B122" t="str">
        <x:v>Physique</x:v>
      </x:c>
      <x:c r="C122" t="str">
        <x:v>Agile</x:v>
      </x:c>
      <x:c r="D122" t="n">
        <x:v>3</x:v>
      </x:c>
      <x:c r="E122" t="n">
        <x:v>0</x:v>
      </x:c>
      <x:c r="F122" t="n">
        <x:v>2</x:v>
      </x:c>
      <x:c r="G122" t="n">
        <x:v>1</x:v>
      </x:c>
      <x:c r="H122" t="n">
        <x:v>0</x:v>
      </x:c>
      <x:c r="I122" t="n">
        <x:v>0</x:v>
      </x:c>
      <x:c r="J122" t="n">
        <x:v>0</x:v>
      </x:c>
      <x:c r="K122" t="n">
        <x:v>0</x:v>
      </x:c>
      <x:c r="L122" t="n">
        <x:v>0</x:v>
      </x:c>
      <x:c r="M122" t="n">
        <x:v>0</x:v>
      </x:c>
    </x:row>
    <x:row r="123">
      <x:c r="A123" t="str">
        <x:v>PH|Agile|4</x:v>
      </x:c>
      <x:c r="B123" t="str">
        <x:v>Physique</x:v>
      </x:c>
      <x:c r="C123" t="str">
        <x:v>Agile</x:v>
      </x:c>
      <x:c r="D123" t="n">
        <x:v>4</x:v>
      </x:c>
      <x:c r="E123" t="n">
        <x:v>0</x:v>
      </x:c>
      <x:c r="F123" t="n">
        <x:v>3</x:v>
      </x:c>
      <x:c r="G123" t="n">
        <x:v>1</x:v>
      </x:c>
      <x:c r="H123" t="n">
        <x:v>0</x:v>
      </x:c>
      <x:c r="I123" t="n">
        <x:v>0</x:v>
      </x:c>
      <x:c r="J123" t="n">
        <x:v>0</x:v>
      </x:c>
      <x:c r="K123" t="n">
        <x:v>0</x:v>
      </x:c>
      <x:c r="L123" t="n">
        <x:v>0</x:v>
      </x:c>
      <x:c r="M123" t="n">
        <x:v>0</x:v>
      </x:c>
    </x:row>
    <x:row r="124">
      <x:c r="A124" t="str">
        <x:v>PH|Agile|5</x:v>
      </x:c>
      <x:c r="B124" t="str">
        <x:v>Physique</x:v>
      </x:c>
      <x:c r="C124" t="str">
        <x:v>Agile</x:v>
      </x:c>
      <x:c r="D124" t="n">
        <x:v>5</x:v>
      </x:c>
      <x:c r="E124" t="n">
        <x:v>0</x:v>
      </x:c>
      <x:c r="F124" t="n">
        <x:v>4</x:v>
      </x:c>
      <x:c r="G124" t="n">
        <x:v>1</x:v>
      </x:c>
      <x:c r="H124" t="n">
        <x:v>0</x:v>
      </x:c>
      <x:c r="I124" t="n">
        <x:v>0</x:v>
      </x:c>
      <x:c r="J124" t="n">
        <x:v>0</x:v>
      </x:c>
      <x:c r="K124" t="n">
        <x:v>0</x:v>
      </x:c>
      <x:c r="L124" t="n">
        <x:v>0</x:v>
      </x:c>
      <x:c r="M124" t="n">
        <x:v>0</x:v>
      </x:c>
    </x:row>
    <x:row r="125">
      <x:c r="A125" t="str">
        <x:v>PH|Agile|6</x:v>
      </x:c>
      <x:c r="B125" t="str">
        <x:v>Physique</x:v>
      </x:c>
      <x:c r="C125" t="str">
        <x:v>Agile</x:v>
      </x:c>
      <x:c r="D125" t="n">
        <x:v>6</x:v>
      </x:c>
      <x:c r="E125" t="n">
        <x:v>0</x:v>
      </x:c>
      <x:c r="F125" t="n">
        <x:v>4</x:v>
      </x:c>
      <x:c r="G125" t="n">
        <x:v>2</x:v>
      </x:c>
      <x:c r="H125" t="n">
        <x:v>0</x:v>
      </x:c>
      <x:c r="I125" t="n">
        <x:v>0</x:v>
      </x:c>
      <x:c r="J125" t="n">
        <x:v>0</x:v>
      </x:c>
      <x:c r="K125" t="n">
        <x:v>0</x:v>
      </x:c>
      <x:c r="L125" t="n">
        <x:v>0</x:v>
      </x:c>
      <x:c r="M125" t="n">
        <x:v>0</x:v>
      </x:c>
    </x:row>
    <x:row r="126">
      <x:c r="A126" t="str">
        <x:v>PH|Agile|7</x:v>
      </x:c>
      <x:c r="B126" t="str">
        <x:v>Physique</x:v>
      </x:c>
      <x:c r="C126" t="str">
        <x:v>Agile</x:v>
      </x:c>
      <x:c r="D126" t="n">
        <x:v>7</x:v>
      </x:c>
      <x:c r="E126" t="n">
        <x:v>0</x:v>
      </x:c>
      <x:c r="F126" t="n">
        <x:v>5</x:v>
      </x:c>
      <x:c r="G126" t="n">
        <x:v>2</x:v>
      </x:c>
      <x:c r="H126" t="n">
        <x:v>0</x:v>
      </x:c>
      <x:c r="I126" t="n">
        <x:v>0</x:v>
      </x:c>
      <x:c r="J126" t="n">
        <x:v>0</x:v>
      </x:c>
      <x:c r="K126" t="n">
        <x:v>0</x:v>
      </x:c>
      <x:c r="L126" t="n">
        <x:v>0</x:v>
      </x:c>
      <x:c r="M126" t="n">
        <x:v>0</x:v>
      </x:c>
    </x:row>
    <x:row r="127">
      <x:c r="A127" t="str">
        <x:v>PH|Agile|8</x:v>
      </x:c>
      <x:c r="B127" t="str">
        <x:v>Physique</x:v>
      </x:c>
      <x:c r="C127" t="str">
        <x:v>Agile</x:v>
      </x:c>
      <x:c r="D127" t="n">
        <x:v>8</x:v>
      </x:c>
      <x:c r="E127" t="n">
        <x:v>0</x:v>
      </x:c>
      <x:c r="F127" t="n">
        <x:v>6</x:v>
      </x:c>
      <x:c r="G127" t="n">
        <x:v>2</x:v>
      </x:c>
      <x:c r="H127" t="n">
        <x:v>0</x:v>
      </x:c>
      <x:c r="I127" t="n">
        <x:v>0</x:v>
      </x:c>
      <x:c r="J127" t="n">
        <x:v>0</x:v>
      </x:c>
      <x:c r="K127" t="n">
        <x:v>0</x:v>
      </x:c>
      <x:c r="L127" t="n">
        <x:v>0</x:v>
      </x:c>
      <x:c r="M127" t="n">
        <x:v>0</x:v>
      </x:c>
    </x:row>
    <x:row r="128">
      <x:c r="A128" t="str">
        <x:v>PH|Agile|9</x:v>
      </x:c>
      <x:c r="B128" t="str">
        <x:v>Physique</x:v>
      </x:c>
      <x:c r="C128" t="str">
        <x:v>Agile</x:v>
      </x:c>
      <x:c r="D128" t="n">
        <x:v>9</x:v>
      </x:c>
      <x:c r="E128" t="n">
        <x:v>0</x:v>
      </x:c>
      <x:c r="F128" t="n">
        <x:v>6</x:v>
      </x:c>
      <x:c r="G128" t="n">
        <x:v>3</x:v>
      </x:c>
      <x:c r="H128" t="n">
        <x:v>0</x:v>
      </x:c>
      <x:c r="I128" t="n">
        <x:v>0</x:v>
      </x:c>
      <x:c r="J128" t="n">
        <x:v>0</x:v>
      </x:c>
      <x:c r="K128" t="n">
        <x:v>0</x:v>
      </x:c>
      <x:c r="L128" t="n">
        <x:v>0</x:v>
      </x:c>
      <x:c r="M128" t="n">
        <x:v>0</x:v>
      </x:c>
    </x:row>
    <x:row r="129">
      <x:c r="A129" t="str">
        <x:v>PH|Agile|10</x:v>
      </x:c>
      <x:c r="B129" t="str">
        <x:v>Physique</x:v>
      </x:c>
      <x:c r="C129" t="str">
        <x:v>Agile</x:v>
      </x:c>
      <x:c r="D129" t="n">
        <x:v>10</x:v>
      </x:c>
      <x:c r="E129" t="n">
        <x:v>0</x:v>
      </x:c>
      <x:c r="F129" t="n">
        <x:v>7</x:v>
      </x:c>
      <x:c r="G129" t="n">
        <x:v>3</x:v>
      </x:c>
      <x:c r="H129" t="n">
        <x:v>0</x:v>
      </x:c>
      <x:c r="I129" t="n">
        <x:v>0</x:v>
      </x:c>
      <x:c r="J129" t="n">
        <x:v>0</x:v>
      </x:c>
      <x:c r="K129" t="n">
        <x:v>0</x:v>
      </x:c>
      <x:c r="L129" t="n">
        <x:v>0</x:v>
      </x:c>
      <x:c r="M129" t="n">
        <x:v>0</x:v>
      </x:c>
    </x:row>
    <x:row r="130">
      <x:c r="A130" t="str">
        <x:v>PH|Agile|11</x:v>
      </x:c>
      <x:c r="B130" t="str">
        <x:v>Physique</x:v>
      </x:c>
      <x:c r="C130" t="str">
        <x:v>Agile</x:v>
      </x:c>
      <x:c r="D130" t="n">
        <x:v>11</x:v>
      </x:c>
      <x:c r="E130" t="n">
        <x:v>0</x:v>
      </x:c>
      <x:c r="F130" t="n">
        <x:v>8</x:v>
      </x:c>
      <x:c r="G130" t="n">
        <x:v>3</x:v>
      </x:c>
      <x:c r="H130" t="n">
        <x:v>0</x:v>
      </x:c>
      <x:c r="I130" t="n">
        <x:v>0</x:v>
      </x:c>
      <x:c r="J130" t="n">
        <x:v>0</x:v>
      </x:c>
      <x:c r="K130" t="n">
        <x:v>0</x:v>
      </x:c>
      <x:c r="L130" t="n">
        <x:v>0</x:v>
      </x:c>
      <x:c r="M130" t="n">
        <x:v>0</x:v>
      </x:c>
    </x:row>
    <x:row r="131">
      <x:c r="A131" t="str">
        <x:v>PH|Agile|12</x:v>
      </x:c>
      <x:c r="B131" t="str">
        <x:v>Physique</x:v>
      </x:c>
      <x:c r="C131" t="str">
        <x:v>Agile</x:v>
      </x:c>
      <x:c r="D131" t="n">
        <x:v>12</x:v>
      </x:c>
      <x:c r="E131" t="n">
        <x:v>0</x:v>
      </x:c>
      <x:c r="F131" t="n">
        <x:v>8</x:v>
      </x:c>
      <x:c r="G131" t="n">
        <x:v>4</x:v>
      </x:c>
      <x:c r="H131" t="n">
        <x:v>0</x:v>
      </x:c>
      <x:c r="I131" t="n">
        <x:v>0</x:v>
      </x:c>
      <x:c r="J131" t="n">
        <x:v>0</x:v>
      </x:c>
      <x:c r="K131" t="n">
        <x:v>0</x:v>
      </x:c>
      <x:c r="L131" t="n">
        <x:v>0</x:v>
      </x:c>
      <x:c r="M131" t="n">
        <x:v>0</x:v>
      </x:c>
    </x:row>
    <x:row r="132">
      <x:c r="A132" t="str">
        <x:v>PH|Agile|13</x:v>
      </x:c>
      <x:c r="B132" t="str">
        <x:v>Physique</x:v>
      </x:c>
      <x:c r="C132" t="str">
        <x:v>Agile</x:v>
      </x:c>
      <x:c r="D132" t="n">
        <x:v>13</x:v>
      </x:c>
      <x:c r="E132" t="n">
        <x:v>0</x:v>
      </x:c>
      <x:c r="F132" t="n">
        <x:v>9</x:v>
      </x:c>
      <x:c r="G132" t="n">
        <x:v>4</x:v>
      </x:c>
      <x:c r="H132" t="n">
        <x:v>0</x:v>
      </x:c>
      <x:c r="I132" t="n">
        <x:v>0</x:v>
      </x:c>
      <x:c r="J132" t="n">
        <x:v>0</x:v>
      </x:c>
      <x:c r="K132" t="n">
        <x:v>0</x:v>
      </x:c>
      <x:c r="L132" t="n">
        <x:v>0</x:v>
      </x:c>
      <x:c r="M132" t="n">
        <x:v>0</x:v>
      </x:c>
    </x:row>
    <x:row r="133">
      <x:c r="A133" t="str">
        <x:v>PH|Agile|14</x:v>
      </x:c>
      <x:c r="B133" t="str">
        <x:v>Physique</x:v>
      </x:c>
      <x:c r="C133" t="str">
        <x:v>Agile</x:v>
      </x:c>
      <x:c r="D133" t="n">
        <x:v>14</x:v>
      </x:c>
      <x:c r="E133" t="n">
        <x:v>0</x:v>
      </x:c>
      <x:c r="F133" t="n">
        <x:v>10</x:v>
      </x:c>
      <x:c r="G133" t="n">
        <x:v>4</x:v>
      </x:c>
      <x:c r="H133" t="n">
        <x:v>0</x:v>
      </x:c>
      <x:c r="I133" t="n">
        <x:v>0</x:v>
      </x:c>
      <x:c r="J133" t="n">
        <x:v>0</x:v>
      </x:c>
      <x:c r="K133" t="n">
        <x:v>0</x:v>
      </x:c>
      <x:c r="L133" t="n">
        <x:v>0</x:v>
      </x:c>
      <x:c r="M133" t="n">
        <x:v>0</x:v>
      </x:c>
    </x:row>
    <x:row r="134">
      <x:c r="A134" t="str">
        <x:v>PH|Agile|15</x:v>
      </x:c>
      <x:c r="B134" t="str">
        <x:v>Physique</x:v>
      </x:c>
      <x:c r="C134" t="str">
        <x:v>Agile</x:v>
      </x:c>
      <x:c r="D134" t="n">
        <x:v>15</x:v>
      </x:c>
      <x:c r="E134" t="n">
        <x:v>0</x:v>
      </x:c>
      <x:c r="F134" t="n">
        <x:v>11</x:v>
      </x:c>
      <x:c r="G134" t="n">
        <x:v>4</x:v>
      </x:c>
      <x:c r="H134" t="n">
        <x:v>0</x:v>
      </x:c>
      <x:c r="I134" t="n">
        <x:v>0</x:v>
      </x:c>
      <x:c r="J134" t="n">
        <x:v>0</x:v>
      </x:c>
      <x:c r="K134" t="n">
        <x:v>0</x:v>
      </x:c>
      <x:c r="L134" t="n">
        <x:v>0</x:v>
      </x:c>
      <x:c r="M134" t="n">
        <x:v>0</x:v>
      </x:c>
    </x:row>
    <x:row r="135">
      <x:c r="A135" t="str">
        <x:v>PH|Agile|16</x:v>
      </x:c>
      <x:c r="B135" t="str">
        <x:v>Physique</x:v>
      </x:c>
      <x:c r="C135" t="str">
        <x:v>Agile</x:v>
      </x:c>
      <x:c r="D135" t="n">
        <x:v>16</x:v>
      </x:c>
      <x:c r="E135" t="n">
        <x:v>0</x:v>
      </x:c>
      <x:c r="F135" t="n">
        <x:v>11</x:v>
      </x:c>
      <x:c r="G135" t="n">
        <x:v>5</x:v>
      </x:c>
      <x:c r="H135" t="n">
        <x:v>0</x:v>
      </x:c>
      <x:c r="I135" t="n">
        <x:v>0</x:v>
      </x:c>
      <x:c r="J135" t="n">
        <x:v>0</x:v>
      </x:c>
      <x:c r="K135" t="n">
        <x:v>0</x:v>
      </x:c>
      <x:c r="L135" t="n">
        <x:v>0</x:v>
      </x:c>
      <x:c r="M135" t="n">
        <x:v>0</x:v>
      </x:c>
    </x:row>
    <x:row r="136">
      <x:c r="A136" t="str">
        <x:v>PH|Agile|17</x:v>
      </x:c>
      <x:c r="B136" t="str">
        <x:v>Physique</x:v>
      </x:c>
      <x:c r="C136" t="str">
        <x:v>Agile</x:v>
      </x:c>
      <x:c r="D136" t="n">
        <x:v>17</x:v>
      </x:c>
      <x:c r="E136" t="n">
        <x:v>0</x:v>
      </x:c>
      <x:c r="F136" t="n">
        <x:v>12</x:v>
      </x:c>
      <x:c r="G136" t="n">
        <x:v>5</x:v>
      </x:c>
      <x:c r="H136" t="n">
        <x:v>0</x:v>
      </x:c>
      <x:c r="I136" t="n">
        <x:v>0</x:v>
      </x:c>
      <x:c r="J136" t="n">
        <x:v>0</x:v>
      </x:c>
      <x:c r="K136" t="n">
        <x:v>0</x:v>
      </x:c>
      <x:c r="L136" t="n">
        <x:v>0</x:v>
      </x:c>
      <x:c r="M136" t="n">
        <x:v>0</x:v>
      </x:c>
    </x:row>
    <x:row r="137">
      <x:c r="A137" t="str">
        <x:v>PH|Agile|18</x:v>
      </x:c>
      <x:c r="B137" t="str">
        <x:v>Physique</x:v>
      </x:c>
      <x:c r="C137" t="str">
        <x:v>Agile</x:v>
      </x:c>
      <x:c r="D137" t="n">
        <x:v>18</x:v>
      </x:c>
      <x:c r="E137" t="n">
        <x:v>0</x:v>
      </x:c>
      <x:c r="F137" t="n">
        <x:v>13</x:v>
      </x:c>
      <x:c r="G137" t="n">
        <x:v>5</x:v>
      </x:c>
      <x:c r="H137" t="n">
        <x:v>0</x:v>
      </x:c>
      <x:c r="I137" t="n">
        <x:v>0</x:v>
      </x:c>
      <x:c r="J137" t="n">
        <x:v>0</x:v>
      </x:c>
      <x:c r="K137" t="n">
        <x:v>0</x:v>
      </x:c>
      <x:c r="L137" t="n">
        <x:v>0</x:v>
      </x:c>
      <x:c r="M137" t="n">
        <x:v>0</x:v>
      </x:c>
    </x:row>
    <x:row r="138">
      <x:c r="A138" t="str">
        <x:v>PH|Agile|19</x:v>
      </x:c>
      <x:c r="B138" t="str">
        <x:v>Physique</x:v>
      </x:c>
      <x:c r="C138" t="str">
        <x:v>Agile</x:v>
      </x:c>
      <x:c r="D138" t="n">
        <x:v>19</x:v>
      </x:c>
      <x:c r="E138" t="n">
        <x:v>0</x:v>
      </x:c>
      <x:c r="F138" t="n">
        <x:v>13</x:v>
      </x:c>
      <x:c r="G138" t="n">
        <x:v>6</x:v>
      </x:c>
      <x:c r="H138" t="n">
        <x:v>0</x:v>
      </x:c>
      <x:c r="I138" t="n">
        <x:v>0</x:v>
      </x:c>
      <x:c r="J138" t="n">
        <x:v>0</x:v>
      </x:c>
      <x:c r="K138" t="n">
        <x:v>0</x:v>
      </x:c>
      <x:c r="L138" t="n">
        <x:v>0</x:v>
      </x:c>
      <x:c r="M138" t="n">
        <x:v>0</x:v>
      </x:c>
    </x:row>
    <x:row r="139">
      <x:c r="A139" t="str">
        <x:v>PH|Agile|20</x:v>
      </x:c>
      <x:c r="B139" t="str">
        <x:v>Physique</x:v>
      </x:c>
      <x:c r="C139" t="str">
        <x:v>Agile</x:v>
      </x:c>
      <x:c r="D139" t="n">
        <x:v>20</x:v>
      </x:c>
      <x:c r="E139" t="n">
        <x:v>0</x:v>
      </x:c>
      <x:c r="F139" t="n">
        <x:v>14</x:v>
      </x:c>
      <x:c r="G139" t="n">
        <x:v>6</x:v>
      </x:c>
      <x:c r="H139" t="n">
        <x:v>0</x:v>
      </x:c>
      <x:c r="I139" t="n">
        <x:v>0</x:v>
      </x:c>
      <x:c r="J139" t="n">
        <x:v>0</x:v>
      </x:c>
      <x:c r="K139" t="n">
        <x:v>0</x:v>
      </x:c>
      <x:c r="L139" t="n">
        <x:v>0</x:v>
      </x:c>
      <x:c r="M139" t="n">
        <x:v>0</x:v>
      </x:c>
    </x:row>
    <x:row r="140">
      <x:c r="A140" t="str">
        <x:v>PH|Agile|21</x:v>
      </x:c>
      <x:c r="B140" t="str">
        <x:v>Physique</x:v>
      </x:c>
      <x:c r="C140" t="str">
        <x:v>Agile</x:v>
      </x:c>
      <x:c r="D140" t="n">
        <x:v>21</x:v>
      </x:c>
      <x:c r="E140" t="n">
        <x:v>0</x:v>
      </x:c>
      <x:c r="F140" t="n">
        <x:v>15</x:v>
      </x:c>
      <x:c r="G140" t="n">
        <x:v>6</x:v>
      </x:c>
      <x:c r="H140" t="n">
        <x:v>0</x:v>
      </x:c>
      <x:c r="I140" t="n">
        <x:v>0</x:v>
      </x:c>
      <x:c r="J140" t="n">
        <x:v>0</x:v>
      </x:c>
      <x:c r="K140" t="n">
        <x:v>0</x:v>
      </x:c>
      <x:c r="L140" t="n">
        <x:v>0</x:v>
      </x:c>
      <x:c r="M140" t="n">
        <x:v>0</x:v>
      </x:c>
    </x:row>
    <x:row r="141">
      <x:c r="A141" t="str">
        <x:v>PH|Prédateur|0</x:v>
      </x:c>
      <x:c r="B141" t="str">
        <x:v>Physique</x:v>
      </x:c>
      <x:c r="C141" t="str">
        <x:v>Prédateur</x:v>
      </x:c>
      <x:c r="D141" t="n">
        <x:v>0</x:v>
      </x:c>
      <x:c r="E141" t="n">
        <x:v>0</x:v>
      </x:c>
      <x:c r="F141" t="n">
        <x:v>0</x:v>
      </x:c>
      <x:c r="G141" t="n">
        <x:v>0</x:v>
      </x:c>
      <x:c r="H141" t="n">
        <x:v>0</x:v>
      </x:c>
      <x:c r="I141" t="n">
        <x:v>0</x:v>
      </x:c>
      <x:c r="J141" t="n">
        <x:v>0</x:v>
      </x:c>
      <x:c r="K141" t="n">
        <x:v>0</x:v>
      </x:c>
      <x:c r="L141" t="n">
        <x:v>0</x:v>
      </x:c>
      <x:c r="M141" t="n">
        <x:v>0</x:v>
      </x:c>
    </x:row>
    <x:row r="142">
      <x:c r="A142" t="str">
        <x:v>PH|Prédateur|1</x:v>
      </x:c>
      <x:c r="B142" t="str">
        <x:v>Physique</x:v>
      </x:c>
      <x:c r="C142" t="str">
        <x:v>Prédateur</x:v>
      </x:c>
      <x:c r="D142" t="n">
        <x:v>1</x:v>
      </x:c>
      <x:c r="E142" t="n">
        <x:v>0</x:v>
      </x:c>
      <x:c r="F142" t="n">
        <x:v>1</x:v>
      </x:c>
      <x:c r="G142" t="n">
        <x:v>0</x:v>
      </x:c>
      <x:c r="H142" t="n">
        <x:v>0</x:v>
      </x:c>
      <x:c r="I142" t="n">
        <x:v>0</x:v>
      </x:c>
      <x:c r="J142" t="n">
        <x:v>0</x:v>
      </x:c>
      <x:c r="K142" t="n">
        <x:v>0</x:v>
      </x:c>
      <x:c r="L142" t="n">
        <x:v>0</x:v>
      </x:c>
      <x:c r="M142" t="n">
        <x:v>0</x:v>
      </x:c>
    </x:row>
    <x:row r="143">
      <x:c r="A143" t="str">
        <x:v>PH|Prédateur|2</x:v>
      </x:c>
      <x:c r="B143" t="str">
        <x:v>Physique</x:v>
      </x:c>
      <x:c r="C143" t="str">
        <x:v>Prédateur</x:v>
      </x:c>
      <x:c r="D143" t="n">
        <x:v>2</x:v>
      </x:c>
      <x:c r="E143" t="n">
        <x:v>1</x:v>
      </x:c>
      <x:c r="F143" t="n">
        <x:v>1</x:v>
      </x:c>
      <x:c r="G143" t="n">
        <x:v>0</x:v>
      </x:c>
      <x:c r="H143" t="n">
        <x:v>0</x:v>
      </x:c>
      <x:c r="I143" t="n">
        <x:v>0</x:v>
      </x:c>
      <x:c r="J143" t="n">
        <x:v>0</x:v>
      </x:c>
      <x:c r="K143" t="n">
        <x:v>0</x:v>
      </x:c>
      <x:c r="L143" t="n">
        <x:v>0</x:v>
      </x:c>
      <x:c r="M143" t="n">
        <x:v>0</x:v>
      </x:c>
    </x:row>
    <x:row r="144">
      <x:c r="A144" t="str">
        <x:v>PH|Prédateur|3</x:v>
      </x:c>
      <x:c r="B144" t="str">
        <x:v>Physique</x:v>
      </x:c>
      <x:c r="C144" t="str">
        <x:v>Prédateur</x:v>
      </x:c>
      <x:c r="D144" t="n">
        <x:v>3</x:v>
      </x:c>
      <x:c r="E144" t="n">
        <x:v>1</x:v>
      </x:c>
      <x:c r="F144" t="n">
        <x:v>2</x:v>
      </x:c>
      <x:c r="G144" t="n">
        <x:v>0</x:v>
      </x:c>
      <x:c r="H144" t="n">
        <x:v>0</x:v>
      </x:c>
      <x:c r="I144" t="n">
        <x:v>0</x:v>
      </x:c>
      <x:c r="J144" t="n">
        <x:v>0</x:v>
      </x:c>
      <x:c r="K144" t="n">
        <x:v>0</x:v>
      </x:c>
      <x:c r="L144" t="n">
        <x:v>0</x:v>
      </x:c>
      <x:c r="M144" t="n">
        <x:v>0</x:v>
      </x:c>
    </x:row>
    <x:row r="145">
      <x:c r="A145" t="str">
        <x:v>PH|Prédateur|4</x:v>
      </x:c>
      <x:c r="B145" t="str">
        <x:v>Physique</x:v>
      </x:c>
      <x:c r="C145" t="str">
        <x:v>Prédateur</x:v>
      </x:c>
      <x:c r="D145" t="n">
        <x:v>4</x:v>
      </x:c>
      <x:c r="E145" t="n">
        <x:v>2</x:v>
      </x:c>
      <x:c r="F145" t="n">
        <x:v>2</x:v>
      </x:c>
      <x:c r="G145" t="n">
        <x:v>0</x:v>
      </x:c>
      <x:c r="H145" t="n">
        <x:v>0</x:v>
      </x:c>
      <x:c r="I145" t="n">
        <x:v>0</x:v>
      </x:c>
      <x:c r="J145" t="n">
        <x:v>0</x:v>
      </x:c>
      <x:c r="K145" t="n">
        <x:v>0</x:v>
      </x:c>
      <x:c r="L145" t="n">
        <x:v>0</x:v>
      </x:c>
      <x:c r="M145" t="n">
        <x:v>0</x:v>
      </x:c>
    </x:row>
    <x:row r="146">
      <x:c r="A146" t="str">
        <x:v>PH|Prédateur|5</x:v>
      </x:c>
      <x:c r="B146" t="str">
        <x:v>Physique</x:v>
      </x:c>
      <x:c r="C146" t="str">
        <x:v>Prédateur</x:v>
      </x:c>
      <x:c r="D146" t="n">
        <x:v>5</x:v>
      </x:c>
      <x:c r="E146" t="n">
        <x:v>2</x:v>
      </x:c>
      <x:c r="F146" t="n">
        <x:v>3</x:v>
      </x:c>
      <x:c r="G146" t="n">
        <x:v>0</x:v>
      </x:c>
      <x:c r="H146" t="n">
        <x:v>0</x:v>
      </x:c>
      <x:c r="I146" t="n">
        <x:v>0</x:v>
      </x:c>
      <x:c r="J146" t="n">
        <x:v>0</x:v>
      </x:c>
      <x:c r="K146" t="n">
        <x:v>0</x:v>
      </x:c>
      <x:c r="L146" t="n">
        <x:v>0</x:v>
      </x:c>
      <x:c r="M146" t="n">
        <x:v>0</x:v>
      </x:c>
    </x:row>
    <x:row r="147">
      <x:c r="A147" t="str">
        <x:v>PH|Prédateur|6</x:v>
      </x:c>
      <x:c r="B147" t="str">
        <x:v>Physique</x:v>
      </x:c>
      <x:c r="C147" t="str">
        <x:v>Prédateur</x:v>
      </x:c>
      <x:c r="D147" t="n">
        <x:v>6</x:v>
      </x:c>
      <x:c r="E147" t="n">
        <x:v>2</x:v>
      </x:c>
      <x:c r="F147" t="n">
        <x:v>4</x:v>
      </x:c>
      <x:c r="G147" t="n">
        <x:v>0</x:v>
      </x:c>
      <x:c r="H147" t="n">
        <x:v>0</x:v>
      </x:c>
      <x:c r="I147" t="n">
        <x:v>0</x:v>
      </x:c>
      <x:c r="J147" t="n">
        <x:v>0</x:v>
      </x:c>
      <x:c r="K147" t="n">
        <x:v>0</x:v>
      </x:c>
      <x:c r="L147" t="n">
        <x:v>0</x:v>
      </x:c>
      <x:c r="M147" t="n">
        <x:v>0</x:v>
      </x:c>
    </x:row>
    <x:row r="148">
      <x:c r="A148" t="str">
        <x:v>PH|Prédateur|7</x:v>
      </x:c>
      <x:c r="B148" t="str">
        <x:v>Physique</x:v>
      </x:c>
      <x:c r="C148" t="str">
        <x:v>Prédateur</x:v>
      </x:c>
      <x:c r="D148" t="n">
        <x:v>7</x:v>
      </x:c>
      <x:c r="E148" t="n">
        <x:v>3</x:v>
      </x:c>
      <x:c r="F148" t="n">
        <x:v>4</x:v>
      </x:c>
      <x:c r="G148" t="n">
        <x:v>0</x:v>
      </x:c>
      <x:c r="H148" t="n">
        <x:v>0</x:v>
      </x:c>
      <x:c r="I148" t="n">
        <x:v>0</x:v>
      </x:c>
      <x:c r="J148" t="n">
        <x:v>0</x:v>
      </x:c>
      <x:c r="K148" t="n">
        <x:v>0</x:v>
      </x:c>
      <x:c r="L148" t="n">
        <x:v>0</x:v>
      </x:c>
      <x:c r="M148" t="n">
        <x:v>0</x:v>
      </x:c>
    </x:row>
    <x:row r="149">
      <x:c r="A149" t="str">
        <x:v>PH|Prédateur|8</x:v>
      </x:c>
      <x:c r="B149" t="str">
        <x:v>Physique</x:v>
      </x:c>
      <x:c r="C149" t="str">
        <x:v>Prédateur</x:v>
      </x:c>
      <x:c r="D149" t="n">
        <x:v>8</x:v>
      </x:c>
      <x:c r="E149" t="n">
        <x:v>3</x:v>
      </x:c>
      <x:c r="F149" t="n">
        <x:v>5</x:v>
      </x:c>
      <x:c r="G149" t="n">
        <x:v>0</x:v>
      </x:c>
      <x:c r="H149" t="n">
        <x:v>0</x:v>
      </x:c>
      <x:c r="I149" t="n">
        <x:v>0</x:v>
      </x:c>
      <x:c r="J149" t="n">
        <x:v>0</x:v>
      </x:c>
      <x:c r="K149" t="n">
        <x:v>0</x:v>
      </x:c>
      <x:c r="L149" t="n">
        <x:v>0</x:v>
      </x:c>
      <x:c r="M149" t="n">
        <x:v>0</x:v>
      </x:c>
    </x:row>
    <x:row r="150">
      <x:c r="A150" t="str">
        <x:v>PH|Prédateur|9</x:v>
      </x:c>
      <x:c r="B150" t="str">
        <x:v>Physique</x:v>
      </x:c>
      <x:c r="C150" t="str">
        <x:v>Prédateur</x:v>
      </x:c>
      <x:c r="D150" t="n">
        <x:v>9</x:v>
      </x:c>
      <x:c r="E150" t="n">
        <x:v>4</x:v>
      </x:c>
      <x:c r="F150" t="n">
        <x:v>5</x:v>
      </x:c>
      <x:c r="G150" t="n">
        <x:v>0</x:v>
      </x:c>
      <x:c r="H150" t="n">
        <x:v>0</x:v>
      </x:c>
      <x:c r="I150" t="n">
        <x:v>0</x:v>
      </x:c>
      <x:c r="J150" t="n">
        <x:v>0</x:v>
      </x:c>
      <x:c r="K150" t="n">
        <x:v>0</x:v>
      </x:c>
      <x:c r="L150" t="n">
        <x:v>0</x:v>
      </x:c>
      <x:c r="M150" t="n">
        <x:v>0</x:v>
      </x:c>
    </x:row>
    <x:row r="151">
      <x:c r="A151" t="str">
        <x:v>PH|Prédateur|10</x:v>
      </x:c>
      <x:c r="B151" t="str">
        <x:v>Physique</x:v>
      </x:c>
      <x:c r="C151" t="str">
        <x:v>Prédateur</x:v>
      </x:c>
      <x:c r="D151" t="n">
        <x:v>10</x:v>
      </x:c>
      <x:c r="E151" t="n">
        <x:v>4</x:v>
      </x:c>
      <x:c r="F151" t="n">
        <x:v>6</x:v>
      </x:c>
      <x:c r="G151" t="n">
        <x:v>0</x:v>
      </x:c>
      <x:c r="H151" t="n">
        <x:v>0</x:v>
      </x:c>
      <x:c r="I151" t="n">
        <x:v>0</x:v>
      </x:c>
      <x:c r="J151" t="n">
        <x:v>0</x:v>
      </x:c>
      <x:c r="K151" t="n">
        <x:v>0</x:v>
      </x:c>
      <x:c r="L151" t="n">
        <x:v>0</x:v>
      </x:c>
      <x:c r="M151" t="n">
        <x:v>0</x:v>
      </x:c>
    </x:row>
    <x:row r="152">
      <x:c r="A152" t="str">
        <x:v>PH|Prédateur|11</x:v>
      </x:c>
      <x:c r="B152" t="str">
        <x:v>Physique</x:v>
      </x:c>
      <x:c r="C152" t="str">
        <x:v>Prédateur</x:v>
      </x:c>
      <x:c r="D152" t="n">
        <x:v>11</x:v>
      </x:c>
      <x:c r="E152" t="n">
        <x:v>4</x:v>
      </x:c>
      <x:c r="F152" t="n">
        <x:v>7</x:v>
      </x:c>
      <x:c r="G152" t="n">
        <x:v>0</x:v>
      </x:c>
      <x:c r="H152" t="n">
        <x:v>0</x:v>
      </x:c>
      <x:c r="I152" t="n">
        <x:v>0</x:v>
      </x:c>
      <x:c r="J152" t="n">
        <x:v>0</x:v>
      </x:c>
      <x:c r="K152" t="n">
        <x:v>0</x:v>
      </x:c>
      <x:c r="L152" t="n">
        <x:v>0</x:v>
      </x:c>
      <x:c r="M152" t="n">
        <x:v>0</x:v>
      </x:c>
    </x:row>
    <x:row r="153">
      <x:c r="A153" t="str">
        <x:v>PH|Prédateur|12</x:v>
      </x:c>
      <x:c r="B153" t="str">
        <x:v>Physique</x:v>
      </x:c>
      <x:c r="C153" t="str">
        <x:v>Prédateur</x:v>
      </x:c>
      <x:c r="D153" t="n">
        <x:v>12</x:v>
      </x:c>
      <x:c r="E153" t="n">
        <x:v>5</x:v>
      </x:c>
      <x:c r="F153" t="n">
        <x:v>7</x:v>
      </x:c>
      <x:c r="G153" t="n">
        <x:v>0</x:v>
      </x:c>
      <x:c r="H153" t="n">
        <x:v>0</x:v>
      </x:c>
      <x:c r="I153" t="n">
        <x:v>0</x:v>
      </x:c>
      <x:c r="J153" t="n">
        <x:v>0</x:v>
      </x:c>
      <x:c r="K153" t="n">
        <x:v>0</x:v>
      </x:c>
      <x:c r="L153" t="n">
        <x:v>0</x:v>
      </x:c>
      <x:c r="M153" t="n">
        <x:v>0</x:v>
      </x:c>
    </x:row>
    <x:row r="154">
      <x:c r="A154" t="str">
        <x:v>PH|Prédateur|13</x:v>
      </x:c>
      <x:c r="B154" t="str">
        <x:v>Physique</x:v>
      </x:c>
      <x:c r="C154" t="str">
        <x:v>Prédateur</x:v>
      </x:c>
      <x:c r="D154" t="n">
        <x:v>13</x:v>
      </x:c>
      <x:c r="E154" t="n">
        <x:v>5</x:v>
      </x:c>
      <x:c r="F154" t="n">
        <x:v>8</x:v>
      </x:c>
      <x:c r="G154" t="n">
        <x:v>0</x:v>
      </x:c>
      <x:c r="H154" t="n">
        <x:v>0</x:v>
      </x:c>
      <x:c r="I154" t="n">
        <x:v>0</x:v>
      </x:c>
      <x:c r="J154" t="n">
        <x:v>0</x:v>
      </x:c>
      <x:c r="K154" t="n">
        <x:v>0</x:v>
      </x:c>
      <x:c r="L154" t="n">
        <x:v>0</x:v>
      </x:c>
      <x:c r="M154" t="n">
        <x:v>0</x:v>
      </x:c>
    </x:row>
    <x:row r="155">
      <x:c r="A155" t="str">
        <x:v>PH|Prédateur|14</x:v>
      </x:c>
      <x:c r="B155" t="str">
        <x:v>Physique</x:v>
      </x:c>
      <x:c r="C155" t="str">
        <x:v>Prédateur</x:v>
      </x:c>
      <x:c r="D155" t="n">
        <x:v>14</x:v>
      </x:c>
      <x:c r="E155" t="n">
        <x:v>6</x:v>
      </x:c>
      <x:c r="F155" t="n">
        <x:v>8</x:v>
      </x:c>
      <x:c r="G155" t="n">
        <x:v>0</x:v>
      </x:c>
      <x:c r="H155" t="n">
        <x:v>0</x:v>
      </x:c>
      <x:c r="I155" t="n">
        <x:v>0</x:v>
      </x:c>
      <x:c r="J155" t="n">
        <x:v>0</x:v>
      </x:c>
      <x:c r="K155" t="n">
        <x:v>0</x:v>
      </x:c>
      <x:c r="L155" t="n">
        <x:v>0</x:v>
      </x:c>
      <x:c r="M155" t="n">
        <x:v>0</x:v>
      </x:c>
    </x:row>
    <x:row r="156">
      <x:c r="A156" t="str">
        <x:v>PH|Prédateur|15</x:v>
      </x:c>
      <x:c r="B156" t="str">
        <x:v>Physique</x:v>
      </x:c>
      <x:c r="C156" t="str">
        <x:v>Prédateur</x:v>
      </x:c>
      <x:c r="D156" t="n">
        <x:v>15</x:v>
      </x:c>
      <x:c r="E156" t="n">
        <x:v>6</x:v>
      </x:c>
      <x:c r="F156" t="n">
        <x:v>9</x:v>
      </x:c>
      <x:c r="G156" t="n">
        <x:v>0</x:v>
      </x:c>
      <x:c r="H156" t="n">
        <x:v>0</x:v>
      </x:c>
      <x:c r="I156" t="n">
        <x:v>0</x:v>
      </x:c>
      <x:c r="J156" t="n">
        <x:v>0</x:v>
      </x:c>
      <x:c r="K156" t="n">
        <x:v>0</x:v>
      </x:c>
      <x:c r="L156" t="n">
        <x:v>0</x:v>
      </x:c>
      <x:c r="M156" t="n">
        <x:v>0</x:v>
      </x:c>
    </x:row>
    <x:row r="157">
      <x:c r="A157" t="str">
        <x:v>PH|Prédateur|16</x:v>
      </x:c>
      <x:c r="B157" t="str">
        <x:v>Physique</x:v>
      </x:c>
      <x:c r="C157" t="str">
        <x:v>Prédateur</x:v>
      </x:c>
      <x:c r="D157" t="n">
        <x:v>16</x:v>
      </x:c>
      <x:c r="E157" t="n">
        <x:v>6</x:v>
      </x:c>
      <x:c r="F157" t="n">
        <x:v>10</x:v>
      </x:c>
      <x:c r="G157" t="n">
        <x:v>0</x:v>
      </x:c>
      <x:c r="H157" t="n">
        <x:v>0</x:v>
      </x:c>
      <x:c r="I157" t="n">
        <x:v>0</x:v>
      </x:c>
      <x:c r="J157" t="n">
        <x:v>0</x:v>
      </x:c>
      <x:c r="K157" t="n">
        <x:v>0</x:v>
      </x:c>
      <x:c r="L157" t="n">
        <x:v>0</x:v>
      </x:c>
      <x:c r="M157" t="n">
        <x:v>0</x:v>
      </x:c>
    </x:row>
    <x:row r="158">
      <x:c r="A158" t="str">
        <x:v>PH|Prédateur|17</x:v>
      </x:c>
      <x:c r="B158" t="str">
        <x:v>Physique</x:v>
      </x:c>
      <x:c r="C158" t="str">
        <x:v>Prédateur</x:v>
      </x:c>
      <x:c r="D158" t="n">
        <x:v>17</x:v>
      </x:c>
      <x:c r="E158" t="n">
        <x:v>7</x:v>
      </x:c>
      <x:c r="F158" t="n">
        <x:v>10</x:v>
      </x:c>
      <x:c r="G158" t="n">
        <x:v>0</x:v>
      </x:c>
      <x:c r="H158" t="n">
        <x:v>0</x:v>
      </x:c>
      <x:c r="I158" t="n">
        <x:v>0</x:v>
      </x:c>
      <x:c r="J158" t="n">
        <x:v>0</x:v>
      </x:c>
      <x:c r="K158" t="n">
        <x:v>0</x:v>
      </x:c>
      <x:c r="L158" t="n">
        <x:v>0</x:v>
      </x:c>
      <x:c r="M158" t="n">
        <x:v>0</x:v>
      </x:c>
    </x:row>
    <x:row r="159">
      <x:c r="A159" t="str">
        <x:v>PH|Prédateur|18</x:v>
      </x:c>
      <x:c r="B159" t="str">
        <x:v>Physique</x:v>
      </x:c>
      <x:c r="C159" t="str">
        <x:v>Prédateur</x:v>
      </x:c>
      <x:c r="D159" t="n">
        <x:v>18</x:v>
      </x:c>
      <x:c r="E159" t="n">
        <x:v>7</x:v>
      </x:c>
      <x:c r="F159" t="n">
        <x:v>11</x:v>
      </x:c>
      <x:c r="G159" t="n">
        <x:v>0</x:v>
      </x:c>
      <x:c r="H159" t="n">
        <x:v>0</x:v>
      </x:c>
      <x:c r="I159" t="n">
        <x:v>0</x:v>
      </x:c>
      <x:c r="J159" t="n">
        <x:v>0</x:v>
      </x:c>
      <x:c r="K159" t="n">
        <x:v>0</x:v>
      </x:c>
      <x:c r="L159" t="n">
        <x:v>0</x:v>
      </x:c>
      <x:c r="M159" t="n">
        <x:v>0</x:v>
      </x:c>
    </x:row>
    <x:row r="160">
      <x:c r="A160" t="str">
        <x:v>PH|Prédateur|19</x:v>
      </x:c>
      <x:c r="B160" t="str">
        <x:v>Physique</x:v>
      </x:c>
      <x:c r="C160" t="str">
        <x:v>Prédateur</x:v>
      </x:c>
      <x:c r="D160" t="n">
        <x:v>19</x:v>
      </x:c>
      <x:c r="E160" t="n">
        <x:v>8</x:v>
      </x:c>
      <x:c r="F160" t="n">
        <x:v>11</x:v>
      </x:c>
      <x:c r="G160" t="n">
        <x:v>0</x:v>
      </x:c>
      <x:c r="H160" t="n">
        <x:v>0</x:v>
      </x:c>
      <x:c r="I160" t="n">
        <x:v>0</x:v>
      </x:c>
      <x:c r="J160" t="n">
        <x:v>0</x:v>
      </x:c>
      <x:c r="K160" t="n">
        <x:v>0</x:v>
      </x:c>
      <x:c r="L160" t="n">
        <x:v>0</x:v>
      </x:c>
      <x:c r="M160" t="n">
        <x:v>0</x:v>
      </x:c>
    </x:row>
    <x:row r="161">
      <x:c r="A161" t="str">
        <x:v>PH|Prédateur|20</x:v>
      </x:c>
      <x:c r="B161" t="str">
        <x:v>Physique</x:v>
      </x:c>
      <x:c r="C161" t="str">
        <x:v>Prédateur</x:v>
      </x:c>
      <x:c r="D161" t="n">
        <x:v>20</x:v>
      </x:c>
      <x:c r="E161" t="n">
        <x:v>8</x:v>
      </x:c>
      <x:c r="F161" t="n">
        <x:v>12</x:v>
      </x:c>
      <x:c r="G161" t="n">
        <x:v>0</x:v>
      </x:c>
      <x:c r="H161" t="n">
        <x:v>0</x:v>
      </x:c>
      <x:c r="I161" t="n">
        <x:v>0</x:v>
      </x:c>
      <x:c r="J161" t="n">
        <x:v>0</x:v>
      </x:c>
      <x:c r="K161" t="n">
        <x:v>0</x:v>
      </x:c>
      <x:c r="L161" t="n">
        <x:v>0</x:v>
      </x:c>
      <x:c r="M161" t="n">
        <x:v>0</x:v>
      </x:c>
    </x:row>
    <x:row r="162">
      <x:c r="A162" t="str">
        <x:v>PH|Prédateur|21</x:v>
      </x:c>
      <x:c r="B162" t="str">
        <x:v>Physique</x:v>
      </x:c>
      <x:c r="C162" t="str">
        <x:v>Prédateur</x:v>
      </x:c>
      <x:c r="D162" t="n">
        <x:v>21</x:v>
      </x:c>
      <x:c r="E162" t="n">
        <x:v>8</x:v>
      </x:c>
      <x:c r="F162" t="n">
        <x:v>13</x:v>
      </x:c>
      <x:c r="G162" t="n">
        <x:v>0</x:v>
      </x:c>
      <x:c r="H162" t="n">
        <x:v>0</x:v>
      </x:c>
      <x:c r="I162" t="n">
        <x:v>0</x:v>
      </x:c>
      <x:c r="J162" t="n">
        <x:v>0</x:v>
      </x:c>
      <x:c r="K162" t="n">
        <x:v>0</x:v>
      </x:c>
      <x:c r="L162" t="n">
        <x:v>0</x:v>
      </x:c>
      <x:c r="M162" t="n">
        <x:v>0</x:v>
      </x:c>
    </x:row>
    <x:row r="163">
      <x:c r="A163" t="str">
        <x:v>PH|Endurant|0</x:v>
      </x:c>
      <x:c r="B163" t="str">
        <x:v>Physique</x:v>
      </x:c>
      <x:c r="C163" t="str">
        <x:v>Endurant</x:v>
      </x:c>
      <x:c r="D163" t="n">
        <x:v>0</x:v>
      </x:c>
      <x:c r="E163" t="n">
        <x:v>0</x:v>
      </x:c>
      <x:c r="F163" t="n">
        <x:v>0</x:v>
      </x:c>
      <x:c r="G163" t="n">
        <x:v>0</x:v>
      </x:c>
      <x:c r="H163" t="n">
        <x:v>0</x:v>
      </x:c>
      <x:c r="I163" t="n">
        <x:v>0</x:v>
      </x:c>
      <x:c r="J163" t="n">
        <x:v>0</x:v>
      </x:c>
      <x:c r="K163" t="n">
        <x:v>0</x:v>
      </x:c>
      <x:c r="L163" t="n">
        <x:v>0</x:v>
      </x:c>
      <x:c r="M163" t="n">
        <x:v>0</x:v>
      </x:c>
    </x:row>
    <x:row r="164">
      <x:c r="A164" t="str">
        <x:v>PH|Endurant|1</x:v>
      </x:c>
      <x:c r="B164" t="str">
        <x:v>Physique</x:v>
      </x:c>
      <x:c r="C164" t="str">
        <x:v>Endurant</x:v>
      </x:c>
      <x:c r="D164" t="n">
        <x:v>1</x:v>
      </x:c>
      <x:c r="E164" t="n">
        <x:v>0</x:v>
      </x:c>
      <x:c r="F164" t="n">
        <x:v>0</x:v>
      </x:c>
      <x:c r="G164" t="n">
        <x:v>1</x:v>
      </x:c>
      <x:c r="H164" t="n">
        <x:v>0</x:v>
      </x:c>
      <x:c r="I164" t="n">
        <x:v>0</x:v>
      </x:c>
      <x:c r="J164" t="n">
        <x:v>0</x:v>
      </x:c>
      <x:c r="K164" t="n">
        <x:v>0</x:v>
      </x:c>
      <x:c r="L164" t="n">
        <x:v>0</x:v>
      </x:c>
      <x:c r="M164" t="n">
        <x:v>0</x:v>
      </x:c>
    </x:row>
    <x:row r="165">
      <x:c r="A165" t="str">
        <x:v>PH|Endurant|2</x:v>
      </x:c>
      <x:c r="B165" t="str">
        <x:v>Physique</x:v>
      </x:c>
      <x:c r="C165" t="str">
        <x:v>Endurant</x:v>
      </x:c>
      <x:c r="D165" t="n">
        <x:v>2</x:v>
      </x:c>
      <x:c r="E165" t="n">
        <x:v>1</x:v>
      </x:c>
      <x:c r="F165" t="n">
        <x:v>0</x:v>
      </x:c>
      <x:c r="G165" t="n">
        <x:v>1</x:v>
      </x:c>
      <x:c r="H165" t="n">
        <x:v>0</x:v>
      </x:c>
      <x:c r="I165" t="n">
        <x:v>0</x:v>
      </x:c>
      <x:c r="J165" t="n">
        <x:v>0</x:v>
      </x:c>
      <x:c r="K165" t="n">
        <x:v>0</x:v>
      </x:c>
      <x:c r="L165" t="n">
        <x:v>0</x:v>
      </x:c>
      <x:c r="M165" t="n">
        <x:v>0</x:v>
      </x:c>
    </x:row>
    <x:row r="166">
      <x:c r="A166" t="str">
        <x:v>PH|Endurant|3</x:v>
      </x:c>
      <x:c r="B166" t="str">
        <x:v>Physique</x:v>
      </x:c>
      <x:c r="C166" t="str">
        <x:v>Endurant</x:v>
      </x:c>
      <x:c r="D166" t="n">
        <x:v>3</x:v>
      </x:c>
      <x:c r="E166" t="n">
        <x:v>1</x:v>
      </x:c>
      <x:c r="F166" t="n">
        <x:v>0</x:v>
      </x:c>
      <x:c r="G166" t="n">
        <x:v>2</x:v>
      </x:c>
      <x:c r="H166" t="n">
        <x:v>0</x:v>
      </x:c>
      <x:c r="I166" t="n">
        <x:v>0</x:v>
      </x:c>
      <x:c r="J166" t="n">
        <x:v>0</x:v>
      </x:c>
      <x:c r="K166" t="n">
        <x:v>0</x:v>
      </x:c>
      <x:c r="L166" t="n">
        <x:v>0</x:v>
      </x:c>
      <x:c r="M166" t="n">
        <x:v>0</x:v>
      </x:c>
    </x:row>
    <x:row r="167">
      <x:c r="A167" t="str">
        <x:v>PH|Endurant|4</x:v>
      </x:c>
      <x:c r="B167" t="str">
        <x:v>Physique</x:v>
      </x:c>
      <x:c r="C167" t="str">
        <x:v>Endurant</x:v>
      </x:c>
      <x:c r="D167" t="n">
        <x:v>4</x:v>
      </x:c>
      <x:c r="E167" t="n">
        <x:v>1</x:v>
      </x:c>
      <x:c r="F167" t="n">
        <x:v>0</x:v>
      </x:c>
      <x:c r="G167" t="n">
        <x:v>3</x:v>
      </x:c>
      <x:c r="H167" t="n">
        <x:v>0</x:v>
      </x:c>
      <x:c r="I167" t="n">
        <x:v>0</x:v>
      </x:c>
      <x:c r="J167" t="n">
        <x:v>0</x:v>
      </x:c>
      <x:c r="K167" t="n">
        <x:v>0</x:v>
      </x:c>
      <x:c r="L167" t="n">
        <x:v>0</x:v>
      </x:c>
      <x:c r="M167" t="n">
        <x:v>0</x:v>
      </x:c>
    </x:row>
    <x:row r="168">
      <x:c r="A168" t="str">
        <x:v>PH|Endurant|5</x:v>
      </x:c>
      <x:c r="B168" t="str">
        <x:v>Physique</x:v>
      </x:c>
      <x:c r="C168" t="str">
        <x:v>Endurant</x:v>
      </x:c>
      <x:c r="D168" t="n">
        <x:v>5</x:v>
      </x:c>
      <x:c r="E168" t="n">
        <x:v>2</x:v>
      </x:c>
      <x:c r="F168" t="n">
        <x:v>0</x:v>
      </x:c>
      <x:c r="G168" t="n">
        <x:v>3</x:v>
      </x:c>
      <x:c r="H168" t="n">
        <x:v>0</x:v>
      </x:c>
      <x:c r="I168" t="n">
        <x:v>0</x:v>
      </x:c>
      <x:c r="J168" t="n">
        <x:v>0</x:v>
      </x:c>
      <x:c r="K168" t="n">
        <x:v>0</x:v>
      </x:c>
      <x:c r="L168" t="n">
        <x:v>0</x:v>
      </x:c>
      <x:c r="M168" t="n">
        <x:v>0</x:v>
      </x:c>
    </x:row>
    <x:row r="169">
      <x:c r="A169" t="str">
        <x:v>PH|Endurant|6</x:v>
      </x:c>
      <x:c r="B169" t="str">
        <x:v>Physique</x:v>
      </x:c>
      <x:c r="C169" t="str">
        <x:v>Endurant</x:v>
      </x:c>
      <x:c r="D169" t="n">
        <x:v>6</x:v>
      </x:c>
      <x:c r="E169" t="n">
        <x:v>2</x:v>
      </x:c>
      <x:c r="F169" t="n">
        <x:v>0</x:v>
      </x:c>
      <x:c r="G169" t="n">
        <x:v>4</x:v>
      </x:c>
      <x:c r="H169" t="n">
        <x:v>0</x:v>
      </x:c>
      <x:c r="I169" t="n">
        <x:v>0</x:v>
      </x:c>
      <x:c r="J169" t="n">
        <x:v>0</x:v>
      </x:c>
      <x:c r="K169" t="n">
        <x:v>0</x:v>
      </x:c>
      <x:c r="L169" t="n">
        <x:v>0</x:v>
      </x:c>
      <x:c r="M169" t="n">
        <x:v>0</x:v>
      </x:c>
    </x:row>
    <x:row r="170">
      <x:c r="A170" t="str">
        <x:v>PH|Endurant|7</x:v>
      </x:c>
      <x:c r="B170" t="str">
        <x:v>Physique</x:v>
      </x:c>
      <x:c r="C170" t="str">
        <x:v>Endurant</x:v>
      </x:c>
      <x:c r="D170" t="n">
        <x:v>7</x:v>
      </x:c>
      <x:c r="E170" t="n">
        <x:v>2</x:v>
      </x:c>
      <x:c r="F170" t="n">
        <x:v>0</x:v>
      </x:c>
      <x:c r="G170" t="n">
        <x:v>5</x:v>
      </x:c>
      <x:c r="H170" t="n">
        <x:v>0</x:v>
      </x:c>
      <x:c r="I170" t="n">
        <x:v>0</x:v>
      </x:c>
      <x:c r="J170" t="n">
        <x:v>0</x:v>
      </x:c>
      <x:c r="K170" t="n">
        <x:v>0</x:v>
      </x:c>
      <x:c r="L170" t="n">
        <x:v>0</x:v>
      </x:c>
      <x:c r="M170" t="n">
        <x:v>0</x:v>
      </x:c>
    </x:row>
    <x:row r="171">
      <x:c r="A171" t="str">
        <x:v>PH|Endurant|8</x:v>
      </x:c>
      <x:c r="B171" t="str">
        <x:v>Physique</x:v>
      </x:c>
      <x:c r="C171" t="str">
        <x:v>Endurant</x:v>
      </x:c>
      <x:c r="D171" t="n">
        <x:v>8</x:v>
      </x:c>
      <x:c r="E171" t="n">
        <x:v>2</x:v>
      </x:c>
      <x:c r="F171" t="n">
        <x:v>0</x:v>
      </x:c>
      <x:c r="G171" t="n">
        <x:v>6</x:v>
      </x:c>
      <x:c r="H171" t="n">
        <x:v>0</x:v>
      </x:c>
      <x:c r="I171" t="n">
        <x:v>0</x:v>
      </x:c>
      <x:c r="J171" t="n">
        <x:v>0</x:v>
      </x:c>
      <x:c r="K171" t="n">
        <x:v>0</x:v>
      </x:c>
      <x:c r="L171" t="n">
        <x:v>0</x:v>
      </x:c>
      <x:c r="M171" t="n">
        <x:v>0</x:v>
      </x:c>
    </x:row>
    <x:row r="172">
      <x:c r="A172" t="str">
        <x:v>PH|Endurant|9</x:v>
      </x:c>
      <x:c r="B172" t="str">
        <x:v>Physique</x:v>
      </x:c>
      <x:c r="C172" t="str">
        <x:v>Endurant</x:v>
      </x:c>
      <x:c r="D172" t="n">
        <x:v>9</x:v>
      </x:c>
      <x:c r="E172" t="n">
        <x:v>3</x:v>
      </x:c>
      <x:c r="F172" t="n">
        <x:v>0</x:v>
      </x:c>
      <x:c r="G172" t="n">
        <x:v>6</x:v>
      </x:c>
      <x:c r="H172" t="n">
        <x:v>0</x:v>
      </x:c>
      <x:c r="I172" t="n">
        <x:v>0</x:v>
      </x:c>
      <x:c r="J172" t="n">
        <x:v>0</x:v>
      </x:c>
      <x:c r="K172" t="n">
        <x:v>0</x:v>
      </x:c>
      <x:c r="L172" t="n">
        <x:v>0</x:v>
      </x:c>
      <x:c r="M172" t="n">
        <x:v>0</x:v>
      </x:c>
    </x:row>
    <x:row r="173">
      <x:c r="A173" t="str">
        <x:v>PH|Endurant|10</x:v>
      </x:c>
      <x:c r="B173" t="str">
        <x:v>Physique</x:v>
      </x:c>
      <x:c r="C173" t="str">
        <x:v>Endurant</x:v>
      </x:c>
      <x:c r="D173" t="n">
        <x:v>10</x:v>
      </x:c>
      <x:c r="E173" t="n">
        <x:v>3</x:v>
      </x:c>
      <x:c r="F173" t="n">
        <x:v>0</x:v>
      </x:c>
      <x:c r="G173" t="n">
        <x:v>7</x:v>
      </x:c>
      <x:c r="H173" t="n">
        <x:v>0</x:v>
      </x:c>
      <x:c r="I173" t="n">
        <x:v>0</x:v>
      </x:c>
      <x:c r="J173" t="n">
        <x:v>0</x:v>
      </x:c>
      <x:c r="K173" t="n">
        <x:v>0</x:v>
      </x:c>
      <x:c r="L173" t="n">
        <x:v>0</x:v>
      </x:c>
      <x:c r="M173" t="n">
        <x:v>0</x:v>
      </x:c>
    </x:row>
    <x:row r="174">
      <x:c r="A174" t="str">
        <x:v>PH|Endurant|11</x:v>
      </x:c>
      <x:c r="B174" t="str">
        <x:v>Physique</x:v>
      </x:c>
      <x:c r="C174" t="str">
        <x:v>Endurant</x:v>
      </x:c>
      <x:c r="D174" t="n">
        <x:v>11</x:v>
      </x:c>
      <x:c r="E174" t="n">
        <x:v>3</x:v>
      </x:c>
      <x:c r="F174" t="n">
        <x:v>0</x:v>
      </x:c>
      <x:c r="G174" t="n">
        <x:v>8</x:v>
      </x:c>
      <x:c r="H174" t="n">
        <x:v>0</x:v>
      </x:c>
      <x:c r="I174" t="n">
        <x:v>0</x:v>
      </x:c>
      <x:c r="J174" t="n">
        <x:v>0</x:v>
      </x:c>
      <x:c r="K174" t="n">
        <x:v>0</x:v>
      </x:c>
      <x:c r="L174" t="n">
        <x:v>0</x:v>
      </x:c>
      <x:c r="M174" t="n">
        <x:v>0</x:v>
      </x:c>
    </x:row>
    <x:row r="175">
      <x:c r="A175" t="str">
        <x:v>PH|Endurant|12</x:v>
      </x:c>
      <x:c r="B175" t="str">
        <x:v>Physique</x:v>
      </x:c>
      <x:c r="C175" t="str">
        <x:v>Endurant</x:v>
      </x:c>
      <x:c r="D175" t="n">
        <x:v>12</x:v>
      </x:c>
      <x:c r="E175" t="n">
        <x:v>4</x:v>
      </x:c>
      <x:c r="F175" t="n">
        <x:v>0</x:v>
      </x:c>
      <x:c r="G175" t="n">
        <x:v>8</x:v>
      </x:c>
      <x:c r="H175" t="n">
        <x:v>0</x:v>
      </x:c>
      <x:c r="I175" t="n">
        <x:v>0</x:v>
      </x:c>
      <x:c r="J175" t="n">
        <x:v>0</x:v>
      </x:c>
      <x:c r="K175" t="n">
        <x:v>0</x:v>
      </x:c>
      <x:c r="L175" t="n">
        <x:v>0</x:v>
      </x:c>
      <x:c r="M175" t="n">
        <x:v>0</x:v>
      </x:c>
    </x:row>
    <x:row r="176">
      <x:c r="A176" t="str">
        <x:v>PH|Endurant|13</x:v>
      </x:c>
      <x:c r="B176" t="str">
        <x:v>Physique</x:v>
      </x:c>
      <x:c r="C176" t="str">
        <x:v>Endurant</x:v>
      </x:c>
      <x:c r="D176" t="n">
        <x:v>13</x:v>
      </x:c>
      <x:c r="E176" t="n">
        <x:v>4</x:v>
      </x:c>
      <x:c r="F176" t="n">
        <x:v>0</x:v>
      </x:c>
      <x:c r="G176" t="n">
        <x:v>9</x:v>
      </x:c>
      <x:c r="H176" t="n">
        <x:v>0</x:v>
      </x:c>
      <x:c r="I176" t="n">
        <x:v>0</x:v>
      </x:c>
      <x:c r="J176" t="n">
        <x:v>0</x:v>
      </x:c>
      <x:c r="K176" t="n">
        <x:v>0</x:v>
      </x:c>
      <x:c r="L176" t="n">
        <x:v>0</x:v>
      </x:c>
      <x:c r="M176" t="n">
        <x:v>0</x:v>
      </x:c>
    </x:row>
    <x:row r="177">
      <x:c r="A177" t="str">
        <x:v>PH|Endurant|14</x:v>
      </x:c>
      <x:c r="B177" t="str">
        <x:v>Physique</x:v>
      </x:c>
      <x:c r="C177" t="str">
        <x:v>Endurant</x:v>
      </x:c>
      <x:c r="D177" t="n">
        <x:v>14</x:v>
      </x:c>
      <x:c r="E177" t="n">
        <x:v>4</x:v>
      </x:c>
      <x:c r="F177" t="n">
        <x:v>0</x:v>
      </x:c>
      <x:c r="G177" t="n">
        <x:v>10</x:v>
      </x:c>
      <x:c r="H177" t="n">
        <x:v>0</x:v>
      </x:c>
      <x:c r="I177" t="n">
        <x:v>0</x:v>
      </x:c>
      <x:c r="J177" t="n">
        <x:v>0</x:v>
      </x:c>
      <x:c r="K177" t="n">
        <x:v>0</x:v>
      </x:c>
      <x:c r="L177" t="n">
        <x:v>0</x:v>
      </x:c>
      <x:c r="M177" t="n">
        <x:v>0</x:v>
      </x:c>
    </x:row>
    <x:row r="178">
      <x:c r="A178" t="str">
        <x:v>PH|Endurant|15</x:v>
      </x:c>
      <x:c r="B178" t="str">
        <x:v>Physique</x:v>
      </x:c>
      <x:c r="C178" t="str">
        <x:v>Endurant</x:v>
      </x:c>
      <x:c r="D178" t="n">
        <x:v>15</x:v>
      </x:c>
      <x:c r="E178" t="n">
        <x:v>5</x:v>
      </x:c>
      <x:c r="F178" t="n">
        <x:v>0</x:v>
      </x:c>
      <x:c r="G178" t="n">
        <x:v>10</x:v>
      </x:c>
      <x:c r="H178" t="n">
        <x:v>0</x:v>
      </x:c>
      <x:c r="I178" t="n">
        <x:v>0</x:v>
      </x:c>
      <x:c r="J178" t="n">
        <x:v>0</x:v>
      </x:c>
      <x:c r="K178" t="n">
        <x:v>0</x:v>
      </x:c>
      <x:c r="L178" t="n">
        <x:v>0</x:v>
      </x:c>
      <x:c r="M178" t="n">
        <x:v>0</x:v>
      </x:c>
    </x:row>
    <x:row r="179">
      <x:c r="A179" t="str">
        <x:v>PH|Endurant|16</x:v>
      </x:c>
      <x:c r="B179" t="str">
        <x:v>Physique</x:v>
      </x:c>
      <x:c r="C179" t="str">
        <x:v>Endurant</x:v>
      </x:c>
      <x:c r="D179" t="n">
        <x:v>16</x:v>
      </x:c>
      <x:c r="E179" t="n">
        <x:v>5</x:v>
      </x:c>
      <x:c r="F179" t="n">
        <x:v>0</x:v>
      </x:c>
      <x:c r="G179" t="n">
        <x:v>11</x:v>
      </x:c>
      <x:c r="H179" t="n">
        <x:v>0</x:v>
      </x:c>
      <x:c r="I179" t="n">
        <x:v>0</x:v>
      </x:c>
      <x:c r="J179" t="n">
        <x:v>0</x:v>
      </x:c>
      <x:c r="K179" t="n">
        <x:v>0</x:v>
      </x:c>
      <x:c r="L179" t="n">
        <x:v>0</x:v>
      </x:c>
      <x:c r="M179" t="n">
        <x:v>0</x:v>
      </x:c>
    </x:row>
    <x:row r="180">
      <x:c r="A180" t="str">
        <x:v>PH|Endurant|17</x:v>
      </x:c>
      <x:c r="B180" t="str">
        <x:v>Physique</x:v>
      </x:c>
      <x:c r="C180" t="str">
        <x:v>Endurant</x:v>
      </x:c>
      <x:c r="D180" t="n">
        <x:v>17</x:v>
      </x:c>
      <x:c r="E180" t="n">
        <x:v>5</x:v>
      </x:c>
      <x:c r="F180" t="n">
        <x:v>0</x:v>
      </x:c>
      <x:c r="G180" t="n">
        <x:v>12</x:v>
      </x:c>
      <x:c r="H180" t="n">
        <x:v>0</x:v>
      </x:c>
      <x:c r="I180" t="n">
        <x:v>0</x:v>
      </x:c>
      <x:c r="J180" t="n">
        <x:v>0</x:v>
      </x:c>
      <x:c r="K180" t="n">
        <x:v>0</x:v>
      </x:c>
      <x:c r="L180" t="n">
        <x:v>0</x:v>
      </x:c>
      <x:c r="M180" t="n">
        <x:v>0</x:v>
      </x:c>
    </x:row>
    <x:row r="181">
      <x:c r="A181" t="str">
        <x:v>PH|Endurant|18</x:v>
      </x:c>
      <x:c r="B181" t="str">
        <x:v>Physique</x:v>
      </x:c>
      <x:c r="C181" t="str">
        <x:v>Endurant</x:v>
      </x:c>
      <x:c r="D181" t="n">
        <x:v>18</x:v>
      </x:c>
      <x:c r="E181" t="n">
        <x:v>5</x:v>
      </x:c>
      <x:c r="F181" t="n">
        <x:v>0</x:v>
      </x:c>
      <x:c r="G181" t="n">
        <x:v>13</x:v>
      </x:c>
      <x:c r="H181" t="n">
        <x:v>0</x:v>
      </x:c>
      <x:c r="I181" t="n">
        <x:v>0</x:v>
      </x:c>
      <x:c r="J181" t="n">
        <x:v>0</x:v>
      </x:c>
      <x:c r="K181" t="n">
        <x:v>0</x:v>
      </x:c>
      <x:c r="L181" t="n">
        <x:v>0</x:v>
      </x:c>
      <x:c r="M181" t="n">
        <x:v>0</x:v>
      </x:c>
    </x:row>
    <x:row r="182">
      <x:c r="A182" t="str">
        <x:v>PH|Endurant|19</x:v>
      </x:c>
      <x:c r="B182" t="str">
        <x:v>Physique</x:v>
      </x:c>
      <x:c r="C182" t="str">
        <x:v>Endurant</x:v>
      </x:c>
      <x:c r="D182" t="n">
        <x:v>19</x:v>
      </x:c>
      <x:c r="E182" t="n">
        <x:v>6</x:v>
      </x:c>
      <x:c r="F182" t="n">
        <x:v>0</x:v>
      </x:c>
      <x:c r="G182" t="n">
        <x:v>13</x:v>
      </x:c>
      <x:c r="H182" t="n">
        <x:v>0</x:v>
      </x:c>
      <x:c r="I182" t="n">
        <x:v>0</x:v>
      </x:c>
      <x:c r="J182" t="n">
        <x:v>0</x:v>
      </x:c>
      <x:c r="K182" t="n">
        <x:v>0</x:v>
      </x:c>
      <x:c r="L182" t="n">
        <x:v>0</x:v>
      </x:c>
      <x:c r="M182" t="n">
        <x:v>0</x:v>
      </x:c>
    </x:row>
    <x:row r="183">
      <x:c r="A183" t="str">
        <x:v>PH|Endurant|20</x:v>
      </x:c>
      <x:c r="B183" t="str">
        <x:v>Physique</x:v>
      </x:c>
      <x:c r="C183" t="str">
        <x:v>Endurant</x:v>
      </x:c>
      <x:c r="D183" t="n">
        <x:v>20</x:v>
      </x:c>
      <x:c r="E183" t="n">
        <x:v>6</x:v>
      </x:c>
      <x:c r="F183" t="n">
        <x:v>0</x:v>
      </x:c>
      <x:c r="G183" t="n">
        <x:v>14</x:v>
      </x:c>
      <x:c r="H183" t="n">
        <x:v>0</x:v>
      </x:c>
      <x:c r="I183" t="n">
        <x:v>0</x:v>
      </x:c>
      <x:c r="J183" t="n">
        <x:v>0</x:v>
      </x:c>
      <x:c r="K183" t="n">
        <x:v>0</x:v>
      </x:c>
      <x:c r="L183" t="n">
        <x:v>0</x:v>
      </x:c>
      <x:c r="M183" t="n">
        <x:v>0</x:v>
      </x:c>
    </x:row>
    <x:row r="184">
      <x:c r="A184" t="str">
        <x:v>PH|Endurant|21</x:v>
      </x:c>
      <x:c r="B184" t="str">
        <x:v>Physique</x:v>
      </x:c>
      <x:c r="C184" t="str">
        <x:v>Endurant</x:v>
      </x:c>
      <x:c r="D184" t="n">
        <x:v>21</x:v>
      </x:c>
      <x:c r="E184" t="n">
        <x:v>6</x:v>
      </x:c>
      <x:c r="F184" t="n">
        <x:v>0</x:v>
      </x:c>
      <x:c r="G184" t="n">
        <x:v>15</x:v>
      </x:c>
      <x:c r="H184" t="n">
        <x:v>0</x:v>
      </x:c>
      <x:c r="I184" t="n">
        <x:v>0</x:v>
      </x:c>
      <x:c r="J184" t="n">
        <x:v>0</x:v>
      </x:c>
      <x:c r="K184" t="n">
        <x:v>0</x:v>
      </x:c>
      <x:c r="L184" t="n">
        <x:v>0</x:v>
      </x:c>
      <x:c r="M184" t="n">
        <x:v>0</x:v>
      </x:c>
    </x:row>
    <x:row r="185">
      <x:c r="A185" t="str">
        <x:v>PH|Mutant|0</x:v>
      </x:c>
      <x:c r="B185" t="str">
        <x:v>Physique</x:v>
      </x:c>
      <x:c r="C185" t="str">
        <x:v>Mutant</x:v>
      </x:c>
      <x:c r="D185" t="n">
        <x:v>0</x:v>
      </x:c>
      <x:c r="E185" t="n">
        <x:v>0</x:v>
      </x:c>
      <x:c r="F185" t="n">
        <x:v>0</x:v>
      </x:c>
      <x:c r="G185" t="n">
        <x:v>0</x:v>
      </x:c>
      <x:c r="H185" t="n">
        <x:v>0</x:v>
      </x:c>
      <x:c r="I185" t="n">
        <x:v>0</x:v>
      </x:c>
      <x:c r="J185" t="n">
        <x:v>0</x:v>
      </x:c>
      <x:c r="K185" t="n">
        <x:v>0</x:v>
      </x:c>
      <x:c r="L185" t="n">
        <x:v>0</x:v>
      </x:c>
      <x:c r="M185" t="n">
        <x:v>0</x:v>
      </x:c>
    </x:row>
    <x:row r="186">
      <x:c r="A186" t="str">
        <x:v>PH|Mutant|1</x:v>
      </x:c>
      <x:c r="B186" t="str">
        <x:v>Physique</x:v>
      </x:c>
      <x:c r="C186" t="str">
        <x:v>Mutant</x:v>
      </x:c>
      <x:c r="D186" t="n">
        <x:v>1</x:v>
      </x:c>
      <x:c r="E186" t="n">
        <x:v>0</x:v>
      </x:c>
      <x:c r="F186" t="n">
        <x:v>0</x:v>
      </x:c>
      <x:c r="G186" t="n">
        <x:v>1</x:v>
      </x:c>
      <x:c r="H186" t="n">
        <x:v>0</x:v>
      </x:c>
      <x:c r="I186" t="n">
        <x:v>0</x:v>
      </x:c>
      <x:c r="J186" t="n">
        <x:v>0</x:v>
      </x:c>
      <x:c r="K186" t="n">
        <x:v>0</x:v>
      </x:c>
      <x:c r="L186" t="n">
        <x:v>0</x:v>
      </x:c>
      <x:c r="M186" t="n">
        <x:v>0</x:v>
      </x:c>
    </x:row>
    <x:row r="187">
      <x:c r="A187" t="str">
        <x:v>PH|Mutant|2</x:v>
      </x:c>
      <x:c r="B187" t="str">
        <x:v>Physique</x:v>
      </x:c>
      <x:c r="C187" t="str">
        <x:v>Mutant</x:v>
      </x:c>
      <x:c r="D187" t="n">
        <x:v>2</x:v>
      </x:c>
      <x:c r="E187" t="n">
        <x:v>1</x:v>
      </x:c>
      <x:c r="F187" t="n">
        <x:v>0</x:v>
      </x:c>
      <x:c r="G187" t="n">
        <x:v>1</x:v>
      </x:c>
      <x:c r="H187" t="n">
        <x:v>0</x:v>
      </x:c>
      <x:c r="I187" t="n">
        <x:v>0</x:v>
      </x:c>
      <x:c r="J187" t="n">
        <x:v>0</x:v>
      </x:c>
      <x:c r="K187" t="n">
        <x:v>0</x:v>
      </x:c>
      <x:c r="L187" t="n">
        <x:v>0</x:v>
      </x:c>
      <x:c r="M187" t="n">
        <x:v>0</x:v>
      </x:c>
    </x:row>
    <x:row r="188">
      <x:c r="A188" t="str">
        <x:v>PH|Mutant|3</x:v>
      </x:c>
      <x:c r="B188" t="str">
        <x:v>Physique</x:v>
      </x:c>
      <x:c r="C188" t="str">
        <x:v>Mutant</x:v>
      </x:c>
      <x:c r="D188" t="n">
        <x:v>3</x:v>
      </x:c>
      <x:c r="E188" t="n">
        <x:v>1</x:v>
      </x:c>
      <x:c r="F188" t="n">
        <x:v>0</x:v>
      </x:c>
      <x:c r="G188" t="n">
        <x:v>2</x:v>
      </x:c>
      <x:c r="H188" t="n">
        <x:v>0</x:v>
      </x:c>
      <x:c r="I188" t="n">
        <x:v>0</x:v>
      </x:c>
      <x:c r="J188" t="n">
        <x:v>0</x:v>
      </x:c>
      <x:c r="K188" t="n">
        <x:v>0</x:v>
      </x:c>
      <x:c r="L188" t="n">
        <x:v>0</x:v>
      </x:c>
      <x:c r="M188" t="n">
        <x:v>0</x:v>
      </x:c>
    </x:row>
    <x:row r="189">
      <x:c r="A189" t="str">
        <x:v>PH|Mutant|4</x:v>
      </x:c>
      <x:c r="B189" t="str">
        <x:v>Physique</x:v>
      </x:c>
      <x:c r="C189" t="str">
        <x:v>Mutant</x:v>
      </x:c>
      <x:c r="D189" t="n">
        <x:v>4</x:v>
      </x:c>
      <x:c r="E189" t="n">
        <x:v>1</x:v>
      </x:c>
      <x:c r="F189" t="n">
        <x:v>1</x:v>
      </x:c>
      <x:c r="G189" t="n">
        <x:v>2</x:v>
      </x:c>
      <x:c r="H189" t="n">
        <x:v>0</x:v>
      </x:c>
      <x:c r="I189" t="n">
        <x:v>0</x:v>
      </x:c>
      <x:c r="J189" t="n">
        <x:v>0</x:v>
      </x:c>
      <x:c r="K189" t="n">
        <x:v>0</x:v>
      </x:c>
      <x:c r="L189" t="n">
        <x:v>0</x:v>
      </x:c>
      <x:c r="M189" t="n">
        <x:v>0</x:v>
      </x:c>
    </x:row>
    <x:row r="190">
      <x:c r="A190" t="str">
        <x:v>PH|Mutant|5</x:v>
      </x:c>
      <x:c r="B190" t="str">
        <x:v>Physique</x:v>
      </x:c>
      <x:c r="C190" t="str">
        <x:v>Mutant</x:v>
      </x:c>
      <x:c r="D190" t="n">
        <x:v>5</x:v>
      </x:c>
      <x:c r="E190" t="n">
        <x:v>1</x:v>
      </x:c>
      <x:c r="F190" t="n">
        <x:v>1</x:v>
      </x:c>
      <x:c r="G190" t="n">
        <x:v>3</x:v>
      </x:c>
      <x:c r="H190" t="n">
        <x:v>0</x:v>
      </x:c>
      <x:c r="I190" t="n">
        <x:v>0</x:v>
      </x:c>
      <x:c r="J190" t="n">
        <x:v>0</x:v>
      </x:c>
      <x:c r="K190" t="n">
        <x:v>0</x:v>
      </x:c>
      <x:c r="L190" t="n">
        <x:v>0</x:v>
      </x:c>
      <x:c r="M190" t="n">
        <x:v>0</x:v>
      </x:c>
    </x:row>
    <x:row r="191">
      <x:c r="A191" t="str">
        <x:v>PH|Mutant|6</x:v>
      </x:c>
      <x:c r="B191" t="str">
        <x:v>Physique</x:v>
      </x:c>
      <x:c r="C191" t="str">
        <x:v>Mutant</x:v>
      </x:c>
      <x:c r="D191" t="n">
        <x:v>6</x:v>
      </x:c>
      <x:c r="E191" t="n">
        <x:v>1</x:v>
      </x:c>
      <x:c r="F191" t="n">
        <x:v>1</x:v>
      </x:c>
      <x:c r="G191" t="n">
        <x:v>4</x:v>
      </x:c>
      <x:c r="H191" t="n">
        <x:v>0</x:v>
      </x:c>
      <x:c r="I191" t="n">
        <x:v>0</x:v>
      </x:c>
      <x:c r="J191" t="n">
        <x:v>0</x:v>
      </x:c>
      <x:c r="K191" t="n">
        <x:v>0</x:v>
      </x:c>
      <x:c r="L191" t="n">
        <x:v>0</x:v>
      </x:c>
      <x:c r="M191" t="n">
        <x:v>0</x:v>
      </x:c>
    </x:row>
    <x:row r="192">
      <x:c r="A192" t="str">
        <x:v>PH|Mutant|7</x:v>
      </x:c>
      <x:c r="B192" t="str">
        <x:v>Physique</x:v>
      </x:c>
      <x:c r="C192" t="str">
        <x:v>Mutant</x:v>
      </x:c>
      <x:c r="D192" t="n">
        <x:v>7</x:v>
      </x:c>
      <x:c r="E192" t="n">
        <x:v>2</x:v>
      </x:c>
      <x:c r="F192" t="n">
        <x:v>1</x:v>
      </x:c>
      <x:c r="G192" t="n">
        <x:v>4</x:v>
      </x:c>
      <x:c r="H192" t="n">
        <x:v>0</x:v>
      </x:c>
      <x:c r="I192" t="n">
        <x:v>0</x:v>
      </x:c>
      <x:c r="J192" t="n">
        <x:v>0</x:v>
      </x:c>
      <x:c r="K192" t="n">
        <x:v>0</x:v>
      </x:c>
      <x:c r="L192" t="n">
        <x:v>0</x:v>
      </x:c>
      <x:c r="M192" t="n">
        <x:v>0</x:v>
      </x:c>
    </x:row>
    <x:row r="193">
      <x:c r="A193" t="str">
        <x:v>PH|Mutant|8</x:v>
      </x:c>
      <x:c r="B193" t="str">
        <x:v>Physique</x:v>
      </x:c>
      <x:c r="C193" t="str">
        <x:v>Mutant</x:v>
      </x:c>
      <x:c r="D193" t="n">
        <x:v>8</x:v>
      </x:c>
      <x:c r="E193" t="n">
        <x:v>2</x:v>
      </x:c>
      <x:c r="F193" t="n">
        <x:v>1</x:v>
      </x:c>
      <x:c r="G193" t="n">
        <x:v>5</x:v>
      </x:c>
      <x:c r="H193" t="n">
        <x:v>0</x:v>
      </x:c>
      <x:c r="I193" t="n">
        <x:v>0</x:v>
      </x:c>
      <x:c r="J193" t="n">
        <x:v>0</x:v>
      </x:c>
      <x:c r="K193" t="n">
        <x:v>0</x:v>
      </x:c>
      <x:c r="L193" t="n">
        <x:v>0</x:v>
      </x:c>
      <x:c r="M193" t="n">
        <x:v>0</x:v>
      </x:c>
    </x:row>
    <x:row r="194">
      <x:c r="A194" t="str">
        <x:v>PH|Mutant|9</x:v>
      </x:c>
      <x:c r="B194" t="str">
        <x:v>Physique</x:v>
      </x:c>
      <x:c r="C194" t="str">
        <x:v>Mutant</x:v>
      </x:c>
      <x:c r="D194" t="n">
        <x:v>9</x:v>
      </x:c>
      <x:c r="E194" t="n">
        <x:v>2</x:v>
      </x:c>
      <x:c r="F194" t="n">
        <x:v>1</x:v>
      </x:c>
      <x:c r="G194" t="n">
        <x:v>6</x:v>
      </x:c>
      <x:c r="H194" t="n">
        <x:v>0</x:v>
      </x:c>
      <x:c r="I194" t="n">
        <x:v>0</x:v>
      </x:c>
      <x:c r="J194" t="n">
        <x:v>0</x:v>
      </x:c>
      <x:c r="K194" t="n">
        <x:v>0</x:v>
      </x:c>
      <x:c r="L194" t="n">
        <x:v>0</x:v>
      </x:c>
      <x:c r="M194" t="n">
        <x:v>0</x:v>
      </x:c>
    </x:row>
    <x:row r="195">
      <x:c r="A195" t="str">
        <x:v>PH|Mutant|10</x:v>
      </x:c>
      <x:c r="B195" t="str">
        <x:v>Physique</x:v>
      </x:c>
      <x:c r="C195" t="str">
        <x:v>Mutant</x:v>
      </x:c>
      <x:c r="D195" t="n">
        <x:v>10</x:v>
      </x:c>
      <x:c r="E195" t="n">
        <x:v>3</x:v>
      </x:c>
      <x:c r="F195" t="n">
        <x:v>1</x:v>
      </x:c>
      <x:c r="G195" t="n">
        <x:v>6</x:v>
      </x:c>
      <x:c r="H195" t="n">
        <x:v>0</x:v>
      </x:c>
      <x:c r="I195" t="n">
        <x:v>0</x:v>
      </x:c>
      <x:c r="J195" t="n">
        <x:v>0</x:v>
      </x:c>
      <x:c r="K195" t="n">
        <x:v>0</x:v>
      </x:c>
      <x:c r="L195" t="n">
        <x:v>0</x:v>
      </x:c>
      <x:c r="M195" t="n">
        <x:v>0</x:v>
      </x:c>
    </x:row>
    <x:row r="196">
      <x:c r="A196" t="str">
        <x:v>PH|Mutant|11</x:v>
      </x:c>
      <x:c r="B196" t="str">
        <x:v>Physique</x:v>
      </x:c>
      <x:c r="C196" t="str">
        <x:v>Mutant</x:v>
      </x:c>
      <x:c r="D196" t="n">
        <x:v>11</x:v>
      </x:c>
      <x:c r="E196" t="n">
        <x:v>3</x:v>
      </x:c>
      <x:c r="F196" t="n">
        <x:v>2</x:v>
      </x:c>
      <x:c r="G196" t="n">
        <x:v>6</x:v>
      </x:c>
      <x:c r="H196" t="n">
        <x:v>0</x:v>
      </x:c>
      <x:c r="I196" t="n">
        <x:v>0</x:v>
      </x:c>
      <x:c r="J196" t="n">
        <x:v>0</x:v>
      </x:c>
      <x:c r="K196" t="n">
        <x:v>0</x:v>
      </x:c>
      <x:c r="L196" t="n">
        <x:v>0</x:v>
      </x:c>
      <x:c r="M196" t="n">
        <x:v>0</x:v>
      </x:c>
    </x:row>
    <x:row r="197">
      <x:c r="A197" t="str">
        <x:v>PH|Mutant|12</x:v>
      </x:c>
      <x:c r="B197" t="str">
        <x:v>Physique</x:v>
      </x:c>
      <x:c r="C197" t="str">
        <x:v>Mutant</x:v>
      </x:c>
      <x:c r="D197" t="n">
        <x:v>12</x:v>
      </x:c>
      <x:c r="E197" t="n">
        <x:v>3</x:v>
      </x:c>
      <x:c r="F197" t="n">
        <x:v>2</x:v>
      </x:c>
      <x:c r="G197" t="n">
        <x:v>7</x:v>
      </x:c>
      <x:c r="H197" t="n">
        <x:v>0</x:v>
      </x:c>
      <x:c r="I197" t="n">
        <x:v>0</x:v>
      </x:c>
      <x:c r="J197" t="n">
        <x:v>0</x:v>
      </x:c>
      <x:c r="K197" t="n">
        <x:v>0</x:v>
      </x:c>
      <x:c r="L197" t="n">
        <x:v>0</x:v>
      </x:c>
      <x:c r="M197" t="n">
        <x:v>0</x:v>
      </x:c>
    </x:row>
    <x:row r="198">
      <x:c r="A198" t="str">
        <x:v>PH|Mutant|13</x:v>
      </x:c>
      <x:c r="B198" t="str">
        <x:v>Physique</x:v>
      </x:c>
      <x:c r="C198" t="str">
        <x:v>Mutant</x:v>
      </x:c>
      <x:c r="D198" t="n">
        <x:v>13</x:v>
      </x:c>
      <x:c r="E198" t="n">
        <x:v>3</x:v>
      </x:c>
      <x:c r="F198" t="n">
        <x:v>2</x:v>
      </x:c>
      <x:c r="G198" t="n">
        <x:v>8</x:v>
      </x:c>
      <x:c r="H198" t="n">
        <x:v>0</x:v>
      </x:c>
      <x:c r="I198" t="n">
        <x:v>0</x:v>
      </x:c>
      <x:c r="J198" t="n">
        <x:v>0</x:v>
      </x:c>
      <x:c r="K198" t="n">
        <x:v>0</x:v>
      </x:c>
      <x:c r="L198" t="n">
        <x:v>0</x:v>
      </x:c>
      <x:c r="M198" t="n">
        <x:v>0</x:v>
      </x:c>
    </x:row>
    <x:row r="199">
      <x:c r="A199" t="str">
        <x:v>PH|Mutant|14</x:v>
      </x:c>
      <x:c r="B199" t="str">
        <x:v>Physique</x:v>
      </x:c>
      <x:c r="C199" t="str">
        <x:v>Mutant</x:v>
      </x:c>
      <x:c r="D199" t="n">
        <x:v>14</x:v>
      </x:c>
      <x:c r="E199" t="n">
        <x:v>4</x:v>
      </x:c>
      <x:c r="F199" t="n">
        <x:v>2</x:v>
      </x:c>
      <x:c r="G199" t="n">
        <x:v>8</x:v>
      </x:c>
      <x:c r="H199" t="n">
        <x:v>0</x:v>
      </x:c>
      <x:c r="I199" t="n">
        <x:v>0</x:v>
      </x:c>
      <x:c r="J199" t="n">
        <x:v>0</x:v>
      </x:c>
      <x:c r="K199" t="n">
        <x:v>0</x:v>
      </x:c>
      <x:c r="L199" t="n">
        <x:v>0</x:v>
      </x:c>
      <x:c r="M199" t="n">
        <x:v>0</x:v>
      </x:c>
    </x:row>
    <x:row r="200">
      <x:c r="A200" t="str">
        <x:v>PH|Mutant|15</x:v>
      </x:c>
      <x:c r="B200" t="str">
        <x:v>Physique</x:v>
      </x:c>
      <x:c r="C200" t="str">
        <x:v>Mutant</x:v>
      </x:c>
      <x:c r="D200" t="n">
        <x:v>15</x:v>
      </x:c>
      <x:c r="E200" t="n">
        <x:v>4</x:v>
      </x:c>
      <x:c r="F200" t="n">
        <x:v>2</x:v>
      </x:c>
      <x:c r="G200" t="n">
        <x:v>9</x:v>
      </x:c>
      <x:c r="H200" t="n">
        <x:v>0</x:v>
      </x:c>
      <x:c r="I200" t="n">
        <x:v>0</x:v>
      </x:c>
      <x:c r="J200" t="n">
        <x:v>0</x:v>
      </x:c>
      <x:c r="K200" t="n">
        <x:v>0</x:v>
      </x:c>
      <x:c r="L200" t="n">
        <x:v>0</x:v>
      </x:c>
      <x:c r="M200" t="n">
        <x:v>0</x:v>
      </x:c>
    </x:row>
    <x:row r="201">
      <x:c r="A201" t="str">
        <x:v>PH|Mutant|16</x:v>
      </x:c>
      <x:c r="B201" t="str">
        <x:v>Physique</x:v>
      </x:c>
      <x:c r="C201" t="str">
        <x:v>Mutant</x:v>
      </x:c>
      <x:c r="D201" t="n">
        <x:v>16</x:v>
      </x:c>
      <x:c r="E201" t="n">
        <x:v>4</x:v>
      </x:c>
      <x:c r="F201" t="n">
        <x:v>2</x:v>
      </x:c>
      <x:c r="G201" t="n">
        <x:v>10</x:v>
      </x:c>
      <x:c r="H201" t="n">
        <x:v>0</x:v>
      </x:c>
      <x:c r="I201" t="n">
        <x:v>0</x:v>
      </x:c>
      <x:c r="J201" t="n">
        <x:v>0</x:v>
      </x:c>
      <x:c r="K201" t="n">
        <x:v>0</x:v>
      </x:c>
      <x:c r="L201" t="n">
        <x:v>0</x:v>
      </x:c>
      <x:c r="M201" t="n">
        <x:v>0</x:v>
      </x:c>
    </x:row>
    <x:row r="202">
      <x:c r="A202" t="str">
        <x:v>PH|Mutant|17</x:v>
      </x:c>
      <x:c r="B202" t="str">
        <x:v>Physique</x:v>
      </x:c>
      <x:c r="C202" t="str">
        <x:v>Mutant</x:v>
      </x:c>
      <x:c r="D202" t="n">
        <x:v>17</x:v>
      </x:c>
      <x:c r="E202" t="n">
        <x:v>4</x:v>
      </x:c>
      <x:c r="F202" t="n">
        <x:v>3</x:v>
      </x:c>
      <x:c r="G202" t="n">
        <x:v>10</x:v>
      </x:c>
      <x:c r="H202" t="n">
        <x:v>0</x:v>
      </x:c>
      <x:c r="I202" t="n">
        <x:v>0</x:v>
      </x:c>
      <x:c r="J202" t="n">
        <x:v>0</x:v>
      </x:c>
      <x:c r="K202" t="n">
        <x:v>0</x:v>
      </x:c>
      <x:c r="L202" t="n">
        <x:v>0</x:v>
      </x:c>
      <x:c r="M202" t="n">
        <x:v>0</x:v>
      </x:c>
    </x:row>
    <x:row r="203">
      <x:c r="A203" t="str">
        <x:v>PH|Mutant|18</x:v>
      </x:c>
      <x:c r="B203" t="str">
        <x:v>Physique</x:v>
      </x:c>
      <x:c r="C203" t="str">
        <x:v>Mutant</x:v>
      </x:c>
      <x:c r="D203" t="n">
        <x:v>18</x:v>
      </x:c>
      <x:c r="E203" t="n">
        <x:v>4</x:v>
      </x:c>
      <x:c r="F203" t="n">
        <x:v>3</x:v>
      </x:c>
      <x:c r="G203" t="n">
        <x:v>11</x:v>
      </x:c>
      <x:c r="H203" t="n">
        <x:v>0</x:v>
      </x:c>
      <x:c r="I203" t="n">
        <x:v>0</x:v>
      </x:c>
      <x:c r="J203" t="n">
        <x:v>0</x:v>
      </x:c>
      <x:c r="K203" t="n">
        <x:v>0</x:v>
      </x:c>
      <x:c r="L203" t="n">
        <x:v>0</x:v>
      </x:c>
      <x:c r="M203" t="n">
        <x:v>0</x:v>
      </x:c>
    </x:row>
    <x:row r="204">
      <x:c r="A204" t="str">
        <x:v>PH|Mutant|19</x:v>
      </x:c>
      <x:c r="B204" t="str">
        <x:v>Physique</x:v>
      </x:c>
      <x:c r="C204" t="str">
        <x:v>Mutant</x:v>
      </x:c>
      <x:c r="D204" t="n">
        <x:v>19</x:v>
      </x:c>
      <x:c r="E204" t="n">
        <x:v>5</x:v>
      </x:c>
      <x:c r="F204" t="n">
        <x:v>3</x:v>
      </x:c>
      <x:c r="G204" t="n">
        <x:v>11</x:v>
      </x:c>
      <x:c r="H204" t="n">
        <x:v>0</x:v>
      </x:c>
      <x:c r="I204" t="n">
        <x:v>0</x:v>
      </x:c>
      <x:c r="J204" t="n">
        <x:v>0</x:v>
      </x:c>
      <x:c r="K204" t="n">
        <x:v>0</x:v>
      </x:c>
      <x:c r="L204" t="n">
        <x:v>0</x:v>
      </x:c>
      <x:c r="M204" t="n">
        <x:v>0</x:v>
      </x:c>
    </x:row>
    <x:row r="205">
      <x:c r="A205" t="str">
        <x:v>PH|Mutant|20</x:v>
      </x:c>
      <x:c r="B205" t="str">
        <x:v>Physique</x:v>
      </x:c>
      <x:c r="C205" t="str">
        <x:v>Mutant</x:v>
      </x:c>
      <x:c r="D205" t="n">
        <x:v>20</x:v>
      </x:c>
      <x:c r="E205" t="n">
        <x:v>5</x:v>
      </x:c>
      <x:c r="F205" t="n">
        <x:v>3</x:v>
      </x:c>
      <x:c r="G205" t="n">
        <x:v>12</x:v>
      </x:c>
      <x:c r="H205" t="n">
        <x:v>0</x:v>
      </x:c>
      <x:c r="I205" t="n">
        <x:v>0</x:v>
      </x:c>
      <x:c r="J205" t="n">
        <x:v>0</x:v>
      </x:c>
      <x:c r="K205" t="n">
        <x:v>0</x:v>
      </x:c>
      <x:c r="L205" t="n">
        <x:v>0</x:v>
      </x:c>
      <x:c r="M205" t="n">
        <x:v>0</x:v>
      </x:c>
    </x:row>
    <x:row r="206">
      <x:c r="A206" t="str">
        <x:v>PH|Mutant|21</x:v>
      </x:c>
      <x:c r="B206" t="str">
        <x:v>Physique</x:v>
      </x:c>
      <x:c r="C206" t="str">
        <x:v>Mutant</x:v>
      </x:c>
      <x:c r="D206" t="n">
        <x:v>21</x:v>
      </x:c>
      <x:c r="E206" t="n">
        <x:v>5</x:v>
      </x:c>
      <x:c r="F206" t="n">
        <x:v>3</x:v>
      </x:c>
      <x:c r="G206" t="n">
        <x:v>13</x:v>
      </x:c>
      <x:c r="H206" t="n">
        <x:v>0</x:v>
      </x:c>
      <x:c r="I206" t="n">
        <x:v>0</x:v>
      </x:c>
      <x:c r="J206" t="n">
        <x:v>0</x:v>
      </x:c>
      <x:c r="K206" t="n">
        <x:v>0</x:v>
      </x:c>
      <x:c r="L206" t="n">
        <x:v>0</x:v>
      </x:c>
      <x:c r="M206" t="n">
        <x:v>0</x:v>
      </x:c>
    </x:row>
    <x:row r="207">
      <x:c r="A207" t="str">
        <x:v>PH|Tireur|0</x:v>
      </x:c>
      <x:c r="B207" t="str">
        <x:v>Physique</x:v>
      </x:c>
      <x:c r="C207" t="str">
        <x:v>Tireur</x:v>
      </x:c>
      <x:c r="D207" t="n">
        <x:v>0</x:v>
      </x:c>
      <x:c r="E207" t="n">
        <x:v>0</x:v>
      </x:c>
      <x:c r="F207" t="n">
        <x:v>0</x:v>
      </x:c>
      <x:c r="G207" t="n">
        <x:v>0</x:v>
      </x:c>
      <x:c r="H207" t="n">
        <x:v>0</x:v>
      </x:c>
      <x:c r="I207" t="n">
        <x:v>0</x:v>
      </x:c>
      <x:c r="J207" t="n">
        <x:v>0</x:v>
      </x:c>
      <x:c r="K207" t="n">
        <x:v>0</x:v>
      </x:c>
      <x:c r="L207" t="n">
        <x:v>0</x:v>
      </x:c>
      <x:c r="M207" t="n">
        <x:v>0</x:v>
      </x:c>
    </x:row>
    <x:row r="208">
      <x:c r="A208" t="str">
        <x:v>PH|Tireur|1</x:v>
      </x:c>
      <x:c r="B208" t="str">
        <x:v>Physique</x:v>
      </x:c>
      <x:c r="C208" t="str">
        <x:v>Tireur</x:v>
      </x:c>
      <x:c r="D208" t="n">
        <x:v>1</x:v>
      </x:c>
      <x:c r="E208" t="n">
        <x:v>0</x:v>
      </x:c>
      <x:c r="F208" t="n">
        <x:v>1</x:v>
      </x:c>
      <x:c r="G208" t="n">
        <x:v>0</x:v>
      </x:c>
      <x:c r="H208" t="n">
        <x:v>0</x:v>
      </x:c>
      <x:c r="I208" t="n">
        <x:v>0</x:v>
      </x:c>
      <x:c r="J208" t="n">
        <x:v>0</x:v>
      </x:c>
      <x:c r="K208" t="n">
        <x:v>0</x:v>
      </x:c>
      <x:c r="L208" t="n">
        <x:v>0</x:v>
      </x:c>
      <x:c r="M208" t="n">
        <x:v>0</x:v>
      </x:c>
    </x:row>
    <x:row r="209">
      <x:c r="A209" t="str">
        <x:v>PH|Tireur|2</x:v>
      </x:c>
      <x:c r="B209" t="str">
        <x:v>Physique</x:v>
      </x:c>
      <x:c r="C209" t="str">
        <x:v>Tireur</x:v>
      </x:c>
      <x:c r="D209" t="n">
        <x:v>2</x:v>
      </x:c>
      <x:c r="E209" t="n">
        <x:v>0</x:v>
      </x:c>
      <x:c r="F209" t="n">
        <x:v>2</x:v>
      </x:c>
      <x:c r="G209" t="n">
        <x:v>0</x:v>
      </x:c>
      <x:c r="H209" t="n">
        <x:v>0</x:v>
      </x:c>
      <x:c r="I209" t="n">
        <x:v>0</x:v>
      </x:c>
      <x:c r="J209" t="n">
        <x:v>0</x:v>
      </x:c>
      <x:c r="K209" t="n">
        <x:v>0</x:v>
      </x:c>
      <x:c r="L209" t="n">
        <x:v>0</x:v>
      </x:c>
      <x:c r="M209" t="n">
        <x:v>0</x:v>
      </x:c>
    </x:row>
    <x:row r="210">
      <x:c r="A210" t="str">
        <x:v>PH|Tireur|3</x:v>
      </x:c>
      <x:c r="B210" t="str">
        <x:v>Physique</x:v>
      </x:c>
      <x:c r="C210" t="str">
        <x:v>Tireur</x:v>
      </x:c>
      <x:c r="D210" t="n">
        <x:v>3</x:v>
      </x:c>
      <x:c r="E210" t="n">
        <x:v>0</x:v>
      </x:c>
      <x:c r="F210" t="n">
        <x:v>2</x:v>
      </x:c>
      <x:c r="G210" t="n">
        <x:v>1</x:v>
      </x:c>
      <x:c r="H210" t="n">
        <x:v>0</x:v>
      </x:c>
      <x:c r="I210" t="n">
        <x:v>0</x:v>
      </x:c>
      <x:c r="J210" t="n">
        <x:v>0</x:v>
      </x:c>
      <x:c r="K210" t="n">
        <x:v>0</x:v>
      </x:c>
      <x:c r="L210" t="n">
        <x:v>0</x:v>
      </x:c>
      <x:c r="M210" t="n">
        <x:v>0</x:v>
      </x:c>
    </x:row>
    <x:row r="211">
      <x:c r="A211" t="str">
        <x:v>PH|Tireur|4</x:v>
      </x:c>
      <x:c r="B211" t="str">
        <x:v>Physique</x:v>
      </x:c>
      <x:c r="C211" t="str">
        <x:v>Tireur</x:v>
      </x:c>
      <x:c r="D211" t="n">
        <x:v>4</x:v>
      </x:c>
      <x:c r="E211" t="n">
        <x:v>0</x:v>
      </x:c>
      <x:c r="F211" t="n">
        <x:v>3</x:v>
      </x:c>
      <x:c r="G211" t="n">
        <x:v>1</x:v>
      </x:c>
      <x:c r="H211" t="n">
        <x:v>0</x:v>
      </x:c>
      <x:c r="I211" t="n">
        <x:v>0</x:v>
      </x:c>
      <x:c r="J211" t="n">
        <x:v>0</x:v>
      </x:c>
      <x:c r="K211" t="n">
        <x:v>0</x:v>
      </x:c>
      <x:c r="L211" t="n">
        <x:v>0</x:v>
      </x:c>
      <x:c r="M211" t="n">
        <x:v>0</x:v>
      </x:c>
    </x:row>
    <x:row r="212">
      <x:c r="A212" t="str">
        <x:v>PH|Tireur|5</x:v>
      </x:c>
      <x:c r="B212" t="str">
        <x:v>Physique</x:v>
      </x:c>
      <x:c r="C212" t="str">
        <x:v>Tireur</x:v>
      </x:c>
      <x:c r="D212" t="n">
        <x:v>5</x:v>
      </x:c>
      <x:c r="E212" t="n">
        <x:v>0</x:v>
      </x:c>
      <x:c r="F212" t="n">
        <x:v>4</x:v>
      </x:c>
      <x:c r="G212" t="n">
        <x:v>1</x:v>
      </x:c>
      <x:c r="H212" t="n">
        <x:v>0</x:v>
      </x:c>
      <x:c r="I212" t="n">
        <x:v>0</x:v>
      </x:c>
      <x:c r="J212" t="n">
        <x:v>0</x:v>
      </x:c>
      <x:c r="K212" t="n">
        <x:v>0</x:v>
      </x:c>
      <x:c r="L212" t="n">
        <x:v>0</x:v>
      </x:c>
      <x:c r="M212" t="n">
        <x:v>0</x:v>
      </x:c>
    </x:row>
    <x:row r="213">
      <x:c r="A213" t="str">
        <x:v>PH|Tireur|6</x:v>
      </x:c>
      <x:c r="B213" t="str">
        <x:v>Physique</x:v>
      </x:c>
      <x:c r="C213" t="str">
        <x:v>Tireur</x:v>
      </x:c>
      <x:c r="D213" t="n">
        <x:v>6</x:v>
      </x:c>
      <x:c r="E213" t="n">
        <x:v>0</x:v>
      </x:c>
      <x:c r="F213" t="n">
        <x:v>5</x:v>
      </x:c>
      <x:c r="G213" t="n">
        <x:v>1</x:v>
      </x:c>
      <x:c r="H213" t="n">
        <x:v>0</x:v>
      </x:c>
      <x:c r="I213" t="n">
        <x:v>0</x:v>
      </x:c>
      <x:c r="J213" t="n">
        <x:v>0</x:v>
      </x:c>
      <x:c r="K213" t="n">
        <x:v>0</x:v>
      </x:c>
      <x:c r="L213" t="n">
        <x:v>0</x:v>
      </x:c>
      <x:c r="M213" t="n">
        <x:v>0</x:v>
      </x:c>
    </x:row>
    <x:row r="214">
      <x:c r="A214" t="str">
        <x:v>PH|Tireur|7</x:v>
      </x:c>
      <x:c r="B214" t="str">
        <x:v>Physique</x:v>
      </x:c>
      <x:c r="C214" t="str">
        <x:v>Tireur</x:v>
      </x:c>
      <x:c r="D214" t="n">
        <x:v>7</x:v>
      </x:c>
      <x:c r="E214" t="n">
        <x:v>0</x:v>
      </x:c>
      <x:c r="F214" t="n">
        <x:v>5</x:v>
      </x:c>
      <x:c r="G214" t="n">
        <x:v>2</x:v>
      </x:c>
      <x:c r="H214" t="n">
        <x:v>0</x:v>
      </x:c>
      <x:c r="I214" t="n">
        <x:v>0</x:v>
      </x:c>
      <x:c r="J214" t="n">
        <x:v>0</x:v>
      </x:c>
      <x:c r="K214" t="n">
        <x:v>0</x:v>
      </x:c>
      <x:c r="L214" t="n">
        <x:v>0</x:v>
      </x:c>
      <x:c r="M214" t="n">
        <x:v>0</x:v>
      </x:c>
    </x:row>
    <x:row r="215">
      <x:c r="A215" t="str">
        <x:v>PH|Tireur|8</x:v>
      </x:c>
      <x:c r="B215" t="str">
        <x:v>Physique</x:v>
      </x:c>
      <x:c r="C215" t="str">
        <x:v>Tireur</x:v>
      </x:c>
      <x:c r="D215" t="n">
        <x:v>8</x:v>
      </x:c>
      <x:c r="E215" t="n">
        <x:v>0</x:v>
      </x:c>
      <x:c r="F215" t="n">
        <x:v>6</x:v>
      </x:c>
      <x:c r="G215" t="n">
        <x:v>2</x:v>
      </x:c>
      <x:c r="H215" t="n">
        <x:v>0</x:v>
      </x:c>
      <x:c r="I215" t="n">
        <x:v>0</x:v>
      </x:c>
      <x:c r="J215" t="n">
        <x:v>0</x:v>
      </x:c>
      <x:c r="K215" t="n">
        <x:v>0</x:v>
      </x:c>
      <x:c r="L215" t="n">
        <x:v>0</x:v>
      </x:c>
      <x:c r="M215" t="n">
        <x:v>0</x:v>
      </x:c>
    </x:row>
    <x:row r="216">
      <x:c r="A216" t="str">
        <x:v>PH|Tireur|9</x:v>
      </x:c>
      <x:c r="B216" t="str">
        <x:v>Physique</x:v>
      </x:c>
      <x:c r="C216" t="str">
        <x:v>Tireur</x:v>
      </x:c>
      <x:c r="D216" t="n">
        <x:v>9</x:v>
      </x:c>
      <x:c r="E216" t="n">
        <x:v>0</x:v>
      </x:c>
      <x:c r="F216" t="n">
        <x:v>7</x:v>
      </x:c>
      <x:c r="G216" t="n">
        <x:v>2</x:v>
      </x:c>
      <x:c r="H216" t="n">
        <x:v>0</x:v>
      </x:c>
      <x:c r="I216" t="n">
        <x:v>0</x:v>
      </x:c>
      <x:c r="J216" t="n">
        <x:v>0</x:v>
      </x:c>
      <x:c r="K216" t="n">
        <x:v>0</x:v>
      </x:c>
      <x:c r="L216" t="n">
        <x:v>0</x:v>
      </x:c>
      <x:c r="M216" t="n">
        <x:v>0</x:v>
      </x:c>
    </x:row>
    <x:row r="217">
      <x:c r="A217" t="str">
        <x:v>PH|Tireur|10</x:v>
      </x:c>
      <x:c r="B217" t="str">
        <x:v>Physique</x:v>
      </x:c>
      <x:c r="C217" t="str">
        <x:v>Tireur</x:v>
      </x:c>
      <x:c r="D217" t="n">
        <x:v>10</x:v>
      </x:c>
      <x:c r="E217" t="n">
        <x:v>0</x:v>
      </x:c>
      <x:c r="F217" t="n">
        <x:v>8</x:v>
      </x:c>
      <x:c r="G217" t="n">
        <x:v>2</x:v>
      </x:c>
      <x:c r="H217" t="n">
        <x:v>0</x:v>
      </x:c>
      <x:c r="I217" t="n">
        <x:v>0</x:v>
      </x:c>
      <x:c r="J217" t="n">
        <x:v>0</x:v>
      </x:c>
      <x:c r="K217" t="n">
        <x:v>0</x:v>
      </x:c>
      <x:c r="L217" t="n">
        <x:v>0</x:v>
      </x:c>
      <x:c r="M217" t="n">
        <x:v>0</x:v>
      </x:c>
    </x:row>
    <x:row r="218">
      <x:c r="A218" t="str">
        <x:v>PH|Tireur|11</x:v>
      </x:c>
      <x:c r="B218" t="str">
        <x:v>Physique</x:v>
      </x:c>
      <x:c r="C218" t="str">
        <x:v>Tireur</x:v>
      </x:c>
      <x:c r="D218" t="n">
        <x:v>11</x:v>
      </x:c>
      <x:c r="E218" t="n">
        <x:v>0</x:v>
      </x:c>
      <x:c r="F218" t="n">
        <x:v>8</x:v>
      </x:c>
      <x:c r="G218" t="n">
        <x:v>3</x:v>
      </x:c>
      <x:c r="H218" t="n">
        <x:v>0</x:v>
      </x:c>
      <x:c r="I218" t="n">
        <x:v>0</x:v>
      </x:c>
      <x:c r="J218" t="n">
        <x:v>0</x:v>
      </x:c>
      <x:c r="K218" t="n">
        <x:v>0</x:v>
      </x:c>
      <x:c r="L218" t="n">
        <x:v>0</x:v>
      </x:c>
      <x:c r="M218" t="n">
        <x:v>0</x:v>
      </x:c>
    </x:row>
    <x:row r="219">
      <x:c r="A219" t="str">
        <x:v>PH|Tireur|12</x:v>
      </x:c>
      <x:c r="B219" t="str">
        <x:v>Physique</x:v>
      </x:c>
      <x:c r="C219" t="str">
        <x:v>Tireur</x:v>
      </x:c>
      <x:c r="D219" t="n">
        <x:v>12</x:v>
      </x:c>
      <x:c r="E219" t="n">
        <x:v>0</x:v>
      </x:c>
      <x:c r="F219" t="n">
        <x:v>9</x:v>
      </x:c>
      <x:c r="G219" t="n">
        <x:v>3</x:v>
      </x:c>
      <x:c r="H219" t="n">
        <x:v>0</x:v>
      </x:c>
      <x:c r="I219" t="n">
        <x:v>0</x:v>
      </x:c>
      <x:c r="J219" t="n">
        <x:v>0</x:v>
      </x:c>
      <x:c r="K219" t="n">
        <x:v>0</x:v>
      </x:c>
      <x:c r="L219" t="n">
        <x:v>0</x:v>
      </x:c>
      <x:c r="M219" t="n">
        <x:v>0</x:v>
      </x:c>
    </x:row>
    <x:row r="220">
      <x:c r="A220" t="str">
        <x:v>PH|Tireur|13</x:v>
      </x:c>
      <x:c r="B220" t="str">
        <x:v>Physique</x:v>
      </x:c>
      <x:c r="C220" t="str">
        <x:v>Tireur</x:v>
      </x:c>
      <x:c r="D220" t="n">
        <x:v>13</x:v>
      </x:c>
      <x:c r="E220" t="n">
        <x:v>0</x:v>
      </x:c>
      <x:c r="F220" t="n">
        <x:v>10</x:v>
      </x:c>
      <x:c r="G220" t="n">
        <x:v>3</x:v>
      </x:c>
      <x:c r="H220" t="n">
        <x:v>0</x:v>
      </x:c>
      <x:c r="I220" t="n">
        <x:v>0</x:v>
      </x:c>
      <x:c r="J220" t="n">
        <x:v>0</x:v>
      </x:c>
      <x:c r="K220" t="n">
        <x:v>0</x:v>
      </x:c>
      <x:c r="L220" t="n">
        <x:v>0</x:v>
      </x:c>
      <x:c r="M220" t="n">
        <x:v>0</x:v>
      </x:c>
    </x:row>
    <x:row r="221">
      <x:c r="A221" t="str">
        <x:v>PH|Tireur|14</x:v>
      </x:c>
      <x:c r="B221" t="str">
        <x:v>Physique</x:v>
      </x:c>
      <x:c r="C221" t="str">
        <x:v>Tireur</x:v>
      </x:c>
      <x:c r="D221" t="n">
        <x:v>14</x:v>
      </x:c>
      <x:c r="E221" t="n">
        <x:v>0</x:v>
      </x:c>
      <x:c r="F221" t="n">
        <x:v>11</x:v>
      </x:c>
      <x:c r="G221" t="n">
        <x:v>3</x:v>
      </x:c>
      <x:c r="H221" t="n">
        <x:v>0</x:v>
      </x:c>
      <x:c r="I221" t="n">
        <x:v>0</x:v>
      </x:c>
      <x:c r="J221" t="n">
        <x:v>0</x:v>
      </x:c>
      <x:c r="K221" t="n">
        <x:v>0</x:v>
      </x:c>
      <x:c r="L221" t="n">
        <x:v>0</x:v>
      </x:c>
      <x:c r="M221" t="n">
        <x:v>0</x:v>
      </x:c>
    </x:row>
    <x:row r="222">
      <x:c r="A222" t="str">
        <x:v>PH|Tireur|15</x:v>
      </x:c>
      <x:c r="B222" t="str">
        <x:v>Physique</x:v>
      </x:c>
      <x:c r="C222" t="str">
        <x:v>Tireur</x:v>
      </x:c>
      <x:c r="D222" t="n">
        <x:v>15</x:v>
      </x:c>
      <x:c r="E222" t="n">
        <x:v>0</x:v>
      </x:c>
      <x:c r="F222" t="n">
        <x:v>11</x:v>
      </x:c>
      <x:c r="G222" t="n">
        <x:v>4</x:v>
      </x:c>
      <x:c r="H222" t="n">
        <x:v>0</x:v>
      </x:c>
      <x:c r="I222" t="n">
        <x:v>0</x:v>
      </x:c>
      <x:c r="J222" t="n">
        <x:v>0</x:v>
      </x:c>
      <x:c r="K222" t="n">
        <x:v>0</x:v>
      </x:c>
      <x:c r="L222" t="n">
        <x:v>0</x:v>
      </x:c>
      <x:c r="M222" t="n">
        <x:v>0</x:v>
      </x:c>
    </x:row>
    <x:row r="223">
      <x:c r="A223" t="str">
        <x:v>PH|Tireur|16</x:v>
      </x:c>
      <x:c r="B223" t="str">
        <x:v>Physique</x:v>
      </x:c>
      <x:c r="C223" t="str">
        <x:v>Tireur</x:v>
      </x:c>
      <x:c r="D223" t="n">
        <x:v>16</x:v>
      </x:c>
      <x:c r="E223" t="n">
        <x:v>0</x:v>
      </x:c>
      <x:c r="F223" t="n">
        <x:v>12</x:v>
      </x:c>
      <x:c r="G223" t="n">
        <x:v>4</x:v>
      </x:c>
      <x:c r="H223" t="n">
        <x:v>0</x:v>
      </x:c>
      <x:c r="I223" t="n">
        <x:v>0</x:v>
      </x:c>
      <x:c r="J223" t="n">
        <x:v>0</x:v>
      </x:c>
      <x:c r="K223" t="n">
        <x:v>0</x:v>
      </x:c>
      <x:c r="L223" t="n">
        <x:v>0</x:v>
      </x:c>
      <x:c r="M223" t="n">
        <x:v>0</x:v>
      </x:c>
    </x:row>
    <x:row r="224">
      <x:c r="A224" t="str">
        <x:v>PH|Tireur|17</x:v>
      </x:c>
      <x:c r="B224" t="str">
        <x:v>Physique</x:v>
      </x:c>
      <x:c r="C224" t="str">
        <x:v>Tireur</x:v>
      </x:c>
      <x:c r="D224" t="n">
        <x:v>17</x:v>
      </x:c>
      <x:c r="E224" t="n">
        <x:v>0</x:v>
      </x:c>
      <x:c r="F224" t="n">
        <x:v>13</x:v>
      </x:c>
      <x:c r="G224" t="n">
        <x:v>4</x:v>
      </x:c>
      <x:c r="H224" t="n">
        <x:v>0</x:v>
      </x:c>
      <x:c r="I224" t="n">
        <x:v>0</x:v>
      </x:c>
      <x:c r="J224" t="n">
        <x:v>0</x:v>
      </x:c>
      <x:c r="K224" t="n">
        <x:v>0</x:v>
      </x:c>
      <x:c r="L224" t="n">
        <x:v>0</x:v>
      </x:c>
      <x:c r="M224" t="n">
        <x:v>0</x:v>
      </x:c>
    </x:row>
    <x:row r="225">
      <x:c r="A225" t="str">
        <x:v>PH|Tireur|18</x:v>
      </x:c>
      <x:c r="B225" t="str">
        <x:v>Physique</x:v>
      </x:c>
      <x:c r="C225" t="str">
        <x:v>Tireur</x:v>
      </x:c>
      <x:c r="D225" t="n">
        <x:v>18</x:v>
      </x:c>
      <x:c r="E225" t="n">
        <x:v>0</x:v>
      </x:c>
      <x:c r="F225" t="n">
        <x:v>14</x:v>
      </x:c>
      <x:c r="G225" t="n">
        <x:v>4</x:v>
      </x:c>
      <x:c r="H225" t="n">
        <x:v>0</x:v>
      </x:c>
      <x:c r="I225" t="n">
        <x:v>0</x:v>
      </x:c>
      <x:c r="J225" t="n">
        <x:v>0</x:v>
      </x:c>
      <x:c r="K225" t="n">
        <x:v>0</x:v>
      </x:c>
      <x:c r="L225" t="n">
        <x:v>0</x:v>
      </x:c>
      <x:c r="M225" t="n">
        <x:v>0</x:v>
      </x:c>
    </x:row>
    <x:row r="226">
      <x:c r="A226" t="str">
        <x:v>PH|Tireur|19</x:v>
      </x:c>
      <x:c r="B226" t="str">
        <x:v>Physique</x:v>
      </x:c>
      <x:c r="C226" t="str">
        <x:v>Tireur</x:v>
      </x:c>
      <x:c r="D226" t="n">
        <x:v>19</x:v>
      </x:c>
      <x:c r="E226" t="n">
        <x:v>0</x:v>
      </x:c>
      <x:c r="F226" t="n">
        <x:v>14</x:v>
      </x:c>
      <x:c r="G226" t="n">
        <x:v>5</x:v>
      </x:c>
      <x:c r="H226" t="n">
        <x:v>0</x:v>
      </x:c>
      <x:c r="I226" t="n">
        <x:v>0</x:v>
      </x:c>
      <x:c r="J226" t="n">
        <x:v>0</x:v>
      </x:c>
      <x:c r="K226" t="n">
        <x:v>0</x:v>
      </x:c>
      <x:c r="L226" t="n">
        <x:v>0</x:v>
      </x:c>
      <x:c r="M226" t="n">
        <x:v>0</x:v>
      </x:c>
    </x:row>
    <x:row r="227">
      <x:c r="A227" t="str">
        <x:v>PH|Tireur|20</x:v>
      </x:c>
      <x:c r="B227" t="str">
        <x:v>Physique</x:v>
      </x:c>
      <x:c r="C227" t="str">
        <x:v>Tireur</x:v>
      </x:c>
      <x:c r="D227" t="n">
        <x:v>20</x:v>
      </x:c>
      <x:c r="E227" t="n">
        <x:v>0</x:v>
      </x:c>
      <x:c r="F227" t="n">
        <x:v>15</x:v>
      </x:c>
      <x:c r="G227" t="n">
        <x:v>5</x:v>
      </x:c>
      <x:c r="H227" t="n">
        <x:v>0</x:v>
      </x:c>
      <x:c r="I227" t="n">
        <x:v>0</x:v>
      </x:c>
      <x:c r="J227" t="n">
        <x:v>0</x:v>
      </x:c>
      <x:c r="K227" t="n">
        <x:v>0</x:v>
      </x:c>
      <x:c r="L227" t="n">
        <x:v>0</x:v>
      </x:c>
      <x:c r="M227" t="n">
        <x:v>0</x:v>
      </x:c>
    </x:row>
    <x:row r="228">
      <x:c r="A228" t="str">
        <x:v>PH|Tireur|21</x:v>
      </x:c>
      <x:c r="B228" t="str">
        <x:v>Physique</x:v>
      </x:c>
      <x:c r="C228" t="str">
        <x:v>Tireur</x:v>
      </x:c>
      <x:c r="D228" t="n">
        <x:v>21</x:v>
      </x:c>
      <x:c r="E228" t="n">
        <x:v>0</x:v>
      </x:c>
      <x:c r="F228" t="n">
        <x:v>16</x:v>
      </x:c>
      <x:c r="G228" t="n">
        <x:v>5</x:v>
      </x:c>
      <x:c r="H228" t="n">
        <x:v>0</x:v>
      </x:c>
      <x:c r="I228" t="n">
        <x:v>0</x:v>
      </x:c>
      <x:c r="J228" t="n">
        <x:v>0</x:v>
      </x:c>
      <x:c r="K228" t="n">
        <x:v>0</x:v>
      </x:c>
      <x:c r="L228" t="n">
        <x:v>0</x:v>
      </x:c>
      <x:c r="M228" t="n">
        <x:v>0</x:v>
      </x:c>
    </x:row>
    <x:row r="229">
      <x:c r="A229" t="str">
        <x:v>PH|Équilibré|0</x:v>
      </x:c>
      <x:c r="B229" t="str">
        <x:v>Physique</x:v>
      </x:c>
      <x:c r="C229" t="str">
        <x:v>Équilibré</x:v>
      </x:c>
      <x:c r="D229" t="n">
        <x:v>0</x:v>
      </x:c>
      <x:c r="E229" t="n">
        <x:v>0</x:v>
      </x:c>
      <x:c r="F229" t="n">
        <x:v>0</x:v>
      </x:c>
      <x:c r="G229" t="n">
        <x:v>0</x:v>
      </x:c>
      <x:c r="H229" t="n">
        <x:v>0</x:v>
      </x:c>
      <x:c r="I229" t="n">
        <x:v>0</x:v>
      </x:c>
      <x:c r="J229" t="n">
        <x:v>0</x:v>
      </x:c>
      <x:c r="K229" t="n">
        <x:v>0</x:v>
      </x:c>
      <x:c r="L229" t="n">
        <x:v>0</x:v>
      </x:c>
      <x:c r="M229" t="n">
        <x:v>0</x:v>
      </x:c>
    </x:row>
    <x:row r="230">
      <x:c r="A230" t="str">
        <x:v>PH|Équilibré|1</x:v>
      </x:c>
      <x:c r="B230" t="str">
        <x:v>Physique</x:v>
      </x:c>
      <x:c r="C230" t="str">
        <x:v>Équilibré</x:v>
      </x:c>
      <x:c r="D230" t="n">
        <x:v>1</x:v>
      </x:c>
      <x:c r="E230" t="n">
        <x:v>1</x:v>
      </x:c>
      <x:c r="F230" t="n">
        <x:v>0</x:v>
      </x:c>
      <x:c r="G230" t="n">
        <x:v>0</x:v>
      </x:c>
      <x:c r="H230" t="n">
        <x:v>0</x:v>
      </x:c>
      <x:c r="I230" t="n">
        <x:v>0</x:v>
      </x:c>
      <x:c r="J230" t="n">
        <x:v>0</x:v>
      </x:c>
      <x:c r="K230" t="n">
        <x:v>0</x:v>
      </x:c>
      <x:c r="L230" t="n">
        <x:v>0</x:v>
      </x:c>
      <x:c r="M230" t="n">
        <x:v>0</x:v>
      </x:c>
    </x:row>
    <x:row r="231">
      <x:c r="A231" t="str">
        <x:v>PH|Équilibré|2</x:v>
      </x:c>
      <x:c r="B231" t="str">
        <x:v>Physique</x:v>
      </x:c>
      <x:c r="C231" t="str">
        <x:v>Équilibré</x:v>
      </x:c>
      <x:c r="D231" t="n">
        <x:v>2</x:v>
      </x:c>
      <x:c r="E231" t="n">
        <x:v>1</x:v>
      </x:c>
      <x:c r="F231" t="n">
        <x:v>1</x:v>
      </x:c>
      <x:c r="G231" t="n">
        <x:v>0</x:v>
      </x:c>
      <x:c r="H231" t="n">
        <x:v>0</x:v>
      </x:c>
      <x:c r="I231" t="n">
        <x:v>0</x:v>
      </x:c>
      <x:c r="J231" t="n">
        <x:v>0</x:v>
      </x:c>
      <x:c r="K231" t="n">
        <x:v>0</x:v>
      </x:c>
      <x:c r="L231" t="n">
        <x:v>0</x:v>
      </x:c>
      <x:c r="M231" t="n">
        <x:v>0</x:v>
      </x:c>
    </x:row>
    <x:row r="232">
      <x:c r="A232" t="str">
        <x:v>PH|Équilibré|3</x:v>
      </x:c>
      <x:c r="B232" t="str">
        <x:v>Physique</x:v>
      </x:c>
      <x:c r="C232" t="str">
        <x:v>Équilibré</x:v>
      </x:c>
      <x:c r="D232" t="n">
        <x:v>3</x:v>
      </x:c>
      <x:c r="E232" t="n">
        <x:v>1</x:v>
      </x:c>
      <x:c r="F232" t="n">
        <x:v>1</x:v>
      </x:c>
      <x:c r="G232" t="n">
        <x:v>1</x:v>
      </x:c>
      <x:c r="H232" t="n">
        <x:v>0</x:v>
      </x:c>
      <x:c r="I232" t="n">
        <x:v>0</x:v>
      </x:c>
      <x:c r="J232" t="n">
        <x:v>0</x:v>
      </x:c>
      <x:c r="K232" t="n">
        <x:v>0</x:v>
      </x:c>
      <x:c r="L232" t="n">
        <x:v>0</x:v>
      </x:c>
      <x:c r="M232" t="n">
        <x:v>0</x:v>
      </x:c>
    </x:row>
    <x:row r="233">
      <x:c r="A233" t="str">
        <x:v>PH|Équilibré|4</x:v>
      </x:c>
      <x:c r="B233" t="str">
        <x:v>Physique</x:v>
      </x:c>
      <x:c r="C233" t="str">
        <x:v>Équilibré</x:v>
      </x:c>
      <x:c r="D233" t="n">
        <x:v>4</x:v>
      </x:c>
      <x:c r="E233" t="n">
        <x:v>2</x:v>
      </x:c>
      <x:c r="F233" t="n">
        <x:v>1</x:v>
      </x:c>
      <x:c r="G233" t="n">
        <x:v>1</x:v>
      </x:c>
      <x:c r="H233" t="n">
        <x:v>0</x:v>
      </x:c>
      <x:c r="I233" t="n">
        <x:v>0</x:v>
      </x:c>
      <x:c r="J233" t="n">
        <x:v>0</x:v>
      </x:c>
      <x:c r="K233" t="n">
        <x:v>0</x:v>
      </x:c>
      <x:c r="L233" t="n">
        <x:v>0</x:v>
      </x:c>
      <x:c r="M233" t="n">
        <x:v>0</x:v>
      </x:c>
    </x:row>
    <x:row r="234">
      <x:c r="A234" t="str">
        <x:v>PH|Équilibré|5</x:v>
      </x:c>
      <x:c r="B234" t="str">
        <x:v>Physique</x:v>
      </x:c>
      <x:c r="C234" t="str">
        <x:v>Équilibré</x:v>
      </x:c>
      <x:c r="D234" t="n">
        <x:v>5</x:v>
      </x:c>
      <x:c r="E234" t="n">
        <x:v>2</x:v>
      </x:c>
      <x:c r="F234" t="n">
        <x:v>2</x:v>
      </x:c>
      <x:c r="G234" t="n">
        <x:v>1</x:v>
      </x:c>
      <x:c r="H234" t="n">
        <x:v>0</x:v>
      </x:c>
      <x:c r="I234" t="n">
        <x:v>0</x:v>
      </x:c>
      <x:c r="J234" t="n">
        <x:v>0</x:v>
      </x:c>
      <x:c r="K234" t="n">
        <x:v>0</x:v>
      </x:c>
      <x:c r="L234" t="n">
        <x:v>0</x:v>
      </x:c>
      <x:c r="M234" t="n">
        <x:v>0</x:v>
      </x:c>
    </x:row>
    <x:row r="235">
      <x:c r="A235" t="str">
        <x:v>PH|Équilibré|6</x:v>
      </x:c>
      <x:c r="B235" t="str">
        <x:v>Physique</x:v>
      </x:c>
      <x:c r="C235" t="str">
        <x:v>Équilibré</x:v>
      </x:c>
      <x:c r="D235" t="n">
        <x:v>6</x:v>
      </x:c>
      <x:c r="E235" t="n">
        <x:v>2</x:v>
      </x:c>
      <x:c r="F235" t="n">
        <x:v>2</x:v>
      </x:c>
      <x:c r="G235" t="n">
        <x:v>2</x:v>
      </x:c>
      <x:c r="H235" t="n">
        <x:v>0</x:v>
      </x:c>
      <x:c r="I235" t="n">
        <x:v>0</x:v>
      </x:c>
      <x:c r="J235" t="n">
        <x:v>0</x:v>
      </x:c>
      <x:c r="K235" t="n">
        <x:v>0</x:v>
      </x:c>
      <x:c r="L235" t="n">
        <x:v>0</x:v>
      </x:c>
      <x:c r="M235" t="n">
        <x:v>0</x:v>
      </x:c>
    </x:row>
    <x:row r="236">
      <x:c r="A236" t="str">
        <x:v>PH|Équilibré|7</x:v>
      </x:c>
      <x:c r="B236" t="str">
        <x:v>Physique</x:v>
      </x:c>
      <x:c r="C236" t="str">
        <x:v>Équilibré</x:v>
      </x:c>
      <x:c r="D236" t="n">
        <x:v>7</x:v>
      </x:c>
      <x:c r="E236" t="n">
        <x:v>3</x:v>
      </x:c>
      <x:c r="F236" t="n">
        <x:v>2</x:v>
      </x:c>
      <x:c r="G236" t="n">
        <x:v>2</x:v>
      </x:c>
      <x:c r="H236" t="n">
        <x:v>0</x:v>
      </x:c>
      <x:c r="I236" t="n">
        <x:v>0</x:v>
      </x:c>
      <x:c r="J236" t="n">
        <x:v>0</x:v>
      </x:c>
      <x:c r="K236" t="n">
        <x:v>0</x:v>
      </x:c>
      <x:c r="L236" t="n">
        <x:v>0</x:v>
      </x:c>
      <x:c r="M236" t="n">
        <x:v>0</x:v>
      </x:c>
    </x:row>
    <x:row r="237">
      <x:c r="A237" t="str">
        <x:v>PH|Équilibré|8</x:v>
      </x:c>
      <x:c r="B237" t="str">
        <x:v>Physique</x:v>
      </x:c>
      <x:c r="C237" t="str">
        <x:v>Équilibré</x:v>
      </x:c>
      <x:c r="D237" t="n">
        <x:v>8</x:v>
      </x:c>
      <x:c r="E237" t="n">
        <x:v>3</x:v>
      </x:c>
      <x:c r="F237" t="n">
        <x:v>3</x:v>
      </x:c>
      <x:c r="G237" t="n">
        <x:v>2</x:v>
      </x:c>
      <x:c r="H237" t="n">
        <x:v>0</x:v>
      </x:c>
      <x:c r="I237" t="n">
        <x:v>0</x:v>
      </x:c>
      <x:c r="J237" t="n">
        <x:v>0</x:v>
      </x:c>
      <x:c r="K237" t="n">
        <x:v>0</x:v>
      </x:c>
      <x:c r="L237" t="n">
        <x:v>0</x:v>
      </x:c>
      <x:c r="M237" t="n">
        <x:v>0</x:v>
      </x:c>
    </x:row>
    <x:row r="238">
      <x:c r="A238" t="str">
        <x:v>PH|Équilibré|9</x:v>
      </x:c>
      <x:c r="B238" t="str">
        <x:v>Physique</x:v>
      </x:c>
      <x:c r="C238" t="str">
        <x:v>Équilibré</x:v>
      </x:c>
      <x:c r="D238" t="n">
        <x:v>9</x:v>
      </x:c>
      <x:c r="E238" t="n">
        <x:v>3</x:v>
      </x:c>
      <x:c r="F238" t="n">
        <x:v>3</x:v>
      </x:c>
      <x:c r="G238" t="n">
        <x:v>3</x:v>
      </x:c>
      <x:c r="H238" t="n">
        <x:v>0</x:v>
      </x:c>
      <x:c r="I238" t="n">
        <x:v>0</x:v>
      </x:c>
      <x:c r="J238" t="n">
        <x:v>0</x:v>
      </x:c>
      <x:c r="K238" t="n">
        <x:v>0</x:v>
      </x:c>
      <x:c r="L238" t="n">
        <x:v>0</x:v>
      </x:c>
      <x:c r="M238" t="n">
        <x:v>0</x:v>
      </x:c>
    </x:row>
    <x:row r="239">
      <x:c r="A239" t="str">
        <x:v>PH|Équilibré|10</x:v>
      </x:c>
      <x:c r="B239" t="str">
        <x:v>Physique</x:v>
      </x:c>
      <x:c r="C239" t="str">
        <x:v>Équilibré</x:v>
      </x:c>
      <x:c r="D239" t="n">
        <x:v>10</x:v>
      </x:c>
      <x:c r="E239" t="n">
        <x:v>4</x:v>
      </x:c>
      <x:c r="F239" t="n">
        <x:v>3</x:v>
      </x:c>
      <x:c r="G239" t="n">
        <x:v>3</x:v>
      </x:c>
      <x:c r="H239" t="n">
        <x:v>0</x:v>
      </x:c>
      <x:c r="I239" t="n">
        <x:v>0</x:v>
      </x:c>
      <x:c r="J239" t="n">
        <x:v>0</x:v>
      </x:c>
      <x:c r="K239" t="n">
        <x:v>0</x:v>
      </x:c>
      <x:c r="L239" t="n">
        <x:v>0</x:v>
      </x:c>
      <x:c r="M239" t="n">
        <x:v>0</x:v>
      </x:c>
    </x:row>
    <x:row r="240">
      <x:c r="A240" t="str">
        <x:v>PH|Équilibré|11</x:v>
      </x:c>
      <x:c r="B240" t="str">
        <x:v>Physique</x:v>
      </x:c>
      <x:c r="C240" t="str">
        <x:v>Équilibré</x:v>
      </x:c>
      <x:c r="D240" t="n">
        <x:v>11</x:v>
      </x:c>
      <x:c r="E240" t="n">
        <x:v>4</x:v>
      </x:c>
      <x:c r="F240" t="n">
        <x:v>4</x:v>
      </x:c>
      <x:c r="G240" t="n">
        <x:v>3</x:v>
      </x:c>
      <x:c r="H240" t="n">
        <x:v>0</x:v>
      </x:c>
      <x:c r="I240" t="n">
        <x:v>0</x:v>
      </x:c>
      <x:c r="J240" t="n">
        <x:v>0</x:v>
      </x:c>
      <x:c r="K240" t="n">
        <x:v>0</x:v>
      </x:c>
      <x:c r="L240" t="n">
        <x:v>0</x:v>
      </x:c>
      <x:c r="M240" t="n">
        <x:v>0</x:v>
      </x:c>
    </x:row>
    <x:row r="241">
      <x:c r="A241" t="str">
        <x:v>PH|Équilibré|12</x:v>
      </x:c>
      <x:c r="B241" t="str">
        <x:v>Physique</x:v>
      </x:c>
      <x:c r="C241" t="str">
        <x:v>Équilibré</x:v>
      </x:c>
      <x:c r="D241" t="n">
        <x:v>12</x:v>
      </x:c>
      <x:c r="E241" t="n">
        <x:v>4</x:v>
      </x:c>
      <x:c r="F241" t="n">
        <x:v>4</x:v>
      </x:c>
      <x:c r="G241" t="n">
        <x:v>4</x:v>
      </x:c>
      <x:c r="H241" t="n">
        <x:v>0</x:v>
      </x:c>
      <x:c r="I241" t="n">
        <x:v>0</x:v>
      </x:c>
      <x:c r="J241" t="n">
        <x:v>0</x:v>
      </x:c>
      <x:c r="K241" t="n">
        <x:v>0</x:v>
      </x:c>
      <x:c r="L241" t="n">
        <x:v>0</x:v>
      </x:c>
      <x:c r="M241" t="n">
        <x:v>0</x:v>
      </x:c>
    </x:row>
    <x:row r="242">
      <x:c r="A242" t="str">
        <x:v>PH|Équilibré|13</x:v>
      </x:c>
      <x:c r="B242" t="str">
        <x:v>Physique</x:v>
      </x:c>
      <x:c r="C242" t="str">
        <x:v>Équilibré</x:v>
      </x:c>
      <x:c r="D242" t="n">
        <x:v>13</x:v>
      </x:c>
      <x:c r="E242" t="n">
        <x:v>5</x:v>
      </x:c>
      <x:c r="F242" t="n">
        <x:v>4</x:v>
      </x:c>
      <x:c r="G242" t="n">
        <x:v>4</x:v>
      </x:c>
      <x:c r="H242" t="n">
        <x:v>0</x:v>
      </x:c>
      <x:c r="I242" t="n">
        <x:v>0</x:v>
      </x:c>
      <x:c r="J242" t="n">
        <x:v>0</x:v>
      </x:c>
      <x:c r="K242" t="n">
        <x:v>0</x:v>
      </x:c>
      <x:c r="L242" t="n">
        <x:v>0</x:v>
      </x:c>
      <x:c r="M242" t="n">
        <x:v>0</x:v>
      </x:c>
    </x:row>
    <x:row r="243">
      <x:c r="A243" t="str">
        <x:v>PH|Équilibré|14</x:v>
      </x:c>
      <x:c r="B243" t="str">
        <x:v>Physique</x:v>
      </x:c>
      <x:c r="C243" t="str">
        <x:v>Équilibré</x:v>
      </x:c>
      <x:c r="D243" t="n">
        <x:v>14</x:v>
      </x:c>
      <x:c r="E243" t="n">
        <x:v>5</x:v>
      </x:c>
      <x:c r="F243" t="n">
        <x:v>5</x:v>
      </x:c>
      <x:c r="G243" t="n">
        <x:v>4</x:v>
      </x:c>
      <x:c r="H243" t="n">
        <x:v>0</x:v>
      </x:c>
      <x:c r="I243" t="n">
        <x:v>0</x:v>
      </x:c>
      <x:c r="J243" t="n">
        <x:v>0</x:v>
      </x:c>
      <x:c r="K243" t="n">
        <x:v>0</x:v>
      </x:c>
      <x:c r="L243" t="n">
        <x:v>0</x:v>
      </x:c>
      <x:c r="M243" t="n">
        <x:v>0</x:v>
      </x:c>
    </x:row>
    <x:row r="244">
      <x:c r="A244" t="str">
        <x:v>PH|Équilibré|15</x:v>
      </x:c>
      <x:c r="B244" t="str">
        <x:v>Physique</x:v>
      </x:c>
      <x:c r="C244" t="str">
        <x:v>Équilibré</x:v>
      </x:c>
      <x:c r="D244" t="n">
        <x:v>15</x:v>
      </x:c>
      <x:c r="E244" t="n">
        <x:v>5</x:v>
      </x:c>
      <x:c r="F244" t="n">
        <x:v>5</x:v>
      </x:c>
      <x:c r="G244" t="n">
        <x:v>5</x:v>
      </x:c>
      <x:c r="H244" t="n">
        <x:v>0</x:v>
      </x:c>
      <x:c r="I244" t="n">
        <x:v>0</x:v>
      </x:c>
      <x:c r="J244" t="n">
        <x:v>0</x:v>
      </x:c>
      <x:c r="K244" t="n">
        <x:v>0</x:v>
      </x:c>
      <x:c r="L244" t="n">
        <x:v>0</x:v>
      </x:c>
      <x:c r="M244" t="n">
        <x:v>0</x:v>
      </x:c>
    </x:row>
    <x:row r="245">
      <x:c r="A245" t="str">
        <x:v>PH|Équilibré|16</x:v>
      </x:c>
      <x:c r="B245" t="str">
        <x:v>Physique</x:v>
      </x:c>
      <x:c r="C245" t="str">
        <x:v>Équilibré</x:v>
      </x:c>
      <x:c r="D245" t="n">
        <x:v>16</x:v>
      </x:c>
      <x:c r="E245" t="n">
        <x:v>6</x:v>
      </x:c>
      <x:c r="F245" t="n">
        <x:v>5</x:v>
      </x:c>
      <x:c r="G245" t="n">
        <x:v>5</x:v>
      </x:c>
      <x:c r="H245" t="n">
        <x:v>0</x:v>
      </x:c>
      <x:c r="I245" t="n">
        <x:v>0</x:v>
      </x:c>
      <x:c r="J245" t="n">
        <x:v>0</x:v>
      </x:c>
      <x:c r="K245" t="n">
        <x:v>0</x:v>
      </x:c>
      <x:c r="L245" t="n">
        <x:v>0</x:v>
      </x:c>
      <x:c r="M245" t="n">
        <x:v>0</x:v>
      </x:c>
    </x:row>
    <x:row r="246">
      <x:c r="A246" t="str">
        <x:v>PH|Équilibré|17</x:v>
      </x:c>
      <x:c r="B246" t="str">
        <x:v>Physique</x:v>
      </x:c>
      <x:c r="C246" t="str">
        <x:v>Équilibré</x:v>
      </x:c>
      <x:c r="D246" t="n">
        <x:v>17</x:v>
      </x:c>
      <x:c r="E246" t="n">
        <x:v>6</x:v>
      </x:c>
      <x:c r="F246" t="n">
        <x:v>6</x:v>
      </x:c>
      <x:c r="G246" t="n">
        <x:v>5</x:v>
      </x:c>
      <x:c r="H246" t="n">
        <x:v>0</x:v>
      </x:c>
      <x:c r="I246" t="n">
        <x:v>0</x:v>
      </x:c>
      <x:c r="J246" t="n">
        <x:v>0</x:v>
      </x:c>
      <x:c r="K246" t="n">
        <x:v>0</x:v>
      </x:c>
      <x:c r="L246" t="n">
        <x:v>0</x:v>
      </x:c>
      <x:c r="M246" t="n">
        <x:v>0</x:v>
      </x:c>
    </x:row>
    <x:row r="247">
      <x:c r="A247" t="str">
        <x:v>PH|Équilibré|18</x:v>
      </x:c>
      <x:c r="B247" t="str">
        <x:v>Physique</x:v>
      </x:c>
      <x:c r="C247" t="str">
        <x:v>Équilibré</x:v>
      </x:c>
      <x:c r="D247" t="n">
        <x:v>18</x:v>
      </x:c>
      <x:c r="E247" t="n">
        <x:v>6</x:v>
      </x:c>
      <x:c r="F247" t="n">
        <x:v>6</x:v>
      </x:c>
      <x:c r="G247" t="n">
        <x:v>6</x:v>
      </x:c>
      <x:c r="H247" t="n">
        <x:v>0</x:v>
      </x:c>
      <x:c r="I247" t="n">
        <x:v>0</x:v>
      </x:c>
      <x:c r="J247" t="n">
        <x:v>0</x:v>
      </x:c>
      <x:c r="K247" t="n">
        <x:v>0</x:v>
      </x:c>
      <x:c r="L247" t="n">
        <x:v>0</x:v>
      </x:c>
      <x:c r="M247" t="n">
        <x:v>0</x:v>
      </x:c>
    </x:row>
    <x:row r="248">
      <x:c r="A248" t="str">
        <x:v>PH|Équilibré|19</x:v>
      </x:c>
      <x:c r="B248" t="str">
        <x:v>Physique</x:v>
      </x:c>
      <x:c r="C248" t="str">
        <x:v>Équilibré</x:v>
      </x:c>
      <x:c r="D248" t="n">
        <x:v>19</x:v>
      </x:c>
      <x:c r="E248" t="n">
        <x:v>7</x:v>
      </x:c>
      <x:c r="F248" t="n">
        <x:v>6</x:v>
      </x:c>
      <x:c r="G248" t="n">
        <x:v>6</x:v>
      </x:c>
      <x:c r="H248" t="n">
        <x:v>0</x:v>
      </x:c>
      <x:c r="I248" t="n">
        <x:v>0</x:v>
      </x:c>
      <x:c r="J248" t="n">
        <x:v>0</x:v>
      </x:c>
      <x:c r="K248" t="n">
        <x:v>0</x:v>
      </x:c>
      <x:c r="L248" t="n">
        <x:v>0</x:v>
      </x:c>
      <x:c r="M248" t="n">
        <x:v>0</x:v>
      </x:c>
    </x:row>
    <x:row r="249">
      <x:c r="A249" t="str">
        <x:v>PH|Équilibré|20</x:v>
      </x:c>
      <x:c r="B249" t="str">
        <x:v>Physique</x:v>
      </x:c>
      <x:c r="C249" t="str">
        <x:v>Équilibré</x:v>
      </x:c>
      <x:c r="D249" t="n">
        <x:v>20</x:v>
      </x:c>
      <x:c r="E249" t="n">
        <x:v>7</x:v>
      </x:c>
      <x:c r="F249" t="n">
        <x:v>7</x:v>
      </x:c>
      <x:c r="G249" t="n">
        <x:v>6</x:v>
      </x:c>
      <x:c r="H249" t="n">
        <x:v>0</x:v>
      </x:c>
      <x:c r="I249" t="n">
        <x:v>0</x:v>
      </x:c>
      <x:c r="J249" t="n">
        <x:v>0</x:v>
      </x:c>
      <x:c r="K249" t="n">
        <x:v>0</x:v>
      </x:c>
      <x:c r="L249" t="n">
        <x:v>0</x:v>
      </x:c>
      <x:c r="M249" t="n">
        <x:v>0</x:v>
      </x:c>
    </x:row>
    <x:row r="250">
      <x:c r="A250" t="str">
        <x:v>PH|Équilibré|21</x:v>
      </x:c>
      <x:c r="B250" t="str">
        <x:v>Physique</x:v>
      </x:c>
      <x:c r="C250" t="str">
        <x:v>Équilibré</x:v>
      </x:c>
      <x:c r="D250" t="n">
        <x:v>21</x:v>
      </x:c>
      <x:c r="E250" t="n">
        <x:v>7</x:v>
      </x:c>
      <x:c r="F250" t="n">
        <x:v>7</x:v>
      </x:c>
      <x:c r="G250" t="n">
        <x:v>7</x:v>
      </x:c>
      <x:c r="H250" t="n">
        <x:v>0</x:v>
      </x:c>
      <x:c r="I250" t="n">
        <x:v>0</x:v>
      </x:c>
      <x:c r="J250" t="n">
        <x:v>0</x:v>
      </x:c>
      <x:c r="K250" t="n">
        <x:v>0</x:v>
      </x:c>
      <x:c r="L250" t="n">
        <x:v>0</x:v>
      </x:c>
      <x:c r="M250" t="n">
        <x:v>0</x:v>
      </x:c>
    </x:row>
    <x:row r="251">
      <x:c r="A251" t="str">
        <x:v>ME|Calculateur|0</x:v>
      </x:c>
      <x:c r="B251" t="str">
        <x:v>Mental</x:v>
      </x:c>
      <x:c r="C251" t="str">
        <x:v>Calculateur</x:v>
      </x:c>
      <x:c r="D251" t="n">
        <x:v>0</x:v>
      </x:c>
      <x:c r="E251" t="n">
        <x:v>0</x:v>
      </x:c>
      <x:c r="F251" t="n">
        <x:v>0</x:v>
      </x:c>
      <x:c r="G251" t="n">
        <x:v>0</x:v>
      </x:c>
      <x:c r="H251" t="n">
        <x:v>0</x:v>
      </x:c>
      <x:c r="I251" t="n">
        <x:v>0</x:v>
      </x:c>
      <x:c r="J251" t="n">
        <x:v>0</x:v>
      </x:c>
      <x:c r="K251" t="n">
        <x:v>0</x:v>
      </x:c>
      <x:c r="L251" t="n">
        <x:v>0</x:v>
      </x:c>
      <x:c r="M251" t="n">
        <x:v>0</x:v>
      </x:c>
    </x:row>
    <x:row r="252">
      <x:c r="A252" t="str">
        <x:v>ME|Calculateur|1</x:v>
      </x:c>
      <x:c r="B252" t="str">
        <x:v>Mental</x:v>
      </x:c>
      <x:c r="C252" t="str">
        <x:v>Calculateur</x:v>
      </x:c>
      <x:c r="D252" t="n">
        <x:v>1</x:v>
      </x:c>
      <x:c r="E252" t="n">
        <x:v>0</x:v>
      </x:c>
      <x:c r="F252" t="n">
        <x:v>0</x:v>
      </x:c>
      <x:c r="G252" t="n">
        <x:v>0</x:v>
      </x:c>
      <x:c r="H252" t="n">
        <x:v>1</x:v>
      </x:c>
      <x:c r="I252" t="n">
        <x:v>0</x:v>
      </x:c>
      <x:c r="J252" t="n">
        <x:v>0</x:v>
      </x:c>
      <x:c r="K252" t="n">
        <x:v>0</x:v>
      </x:c>
      <x:c r="L252" t="n">
        <x:v>0</x:v>
      </x:c>
      <x:c r="M252" t="n">
        <x:v>0</x:v>
      </x:c>
    </x:row>
    <x:row r="253">
      <x:c r="A253" t="str">
        <x:v>ME|Calculateur|2</x:v>
      </x:c>
      <x:c r="B253" t="str">
        <x:v>Mental</x:v>
      </x:c>
      <x:c r="C253" t="str">
        <x:v>Calculateur</x:v>
      </x:c>
      <x:c r="D253" t="n">
        <x:v>2</x:v>
      </x:c>
      <x:c r="E253" t="n">
        <x:v>0</x:v>
      </x:c>
      <x:c r="F253" t="n">
        <x:v>0</x:v>
      </x:c>
      <x:c r="G253" t="n">
        <x:v>0</x:v>
      </x:c>
      <x:c r="H253" t="n">
        <x:v>1</x:v>
      </x:c>
      <x:c r="I253" t="n">
        <x:v>1</x:v>
      </x:c>
      <x:c r="J253" t="n">
        <x:v>0</x:v>
      </x:c>
      <x:c r="K253" t="n">
        <x:v>0</x:v>
      </x:c>
      <x:c r="L253" t="n">
        <x:v>0</x:v>
      </x:c>
      <x:c r="M253" t="n">
        <x:v>0</x:v>
      </x:c>
    </x:row>
    <x:row r="254">
      <x:c r="A254" t="str">
        <x:v>ME|Calculateur|3</x:v>
      </x:c>
      <x:c r="B254" t="str">
        <x:v>Mental</x:v>
      </x:c>
      <x:c r="C254" t="str">
        <x:v>Calculateur</x:v>
      </x:c>
      <x:c r="D254" t="n">
        <x:v>3</x:v>
      </x:c>
      <x:c r="E254" t="n">
        <x:v>0</x:v>
      </x:c>
      <x:c r="F254" t="n">
        <x:v>0</x:v>
      </x:c>
      <x:c r="G254" t="n">
        <x:v>0</x:v>
      </x:c>
      <x:c r="H254" t="n">
        <x:v>2</x:v>
      </x:c>
      <x:c r="I254" t="n">
        <x:v>1</x:v>
      </x:c>
      <x:c r="J254" t="n">
        <x:v>0</x:v>
      </x:c>
      <x:c r="K254" t="n">
        <x:v>0</x:v>
      </x:c>
      <x:c r="L254" t="n">
        <x:v>0</x:v>
      </x:c>
      <x:c r="M254" t="n">
        <x:v>0</x:v>
      </x:c>
    </x:row>
    <x:row r="255">
      <x:c r="A255" t="str">
        <x:v>ME|Calculateur|4</x:v>
      </x:c>
      <x:c r="B255" t="str">
        <x:v>Mental</x:v>
      </x:c>
      <x:c r="C255" t="str">
        <x:v>Calculateur</x:v>
      </x:c>
      <x:c r="D255" t="n">
        <x:v>4</x:v>
      </x:c>
      <x:c r="E255" t="n">
        <x:v>0</x:v>
      </x:c>
      <x:c r="F255" t="n">
        <x:v>0</x:v>
      </x:c>
      <x:c r="G255" t="n">
        <x:v>0</x:v>
      </x:c>
      <x:c r="H255" t="n">
        <x:v>3</x:v>
      </x:c>
      <x:c r="I255" t="n">
        <x:v>1</x:v>
      </x:c>
      <x:c r="J255" t="n">
        <x:v>0</x:v>
      </x:c>
      <x:c r="K255" t="n">
        <x:v>0</x:v>
      </x:c>
      <x:c r="L255" t="n">
        <x:v>0</x:v>
      </x:c>
      <x:c r="M255" t="n">
        <x:v>0</x:v>
      </x:c>
    </x:row>
    <x:row r="256">
      <x:c r="A256" t="str">
        <x:v>ME|Calculateur|5</x:v>
      </x:c>
      <x:c r="B256" t="str">
        <x:v>Mental</x:v>
      </x:c>
      <x:c r="C256" t="str">
        <x:v>Calculateur</x:v>
      </x:c>
      <x:c r="D256" t="n">
        <x:v>5</x:v>
      </x:c>
      <x:c r="E256" t="n">
        <x:v>0</x:v>
      </x:c>
      <x:c r="F256" t="n">
        <x:v>0</x:v>
      </x:c>
      <x:c r="G256" t="n">
        <x:v>0</x:v>
      </x:c>
      <x:c r="H256" t="n">
        <x:v>4</x:v>
      </x:c>
      <x:c r="I256" t="n">
        <x:v>1</x:v>
      </x:c>
      <x:c r="J256" t="n">
        <x:v>0</x:v>
      </x:c>
      <x:c r="K256" t="n">
        <x:v>0</x:v>
      </x:c>
      <x:c r="L256" t="n">
        <x:v>0</x:v>
      </x:c>
      <x:c r="M256" t="n">
        <x:v>0</x:v>
      </x:c>
    </x:row>
    <x:row r="257">
      <x:c r="A257" t="str">
        <x:v>ME|Calculateur|6</x:v>
      </x:c>
      <x:c r="B257" t="str">
        <x:v>Mental</x:v>
      </x:c>
      <x:c r="C257" t="str">
        <x:v>Calculateur</x:v>
      </x:c>
      <x:c r="D257" t="n">
        <x:v>6</x:v>
      </x:c>
      <x:c r="E257" t="n">
        <x:v>0</x:v>
      </x:c>
      <x:c r="F257" t="n">
        <x:v>0</x:v>
      </x:c>
      <x:c r="G257" t="n">
        <x:v>0</x:v>
      </x:c>
      <x:c r="H257" t="n">
        <x:v>4</x:v>
      </x:c>
      <x:c r="I257" t="n">
        <x:v>2</x:v>
      </x:c>
      <x:c r="J257" t="n">
        <x:v>0</x:v>
      </x:c>
      <x:c r="K257" t="n">
        <x:v>0</x:v>
      </x:c>
      <x:c r="L257" t="n">
        <x:v>0</x:v>
      </x:c>
      <x:c r="M257" t="n">
        <x:v>0</x:v>
      </x:c>
    </x:row>
    <x:row r="258">
      <x:c r="A258" t="str">
        <x:v>ME|Calculateur|7</x:v>
      </x:c>
      <x:c r="B258" t="str">
        <x:v>Mental</x:v>
      </x:c>
      <x:c r="C258" t="str">
        <x:v>Calculateur</x:v>
      </x:c>
      <x:c r="D258" t="n">
        <x:v>7</x:v>
      </x:c>
      <x:c r="E258" t="n">
        <x:v>0</x:v>
      </x:c>
      <x:c r="F258" t="n">
        <x:v>0</x:v>
      </x:c>
      <x:c r="G258" t="n">
        <x:v>0</x:v>
      </x:c>
      <x:c r="H258" t="n">
        <x:v>5</x:v>
      </x:c>
      <x:c r="I258" t="n">
        <x:v>2</x:v>
      </x:c>
      <x:c r="J258" t="n">
        <x:v>0</x:v>
      </x:c>
      <x:c r="K258" t="n">
        <x:v>0</x:v>
      </x:c>
      <x:c r="L258" t="n">
        <x:v>0</x:v>
      </x:c>
      <x:c r="M258" t="n">
        <x:v>0</x:v>
      </x:c>
    </x:row>
    <x:row r="259">
      <x:c r="A259" t="str">
        <x:v>ME|Calculateur|8</x:v>
      </x:c>
      <x:c r="B259" t="str">
        <x:v>Mental</x:v>
      </x:c>
      <x:c r="C259" t="str">
        <x:v>Calculateur</x:v>
      </x:c>
      <x:c r="D259" t="n">
        <x:v>8</x:v>
      </x:c>
      <x:c r="E259" t="n">
        <x:v>0</x:v>
      </x:c>
      <x:c r="F259" t="n">
        <x:v>0</x:v>
      </x:c>
      <x:c r="G259" t="n">
        <x:v>0</x:v>
      </x:c>
      <x:c r="H259" t="n">
        <x:v>6</x:v>
      </x:c>
      <x:c r="I259" t="n">
        <x:v>2</x:v>
      </x:c>
      <x:c r="J259" t="n">
        <x:v>0</x:v>
      </x:c>
      <x:c r="K259" t="n">
        <x:v>0</x:v>
      </x:c>
      <x:c r="L259" t="n">
        <x:v>0</x:v>
      </x:c>
      <x:c r="M259" t="n">
        <x:v>0</x:v>
      </x:c>
    </x:row>
    <x:row r="260">
      <x:c r="A260" t="str">
        <x:v>ME|Calculateur|9</x:v>
      </x:c>
      <x:c r="B260" t="str">
        <x:v>Mental</x:v>
      </x:c>
      <x:c r="C260" t="str">
        <x:v>Calculateur</x:v>
      </x:c>
      <x:c r="D260" t="n">
        <x:v>9</x:v>
      </x:c>
      <x:c r="E260" t="n">
        <x:v>0</x:v>
      </x:c>
      <x:c r="F260" t="n">
        <x:v>0</x:v>
      </x:c>
      <x:c r="G260" t="n">
        <x:v>0</x:v>
      </x:c>
      <x:c r="H260" t="n">
        <x:v>6</x:v>
      </x:c>
      <x:c r="I260" t="n">
        <x:v>3</x:v>
      </x:c>
      <x:c r="J260" t="n">
        <x:v>0</x:v>
      </x:c>
      <x:c r="K260" t="n">
        <x:v>0</x:v>
      </x:c>
      <x:c r="L260" t="n">
        <x:v>0</x:v>
      </x:c>
      <x:c r="M260" t="n">
        <x:v>0</x:v>
      </x:c>
    </x:row>
    <x:row r="261">
      <x:c r="A261" t="str">
        <x:v>ME|Calculateur|10</x:v>
      </x:c>
      <x:c r="B261" t="str">
        <x:v>Mental</x:v>
      </x:c>
      <x:c r="C261" t="str">
        <x:v>Calculateur</x:v>
      </x:c>
      <x:c r="D261" t="n">
        <x:v>10</x:v>
      </x:c>
      <x:c r="E261" t="n">
        <x:v>0</x:v>
      </x:c>
      <x:c r="F261" t="n">
        <x:v>0</x:v>
      </x:c>
      <x:c r="G261" t="n">
        <x:v>0</x:v>
      </x:c>
      <x:c r="H261" t="n">
        <x:v>7</x:v>
      </x:c>
      <x:c r="I261" t="n">
        <x:v>3</x:v>
      </x:c>
      <x:c r="J261" t="n">
        <x:v>0</x:v>
      </x:c>
      <x:c r="K261" t="n">
        <x:v>0</x:v>
      </x:c>
      <x:c r="L261" t="n">
        <x:v>0</x:v>
      </x:c>
      <x:c r="M261" t="n">
        <x:v>0</x:v>
      </x:c>
    </x:row>
    <x:row r="262">
      <x:c r="A262" t="str">
        <x:v>ME|Calculateur|11</x:v>
      </x:c>
      <x:c r="B262" t="str">
        <x:v>Mental</x:v>
      </x:c>
      <x:c r="C262" t="str">
        <x:v>Calculateur</x:v>
      </x:c>
      <x:c r="D262" t="n">
        <x:v>11</x:v>
      </x:c>
      <x:c r="E262" t="n">
        <x:v>0</x:v>
      </x:c>
      <x:c r="F262" t="n">
        <x:v>0</x:v>
      </x:c>
      <x:c r="G262" t="n">
        <x:v>0</x:v>
      </x:c>
      <x:c r="H262" t="n">
        <x:v>8</x:v>
      </x:c>
      <x:c r="I262" t="n">
        <x:v>3</x:v>
      </x:c>
      <x:c r="J262" t="n">
        <x:v>0</x:v>
      </x:c>
      <x:c r="K262" t="n">
        <x:v>0</x:v>
      </x:c>
      <x:c r="L262" t="n">
        <x:v>0</x:v>
      </x:c>
      <x:c r="M262" t="n">
        <x:v>0</x:v>
      </x:c>
    </x:row>
    <x:row r="263">
      <x:c r="A263" t="str">
        <x:v>ME|Calculateur|12</x:v>
      </x:c>
      <x:c r="B263" t="str">
        <x:v>Mental</x:v>
      </x:c>
      <x:c r="C263" t="str">
        <x:v>Calculateur</x:v>
      </x:c>
      <x:c r="D263" t="n">
        <x:v>12</x:v>
      </x:c>
      <x:c r="E263" t="n">
        <x:v>0</x:v>
      </x:c>
      <x:c r="F263" t="n">
        <x:v>0</x:v>
      </x:c>
      <x:c r="G263" t="n">
        <x:v>0</x:v>
      </x:c>
      <x:c r="H263" t="n">
        <x:v>8</x:v>
      </x:c>
      <x:c r="I263" t="n">
        <x:v>4</x:v>
      </x:c>
      <x:c r="J263" t="n">
        <x:v>0</x:v>
      </x:c>
      <x:c r="K263" t="n">
        <x:v>0</x:v>
      </x:c>
      <x:c r="L263" t="n">
        <x:v>0</x:v>
      </x:c>
      <x:c r="M263" t="n">
        <x:v>0</x:v>
      </x:c>
    </x:row>
    <x:row r="264">
      <x:c r="A264" t="str">
        <x:v>ME|Calculateur|13</x:v>
      </x:c>
      <x:c r="B264" t="str">
        <x:v>Mental</x:v>
      </x:c>
      <x:c r="C264" t="str">
        <x:v>Calculateur</x:v>
      </x:c>
      <x:c r="D264" t="n">
        <x:v>13</x:v>
      </x:c>
      <x:c r="E264" t="n">
        <x:v>0</x:v>
      </x:c>
      <x:c r="F264" t="n">
        <x:v>0</x:v>
      </x:c>
      <x:c r="G264" t="n">
        <x:v>0</x:v>
      </x:c>
      <x:c r="H264" t="n">
        <x:v>9</x:v>
      </x:c>
      <x:c r="I264" t="n">
        <x:v>4</x:v>
      </x:c>
      <x:c r="J264" t="n">
        <x:v>0</x:v>
      </x:c>
      <x:c r="K264" t="n">
        <x:v>0</x:v>
      </x:c>
      <x:c r="L264" t="n">
        <x:v>0</x:v>
      </x:c>
      <x:c r="M264" t="n">
        <x:v>0</x:v>
      </x:c>
    </x:row>
    <x:row r="265">
      <x:c r="A265" t="str">
        <x:v>ME|Calculateur|14</x:v>
      </x:c>
      <x:c r="B265" t="str">
        <x:v>Mental</x:v>
      </x:c>
      <x:c r="C265" t="str">
        <x:v>Calculateur</x:v>
      </x:c>
      <x:c r="D265" t="n">
        <x:v>14</x:v>
      </x:c>
      <x:c r="E265" t="n">
        <x:v>0</x:v>
      </x:c>
      <x:c r="F265" t="n">
        <x:v>0</x:v>
      </x:c>
      <x:c r="G265" t="n">
        <x:v>0</x:v>
      </x:c>
      <x:c r="H265" t="n">
        <x:v>10</x:v>
      </x:c>
      <x:c r="I265" t="n">
        <x:v>4</x:v>
      </x:c>
      <x:c r="J265" t="n">
        <x:v>0</x:v>
      </x:c>
      <x:c r="K265" t="n">
        <x:v>0</x:v>
      </x:c>
      <x:c r="L265" t="n">
        <x:v>0</x:v>
      </x:c>
      <x:c r="M265" t="n">
        <x:v>0</x:v>
      </x:c>
    </x:row>
    <x:row r="266">
      <x:c r="A266" t="str">
        <x:v>ME|Calculateur|15</x:v>
      </x:c>
      <x:c r="B266" t="str">
        <x:v>Mental</x:v>
      </x:c>
      <x:c r="C266" t="str">
        <x:v>Calculateur</x:v>
      </x:c>
      <x:c r="D266" t="n">
        <x:v>15</x:v>
      </x:c>
      <x:c r="E266" t="n">
        <x:v>0</x:v>
      </x:c>
      <x:c r="F266" t="n">
        <x:v>0</x:v>
      </x:c>
      <x:c r="G266" t="n">
        <x:v>0</x:v>
      </x:c>
      <x:c r="H266" t="n">
        <x:v>11</x:v>
      </x:c>
      <x:c r="I266" t="n">
        <x:v>4</x:v>
      </x:c>
      <x:c r="J266" t="n">
        <x:v>0</x:v>
      </x:c>
      <x:c r="K266" t="n">
        <x:v>0</x:v>
      </x:c>
      <x:c r="L266" t="n">
        <x:v>0</x:v>
      </x:c>
      <x:c r="M266" t="n">
        <x:v>0</x:v>
      </x:c>
    </x:row>
    <x:row r="267">
      <x:c r="A267" t="str">
        <x:v>ME|Calculateur|16</x:v>
      </x:c>
      <x:c r="B267" t="str">
        <x:v>Mental</x:v>
      </x:c>
      <x:c r="C267" t="str">
        <x:v>Calculateur</x:v>
      </x:c>
      <x:c r="D267" t="n">
        <x:v>16</x:v>
      </x:c>
      <x:c r="E267" t="n">
        <x:v>0</x:v>
      </x:c>
      <x:c r="F267" t="n">
        <x:v>0</x:v>
      </x:c>
      <x:c r="G267" t="n">
        <x:v>0</x:v>
      </x:c>
      <x:c r="H267" t="n">
        <x:v>11</x:v>
      </x:c>
      <x:c r="I267" t="n">
        <x:v>5</x:v>
      </x:c>
      <x:c r="J267" t="n">
        <x:v>0</x:v>
      </x:c>
      <x:c r="K267" t="n">
        <x:v>0</x:v>
      </x:c>
      <x:c r="L267" t="n">
        <x:v>0</x:v>
      </x:c>
      <x:c r="M267" t="n">
        <x:v>0</x:v>
      </x:c>
    </x:row>
    <x:row r="268">
      <x:c r="A268" t="str">
        <x:v>ME|Calculateur|17</x:v>
      </x:c>
      <x:c r="B268" t="str">
        <x:v>Mental</x:v>
      </x:c>
      <x:c r="C268" t="str">
        <x:v>Calculateur</x:v>
      </x:c>
      <x:c r="D268" t="n">
        <x:v>17</x:v>
      </x:c>
      <x:c r="E268" t="n">
        <x:v>0</x:v>
      </x:c>
      <x:c r="F268" t="n">
        <x:v>0</x:v>
      </x:c>
      <x:c r="G268" t="n">
        <x:v>0</x:v>
      </x:c>
      <x:c r="H268" t="n">
        <x:v>12</x:v>
      </x:c>
      <x:c r="I268" t="n">
        <x:v>5</x:v>
      </x:c>
      <x:c r="J268" t="n">
        <x:v>0</x:v>
      </x:c>
      <x:c r="K268" t="n">
        <x:v>0</x:v>
      </x:c>
      <x:c r="L268" t="n">
        <x:v>0</x:v>
      </x:c>
      <x:c r="M268" t="n">
        <x:v>0</x:v>
      </x:c>
    </x:row>
    <x:row r="269">
      <x:c r="A269" t="str">
        <x:v>ME|Calculateur|18</x:v>
      </x:c>
      <x:c r="B269" t="str">
        <x:v>Mental</x:v>
      </x:c>
      <x:c r="C269" t="str">
        <x:v>Calculateur</x:v>
      </x:c>
      <x:c r="D269" t="n">
        <x:v>18</x:v>
      </x:c>
      <x:c r="E269" t="n">
        <x:v>0</x:v>
      </x:c>
      <x:c r="F269" t="n">
        <x:v>0</x:v>
      </x:c>
      <x:c r="G269" t="n">
        <x:v>0</x:v>
      </x:c>
      <x:c r="H269" t="n">
        <x:v>13</x:v>
      </x:c>
      <x:c r="I269" t="n">
        <x:v>5</x:v>
      </x:c>
      <x:c r="J269" t="n">
        <x:v>0</x:v>
      </x:c>
      <x:c r="K269" t="n">
        <x:v>0</x:v>
      </x:c>
      <x:c r="L269" t="n">
        <x:v>0</x:v>
      </x:c>
      <x:c r="M269" t="n">
        <x:v>0</x:v>
      </x:c>
    </x:row>
    <x:row r="270">
      <x:c r="A270" t="str">
        <x:v>ME|Calculateur|19</x:v>
      </x:c>
      <x:c r="B270" t="str">
        <x:v>Mental</x:v>
      </x:c>
      <x:c r="C270" t="str">
        <x:v>Calculateur</x:v>
      </x:c>
      <x:c r="D270" t="n">
        <x:v>19</x:v>
      </x:c>
      <x:c r="E270" t="n">
        <x:v>0</x:v>
      </x:c>
      <x:c r="F270" t="n">
        <x:v>0</x:v>
      </x:c>
      <x:c r="G270" t="n">
        <x:v>0</x:v>
      </x:c>
      <x:c r="H270" t="n">
        <x:v>13</x:v>
      </x:c>
      <x:c r="I270" t="n">
        <x:v>6</x:v>
      </x:c>
      <x:c r="J270" t="n">
        <x:v>0</x:v>
      </x:c>
      <x:c r="K270" t="n">
        <x:v>0</x:v>
      </x:c>
      <x:c r="L270" t="n">
        <x:v>0</x:v>
      </x:c>
      <x:c r="M270" t="n">
        <x:v>0</x:v>
      </x:c>
    </x:row>
    <x:row r="271">
      <x:c r="A271" t="str">
        <x:v>ME|Calculateur|20</x:v>
      </x:c>
      <x:c r="B271" t="str">
        <x:v>Mental</x:v>
      </x:c>
      <x:c r="C271" t="str">
        <x:v>Calculateur</x:v>
      </x:c>
      <x:c r="D271" t="n">
        <x:v>20</x:v>
      </x:c>
      <x:c r="E271" t="n">
        <x:v>0</x:v>
      </x:c>
      <x:c r="F271" t="n">
        <x:v>0</x:v>
      </x:c>
      <x:c r="G271" t="n">
        <x:v>0</x:v>
      </x:c>
      <x:c r="H271" t="n">
        <x:v>14</x:v>
      </x:c>
      <x:c r="I271" t="n">
        <x:v>6</x:v>
      </x:c>
      <x:c r="J271" t="n">
        <x:v>0</x:v>
      </x:c>
      <x:c r="K271" t="n">
        <x:v>0</x:v>
      </x:c>
      <x:c r="L271" t="n">
        <x:v>0</x:v>
      </x:c>
      <x:c r="M271" t="n">
        <x:v>0</x:v>
      </x:c>
    </x:row>
    <x:row r="272">
      <x:c r="A272" t="str">
        <x:v>ME|Calculateur|21</x:v>
      </x:c>
      <x:c r="B272" t="str">
        <x:v>Mental</x:v>
      </x:c>
      <x:c r="C272" t="str">
        <x:v>Calculateur</x:v>
      </x:c>
      <x:c r="D272" t="n">
        <x:v>21</x:v>
      </x:c>
      <x:c r="E272" t="n">
        <x:v>0</x:v>
      </x:c>
      <x:c r="F272" t="n">
        <x:v>0</x:v>
      </x:c>
      <x:c r="G272" t="n">
        <x:v>0</x:v>
      </x:c>
      <x:c r="H272" t="n">
        <x:v>15</x:v>
      </x:c>
      <x:c r="I272" t="n">
        <x:v>6</x:v>
      </x:c>
      <x:c r="J272" t="n">
        <x:v>0</x:v>
      </x:c>
      <x:c r="K272" t="n">
        <x:v>0</x:v>
      </x:c>
      <x:c r="L272" t="n">
        <x:v>0</x:v>
      </x:c>
      <x:c r="M272" t="n">
        <x:v>0</x:v>
      </x:c>
    </x:row>
    <x:row r="273">
      <x:c r="A273" t="str">
        <x:v>ME|Savant|0</x:v>
      </x:c>
      <x:c r="B273" t="str">
        <x:v>Mental</x:v>
      </x:c>
      <x:c r="C273" t="str">
        <x:v>Savant</x:v>
      </x:c>
      <x:c r="D273" t="n">
        <x:v>0</x:v>
      </x:c>
      <x:c r="E273" t="n">
        <x:v>0</x:v>
      </x:c>
      <x:c r="F273" t="n">
        <x:v>0</x:v>
      </x:c>
      <x:c r="G273" t="n">
        <x:v>0</x:v>
      </x:c>
      <x:c r="H273" t="n">
        <x:v>0</x:v>
      </x:c>
      <x:c r="I273" t="n">
        <x:v>0</x:v>
      </x:c>
      <x:c r="J273" t="n">
        <x:v>0</x:v>
      </x:c>
      <x:c r="K273" t="n">
        <x:v>0</x:v>
      </x:c>
      <x:c r="L273" t="n">
        <x:v>0</x:v>
      </x:c>
      <x:c r="M273" t="n">
        <x:v>0</x:v>
      </x:c>
    </x:row>
    <x:row r="274">
      <x:c r="A274" t="str">
        <x:v>ME|Savant|1</x:v>
      </x:c>
      <x:c r="B274" t="str">
        <x:v>Mental</x:v>
      </x:c>
      <x:c r="C274" t="str">
        <x:v>Savant</x:v>
      </x:c>
      <x:c r="D274" t="n">
        <x:v>1</x:v>
      </x:c>
      <x:c r="E274" t="n">
        <x:v>0</x:v>
      </x:c>
      <x:c r="F274" t="n">
        <x:v>0</x:v>
      </x:c>
      <x:c r="G274" t="n">
        <x:v>0</x:v>
      </x:c>
      <x:c r="H274" t="n">
        <x:v>1</x:v>
      </x:c>
      <x:c r="I274" t="n">
        <x:v>0</x:v>
      </x:c>
      <x:c r="J274" t="n">
        <x:v>0</x:v>
      </x:c>
      <x:c r="K274" t="n">
        <x:v>0</x:v>
      </x:c>
      <x:c r="L274" t="n">
        <x:v>0</x:v>
      </x:c>
      <x:c r="M274" t="n">
        <x:v>0</x:v>
      </x:c>
    </x:row>
    <x:row r="275">
      <x:c r="A275" t="str">
        <x:v>ME|Savant|2</x:v>
      </x:c>
      <x:c r="B275" t="str">
        <x:v>Mental</x:v>
      </x:c>
      <x:c r="C275" t="str">
        <x:v>Savant</x:v>
      </x:c>
      <x:c r="D275" t="n">
        <x:v>2</x:v>
      </x:c>
      <x:c r="E275" t="n">
        <x:v>0</x:v>
      </x:c>
      <x:c r="F275" t="n">
        <x:v>0</x:v>
      </x:c>
      <x:c r="G275" t="n">
        <x:v>0</x:v>
      </x:c>
      <x:c r="H275" t="n">
        <x:v>2</x:v>
      </x:c>
      <x:c r="I275" t="n">
        <x:v>0</x:v>
      </x:c>
      <x:c r="J275" t="n">
        <x:v>0</x:v>
      </x:c>
      <x:c r="K275" t="n">
        <x:v>0</x:v>
      </x:c>
      <x:c r="L275" t="n">
        <x:v>0</x:v>
      </x:c>
      <x:c r="M275" t="n">
        <x:v>0</x:v>
      </x:c>
    </x:row>
    <x:row r="276">
      <x:c r="A276" t="str">
        <x:v>ME|Savant|3</x:v>
      </x:c>
      <x:c r="B276" t="str">
        <x:v>Mental</x:v>
      </x:c>
      <x:c r="C276" t="str">
        <x:v>Savant</x:v>
      </x:c>
      <x:c r="D276" t="n">
        <x:v>3</x:v>
      </x:c>
      <x:c r="E276" t="n">
        <x:v>0</x:v>
      </x:c>
      <x:c r="F276" t="n">
        <x:v>0</x:v>
      </x:c>
      <x:c r="G276" t="n">
        <x:v>0</x:v>
      </x:c>
      <x:c r="H276" t="n">
        <x:v>2</x:v>
      </x:c>
      <x:c r="I276" t="n">
        <x:v>1</x:v>
      </x:c>
      <x:c r="J276" t="n">
        <x:v>0</x:v>
      </x:c>
      <x:c r="K276" t="n">
        <x:v>0</x:v>
      </x:c>
      <x:c r="L276" t="n">
        <x:v>0</x:v>
      </x:c>
      <x:c r="M276" t="n">
        <x:v>0</x:v>
      </x:c>
    </x:row>
    <x:row r="277">
      <x:c r="A277" t="str">
        <x:v>ME|Savant|4</x:v>
      </x:c>
      <x:c r="B277" t="str">
        <x:v>Mental</x:v>
      </x:c>
      <x:c r="C277" t="str">
        <x:v>Savant</x:v>
      </x:c>
      <x:c r="D277" t="n">
        <x:v>4</x:v>
      </x:c>
      <x:c r="E277" t="n">
        <x:v>0</x:v>
      </x:c>
      <x:c r="F277" t="n">
        <x:v>0</x:v>
      </x:c>
      <x:c r="G277" t="n">
        <x:v>0</x:v>
      </x:c>
      <x:c r="H277" t="n">
        <x:v>3</x:v>
      </x:c>
      <x:c r="I277" t="n">
        <x:v>1</x:v>
      </x:c>
      <x:c r="J277" t="n">
        <x:v>0</x:v>
      </x:c>
      <x:c r="K277" t="n">
        <x:v>0</x:v>
      </x:c>
      <x:c r="L277" t="n">
        <x:v>0</x:v>
      </x:c>
      <x:c r="M277" t="n">
        <x:v>0</x:v>
      </x:c>
    </x:row>
    <x:row r="278">
      <x:c r="A278" t="str">
        <x:v>ME|Savant|5</x:v>
      </x:c>
      <x:c r="B278" t="str">
        <x:v>Mental</x:v>
      </x:c>
      <x:c r="C278" t="str">
        <x:v>Savant</x:v>
      </x:c>
      <x:c r="D278" t="n">
        <x:v>5</x:v>
      </x:c>
      <x:c r="E278" t="n">
        <x:v>0</x:v>
      </x:c>
      <x:c r="F278" t="n">
        <x:v>0</x:v>
      </x:c>
      <x:c r="G278" t="n">
        <x:v>0</x:v>
      </x:c>
      <x:c r="H278" t="n">
        <x:v>4</x:v>
      </x:c>
      <x:c r="I278" t="n">
        <x:v>1</x:v>
      </x:c>
      <x:c r="J278" t="n">
        <x:v>0</x:v>
      </x:c>
      <x:c r="K278" t="n">
        <x:v>0</x:v>
      </x:c>
      <x:c r="L278" t="n">
        <x:v>0</x:v>
      </x:c>
      <x:c r="M278" t="n">
        <x:v>0</x:v>
      </x:c>
    </x:row>
    <x:row r="279">
      <x:c r="A279" t="str">
        <x:v>ME|Savant|6</x:v>
      </x:c>
      <x:c r="B279" t="str">
        <x:v>Mental</x:v>
      </x:c>
      <x:c r="C279" t="str">
        <x:v>Savant</x:v>
      </x:c>
      <x:c r="D279" t="n">
        <x:v>6</x:v>
      </x:c>
      <x:c r="E279" t="n">
        <x:v>0</x:v>
      </x:c>
      <x:c r="F279" t="n">
        <x:v>0</x:v>
      </x:c>
      <x:c r="G279" t="n">
        <x:v>0</x:v>
      </x:c>
      <x:c r="H279" t="n">
        <x:v>5</x:v>
      </x:c>
      <x:c r="I279" t="n">
        <x:v>1</x:v>
      </x:c>
      <x:c r="J279" t="n">
        <x:v>0</x:v>
      </x:c>
      <x:c r="K279" t="n">
        <x:v>0</x:v>
      </x:c>
      <x:c r="L279" t="n">
        <x:v>0</x:v>
      </x:c>
      <x:c r="M279" t="n">
        <x:v>0</x:v>
      </x:c>
    </x:row>
    <x:row r="280">
      <x:c r="A280" t="str">
        <x:v>ME|Savant|7</x:v>
      </x:c>
      <x:c r="B280" t="str">
        <x:v>Mental</x:v>
      </x:c>
      <x:c r="C280" t="str">
        <x:v>Savant</x:v>
      </x:c>
      <x:c r="D280" t="n">
        <x:v>7</x:v>
      </x:c>
      <x:c r="E280" t="n">
        <x:v>0</x:v>
      </x:c>
      <x:c r="F280" t="n">
        <x:v>0</x:v>
      </x:c>
      <x:c r="G280" t="n">
        <x:v>0</x:v>
      </x:c>
      <x:c r="H280" t="n">
        <x:v>5</x:v>
      </x:c>
      <x:c r="I280" t="n">
        <x:v>2</x:v>
      </x:c>
      <x:c r="J280" t="n">
        <x:v>0</x:v>
      </x:c>
      <x:c r="K280" t="n">
        <x:v>0</x:v>
      </x:c>
      <x:c r="L280" t="n">
        <x:v>0</x:v>
      </x:c>
      <x:c r="M280" t="n">
        <x:v>0</x:v>
      </x:c>
    </x:row>
    <x:row r="281">
      <x:c r="A281" t="str">
        <x:v>ME|Savant|8</x:v>
      </x:c>
      <x:c r="B281" t="str">
        <x:v>Mental</x:v>
      </x:c>
      <x:c r="C281" t="str">
        <x:v>Savant</x:v>
      </x:c>
      <x:c r="D281" t="n">
        <x:v>8</x:v>
      </x:c>
      <x:c r="E281" t="n">
        <x:v>0</x:v>
      </x:c>
      <x:c r="F281" t="n">
        <x:v>0</x:v>
      </x:c>
      <x:c r="G281" t="n">
        <x:v>0</x:v>
      </x:c>
      <x:c r="H281" t="n">
        <x:v>6</x:v>
      </x:c>
      <x:c r="I281" t="n">
        <x:v>2</x:v>
      </x:c>
      <x:c r="J281" t="n">
        <x:v>0</x:v>
      </x:c>
      <x:c r="K281" t="n">
        <x:v>0</x:v>
      </x:c>
      <x:c r="L281" t="n">
        <x:v>0</x:v>
      </x:c>
      <x:c r="M281" t="n">
        <x:v>0</x:v>
      </x:c>
    </x:row>
    <x:row r="282">
      <x:c r="A282" t="str">
        <x:v>ME|Savant|9</x:v>
      </x:c>
      <x:c r="B282" t="str">
        <x:v>Mental</x:v>
      </x:c>
      <x:c r="C282" t="str">
        <x:v>Savant</x:v>
      </x:c>
      <x:c r="D282" t="n">
        <x:v>9</x:v>
      </x:c>
      <x:c r="E282" t="n">
        <x:v>0</x:v>
      </x:c>
      <x:c r="F282" t="n">
        <x:v>0</x:v>
      </x:c>
      <x:c r="G282" t="n">
        <x:v>0</x:v>
      </x:c>
      <x:c r="H282" t="n">
        <x:v>7</x:v>
      </x:c>
      <x:c r="I282" t="n">
        <x:v>2</x:v>
      </x:c>
      <x:c r="J282" t="n">
        <x:v>0</x:v>
      </x:c>
      <x:c r="K282" t="n">
        <x:v>0</x:v>
      </x:c>
      <x:c r="L282" t="n">
        <x:v>0</x:v>
      </x:c>
      <x:c r="M282" t="n">
        <x:v>0</x:v>
      </x:c>
    </x:row>
    <x:row r="283">
      <x:c r="A283" t="str">
        <x:v>ME|Savant|10</x:v>
      </x:c>
      <x:c r="B283" t="str">
        <x:v>Mental</x:v>
      </x:c>
      <x:c r="C283" t="str">
        <x:v>Savant</x:v>
      </x:c>
      <x:c r="D283" t="n">
        <x:v>10</x:v>
      </x:c>
      <x:c r="E283" t="n">
        <x:v>0</x:v>
      </x:c>
      <x:c r="F283" t="n">
        <x:v>0</x:v>
      </x:c>
      <x:c r="G283" t="n">
        <x:v>0</x:v>
      </x:c>
      <x:c r="H283" t="n">
        <x:v>8</x:v>
      </x:c>
      <x:c r="I283" t="n">
        <x:v>2</x:v>
      </x:c>
      <x:c r="J283" t="n">
        <x:v>0</x:v>
      </x:c>
      <x:c r="K283" t="n">
        <x:v>0</x:v>
      </x:c>
      <x:c r="L283" t="n">
        <x:v>0</x:v>
      </x:c>
      <x:c r="M283" t="n">
        <x:v>0</x:v>
      </x:c>
    </x:row>
    <x:row r="284">
      <x:c r="A284" t="str">
        <x:v>ME|Savant|11</x:v>
      </x:c>
      <x:c r="B284" t="str">
        <x:v>Mental</x:v>
      </x:c>
      <x:c r="C284" t="str">
        <x:v>Savant</x:v>
      </x:c>
      <x:c r="D284" t="n">
        <x:v>11</x:v>
      </x:c>
      <x:c r="E284" t="n">
        <x:v>0</x:v>
      </x:c>
      <x:c r="F284" t="n">
        <x:v>0</x:v>
      </x:c>
      <x:c r="G284" t="n">
        <x:v>0</x:v>
      </x:c>
      <x:c r="H284" t="n">
        <x:v>8</x:v>
      </x:c>
      <x:c r="I284" t="n">
        <x:v>3</x:v>
      </x:c>
      <x:c r="J284" t="n">
        <x:v>0</x:v>
      </x:c>
      <x:c r="K284" t="n">
        <x:v>0</x:v>
      </x:c>
      <x:c r="L284" t="n">
        <x:v>0</x:v>
      </x:c>
      <x:c r="M284" t="n">
        <x:v>0</x:v>
      </x:c>
    </x:row>
    <x:row r="285">
      <x:c r="A285" t="str">
        <x:v>ME|Savant|12</x:v>
      </x:c>
      <x:c r="B285" t="str">
        <x:v>Mental</x:v>
      </x:c>
      <x:c r="C285" t="str">
        <x:v>Savant</x:v>
      </x:c>
      <x:c r="D285" t="n">
        <x:v>12</x:v>
      </x:c>
      <x:c r="E285" t="n">
        <x:v>0</x:v>
      </x:c>
      <x:c r="F285" t="n">
        <x:v>0</x:v>
      </x:c>
      <x:c r="G285" t="n">
        <x:v>0</x:v>
      </x:c>
      <x:c r="H285" t="n">
        <x:v>9</x:v>
      </x:c>
      <x:c r="I285" t="n">
        <x:v>3</x:v>
      </x:c>
      <x:c r="J285" t="n">
        <x:v>0</x:v>
      </x:c>
      <x:c r="K285" t="n">
        <x:v>0</x:v>
      </x:c>
      <x:c r="L285" t="n">
        <x:v>0</x:v>
      </x:c>
      <x:c r="M285" t="n">
        <x:v>0</x:v>
      </x:c>
    </x:row>
    <x:row r="286">
      <x:c r="A286" t="str">
        <x:v>ME|Savant|13</x:v>
      </x:c>
      <x:c r="B286" t="str">
        <x:v>Mental</x:v>
      </x:c>
      <x:c r="C286" t="str">
        <x:v>Savant</x:v>
      </x:c>
      <x:c r="D286" t="n">
        <x:v>13</x:v>
      </x:c>
      <x:c r="E286" t="n">
        <x:v>0</x:v>
      </x:c>
      <x:c r="F286" t="n">
        <x:v>0</x:v>
      </x:c>
      <x:c r="G286" t="n">
        <x:v>0</x:v>
      </x:c>
      <x:c r="H286" t="n">
        <x:v>10</x:v>
      </x:c>
      <x:c r="I286" t="n">
        <x:v>3</x:v>
      </x:c>
      <x:c r="J286" t="n">
        <x:v>0</x:v>
      </x:c>
      <x:c r="K286" t="n">
        <x:v>0</x:v>
      </x:c>
      <x:c r="L286" t="n">
        <x:v>0</x:v>
      </x:c>
      <x:c r="M286" t="n">
        <x:v>0</x:v>
      </x:c>
    </x:row>
    <x:row r="287">
      <x:c r="A287" t="str">
        <x:v>ME|Savant|14</x:v>
      </x:c>
      <x:c r="B287" t="str">
        <x:v>Mental</x:v>
      </x:c>
      <x:c r="C287" t="str">
        <x:v>Savant</x:v>
      </x:c>
      <x:c r="D287" t="n">
        <x:v>14</x:v>
      </x:c>
      <x:c r="E287" t="n">
        <x:v>0</x:v>
      </x:c>
      <x:c r="F287" t="n">
        <x:v>0</x:v>
      </x:c>
      <x:c r="G287" t="n">
        <x:v>0</x:v>
      </x:c>
      <x:c r="H287" t="n">
        <x:v>11</x:v>
      </x:c>
      <x:c r="I287" t="n">
        <x:v>3</x:v>
      </x:c>
      <x:c r="J287" t="n">
        <x:v>0</x:v>
      </x:c>
      <x:c r="K287" t="n">
        <x:v>0</x:v>
      </x:c>
      <x:c r="L287" t="n">
        <x:v>0</x:v>
      </x:c>
      <x:c r="M287" t="n">
        <x:v>0</x:v>
      </x:c>
    </x:row>
    <x:row r="288">
      <x:c r="A288" t="str">
        <x:v>ME|Savant|15</x:v>
      </x:c>
      <x:c r="B288" t="str">
        <x:v>Mental</x:v>
      </x:c>
      <x:c r="C288" t="str">
        <x:v>Savant</x:v>
      </x:c>
      <x:c r="D288" t="n">
        <x:v>15</x:v>
      </x:c>
      <x:c r="E288" t="n">
        <x:v>0</x:v>
      </x:c>
      <x:c r="F288" t="n">
        <x:v>0</x:v>
      </x:c>
      <x:c r="G288" t="n">
        <x:v>0</x:v>
      </x:c>
      <x:c r="H288" t="n">
        <x:v>11</x:v>
      </x:c>
      <x:c r="I288" t="n">
        <x:v>4</x:v>
      </x:c>
      <x:c r="J288" t="n">
        <x:v>0</x:v>
      </x:c>
      <x:c r="K288" t="n">
        <x:v>0</x:v>
      </x:c>
      <x:c r="L288" t="n">
        <x:v>0</x:v>
      </x:c>
      <x:c r="M288" t="n">
        <x:v>0</x:v>
      </x:c>
    </x:row>
    <x:row r="289">
      <x:c r="A289" t="str">
        <x:v>ME|Savant|16</x:v>
      </x:c>
      <x:c r="B289" t="str">
        <x:v>Mental</x:v>
      </x:c>
      <x:c r="C289" t="str">
        <x:v>Savant</x:v>
      </x:c>
      <x:c r="D289" t="n">
        <x:v>16</x:v>
      </x:c>
      <x:c r="E289" t="n">
        <x:v>0</x:v>
      </x:c>
      <x:c r="F289" t="n">
        <x:v>0</x:v>
      </x:c>
      <x:c r="G289" t="n">
        <x:v>0</x:v>
      </x:c>
      <x:c r="H289" t="n">
        <x:v>12</x:v>
      </x:c>
      <x:c r="I289" t="n">
        <x:v>4</x:v>
      </x:c>
      <x:c r="J289" t="n">
        <x:v>0</x:v>
      </x:c>
      <x:c r="K289" t="n">
        <x:v>0</x:v>
      </x:c>
      <x:c r="L289" t="n">
        <x:v>0</x:v>
      </x:c>
      <x:c r="M289" t="n">
        <x:v>0</x:v>
      </x:c>
    </x:row>
    <x:row r="290">
      <x:c r="A290" t="str">
        <x:v>ME|Savant|17</x:v>
      </x:c>
      <x:c r="B290" t="str">
        <x:v>Mental</x:v>
      </x:c>
      <x:c r="C290" t="str">
        <x:v>Savant</x:v>
      </x:c>
      <x:c r="D290" t="n">
        <x:v>17</x:v>
      </x:c>
      <x:c r="E290" t="n">
        <x:v>0</x:v>
      </x:c>
      <x:c r="F290" t="n">
        <x:v>0</x:v>
      </x:c>
      <x:c r="G290" t="n">
        <x:v>0</x:v>
      </x:c>
      <x:c r="H290" t="n">
        <x:v>13</x:v>
      </x:c>
      <x:c r="I290" t="n">
        <x:v>4</x:v>
      </x:c>
      <x:c r="J290" t="n">
        <x:v>0</x:v>
      </x:c>
      <x:c r="K290" t="n">
        <x:v>0</x:v>
      </x:c>
      <x:c r="L290" t="n">
        <x:v>0</x:v>
      </x:c>
      <x:c r="M290" t="n">
        <x:v>0</x:v>
      </x:c>
    </x:row>
    <x:row r="291">
      <x:c r="A291" t="str">
        <x:v>ME|Savant|18</x:v>
      </x:c>
      <x:c r="B291" t="str">
        <x:v>Mental</x:v>
      </x:c>
      <x:c r="C291" t="str">
        <x:v>Savant</x:v>
      </x:c>
      <x:c r="D291" t="n">
        <x:v>18</x:v>
      </x:c>
      <x:c r="E291" t="n">
        <x:v>0</x:v>
      </x:c>
      <x:c r="F291" t="n">
        <x:v>0</x:v>
      </x:c>
      <x:c r="G291" t="n">
        <x:v>0</x:v>
      </x:c>
      <x:c r="H291" t="n">
        <x:v>14</x:v>
      </x:c>
      <x:c r="I291" t="n">
        <x:v>4</x:v>
      </x:c>
      <x:c r="J291" t="n">
        <x:v>0</x:v>
      </x:c>
      <x:c r="K291" t="n">
        <x:v>0</x:v>
      </x:c>
      <x:c r="L291" t="n">
        <x:v>0</x:v>
      </x:c>
      <x:c r="M291" t="n">
        <x:v>0</x:v>
      </x:c>
    </x:row>
    <x:row r="292">
      <x:c r="A292" t="str">
        <x:v>ME|Savant|19</x:v>
      </x:c>
      <x:c r="B292" t="str">
        <x:v>Mental</x:v>
      </x:c>
      <x:c r="C292" t="str">
        <x:v>Savant</x:v>
      </x:c>
      <x:c r="D292" t="n">
        <x:v>19</x:v>
      </x:c>
      <x:c r="E292" t="n">
        <x:v>0</x:v>
      </x:c>
      <x:c r="F292" t="n">
        <x:v>0</x:v>
      </x:c>
      <x:c r="G292" t="n">
        <x:v>0</x:v>
      </x:c>
      <x:c r="H292" t="n">
        <x:v>14</x:v>
      </x:c>
      <x:c r="I292" t="n">
        <x:v>5</x:v>
      </x:c>
      <x:c r="J292" t="n">
        <x:v>0</x:v>
      </x:c>
      <x:c r="K292" t="n">
        <x:v>0</x:v>
      </x:c>
      <x:c r="L292" t="n">
        <x:v>0</x:v>
      </x:c>
      <x:c r="M292" t="n">
        <x:v>0</x:v>
      </x:c>
    </x:row>
    <x:row r="293">
      <x:c r="A293" t="str">
        <x:v>ME|Savant|20</x:v>
      </x:c>
      <x:c r="B293" t="str">
        <x:v>Mental</x:v>
      </x:c>
      <x:c r="C293" t="str">
        <x:v>Savant</x:v>
      </x:c>
      <x:c r="D293" t="n">
        <x:v>20</x:v>
      </x:c>
      <x:c r="E293" t="n">
        <x:v>0</x:v>
      </x:c>
      <x:c r="F293" t="n">
        <x:v>0</x:v>
      </x:c>
      <x:c r="G293" t="n">
        <x:v>0</x:v>
      </x:c>
      <x:c r="H293" t="n">
        <x:v>15</x:v>
      </x:c>
      <x:c r="I293" t="n">
        <x:v>5</x:v>
      </x:c>
      <x:c r="J293" t="n">
        <x:v>0</x:v>
      </x:c>
      <x:c r="K293" t="n">
        <x:v>0</x:v>
      </x:c>
      <x:c r="L293" t="n">
        <x:v>0</x:v>
      </x:c>
      <x:c r="M293" t="n">
        <x:v>0</x:v>
      </x:c>
    </x:row>
    <x:row r="294">
      <x:c r="A294" t="str">
        <x:v>ME|Savant|21</x:v>
      </x:c>
      <x:c r="B294" t="str">
        <x:v>Mental</x:v>
      </x:c>
      <x:c r="C294" t="str">
        <x:v>Savant</x:v>
      </x:c>
      <x:c r="D294" t="n">
        <x:v>21</x:v>
      </x:c>
      <x:c r="E294" t="n">
        <x:v>0</x:v>
      </x:c>
      <x:c r="F294" t="n">
        <x:v>0</x:v>
      </x:c>
      <x:c r="G294" t="n">
        <x:v>0</x:v>
      </x:c>
      <x:c r="H294" t="n">
        <x:v>16</x:v>
      </x:c>
      <x:c r="I294" t="n">
        <x:v>5</x:v>
      </x:c>
      <x:c r="J294" t="n">
        <x:v>0</x:v>
      </x:c>
      <x:c r="K294" t="n">
        <x:v>0</x:v>
      </x:c>
      <x:c r="L294" t="n">
        <x:v>0</x:v>
      </x:c>
      <x:c r="M294" t="n">
        <x:v>0</x:v>
      </x:c>
    </x:row>
    <x:row r="295">
      <x:c r="A295" t="str">
        <x:v>ME|Rusé|0</x:v>
      </x:c>
      <x:c r="B295" t="str">
        <x:v>Mental</x:v>
      </x:c>
      <x:c r="C295" t="str">
        <x:v>Rusé</x:v>
      </x:c>
      <x:c r="D295" t="n">
        <x:v>0</x:v>
      </x:c>
      <x:c r="E295" t="n">
        <x:v>0</x:v>
      </x:c>
      <x:c r="F295" t="n">
        <x:v>0</x:v>
      </x:c>
      <x:c r="G295" t="n">
        <x:v>0</x:v>
      </x:c>
      <x:c r="H295" t="n">
        <x:v>0</x:v>
      </x:c>
      <x:c r="I295" t="n">
        <x:v>0</x:v>
      </x:c>
      <x:c r="J295" t="n">
        <x:v>0</x:v>
      </x:c>
      <x:c r="K295" t="n">
        <x:v>0</x:v>
      </x:c>
      <x:c r="L295" t="n">
        <x:v>0</x:v>
      </x:c>
      <x:c r="M295" t="n">
        <x:v>0</x:v>
      </x:c>
    </x:row>
    <x:row r="296">
      <x:c r="A296" t="str">
        <x:v>ME|Rusé|1</x:v>
      </x:c>
      <x:c r="B296" t="str">
        <x:v>Mental</x:v>
      </x:c>
      <x:c r="C296" t="str">
        <x:v>Rusé</x:v>
      </x:c>
      <x:c r="D296" t="n">
        <x:v>1</x:v>
      </x:c>
      <x:c r="E296" t="n">
        <x:v>0</x:v>
      </x:c>
      <x:c r="F296" t="n">
        <x:v>0</x:v>
      </x:c>
      <x:c r="G296" t="n">
        <x:v>0</x:v>
      </x:c>
      <x:c r="H296" t="n">
        <x:v>1</x:v>
      </x:c>
      <x:c r="I296" t="n">
        <x:v>0</x:v>
      </x:c>
      <x:c r="J296" t="n">
        <x:v>0</x:v>
      </x:c>
      <x:c r="K296" t="n">
        <x:v>0</x:v>
      </x:c>
      <x:c r="L296" t="n">
        <x:v>0</x:v>
      </x:c>
      <x:c r="M296" t="n">
        <x:v>0</x:v>
      </x:c>
    </x:row>
    <x:row r="297">
      <x:c r="A297" t="str">
        <x:v>ME|Rusé|2</x:v>
      </x:c>
      <x:c r="B297" t="str">
        <x:v>Mental</x:v>
      </x:c>
      <x:c r="C297" t="str">
        <x:v>Rusé</x:v>
      </x:c>
      <x:c r="D297" t="n">
        <x:v>2</x:v>
      </x:c>
      <x:c r="E297" t="n">
        <x:v>0</x:v>
      </x:c>
      <x:c r="F297" t="n">
        <x:v>0</x:v>
      </x:c>
      <x:c r="G297" t="n">
        <x:v>0</x:v>
      </x:c>
      <x:c r="H297" t="n">
        <x:v>1</x:v>
      </x:c>
      <x:c r="I297" t="n">
        <x:v>0</x:v>
      </x:c>
      <x:c r="J297" t="n">
        <x:v>1</x:v>
      </x:c>
      <x:c r="K297" t="n">
        <x:v>0</x:v>
      </x:c>
      <x:c r="L297" t="n">
        <x:v>0</x:v>
      </x:c>
      <x:c r="M297" t="n">
        <x:v>0</x:v>
      </x:c>
    </x:row>
    <x:row r="298">
      <x:c r="A298" t="str">
        <x:v>ME|Rusé|3</x:v>
      </x:c>
      <x:c r="B298" t="str">
        <x:v>Mental</x:v>
      </x:c>
      <x:c r="C298" t="str">
        <x:v>Rusé</x:v>
      </x:c>
      <x:c r="D298" t="n">
        <x:v>3</x:v>
      </x:c>
      <x:c r="E298" t="n">
        <x:v>0</x:v>
      </x:c>
      <x:c r="F298" t="n">
        <x:v>0</x:v>
      </x:c>
      <x:c r="G298" t="n">
        <x:v>0</x:v>
      </x:c>
      <x:c r="H298" t="n">
        <x:v>2</x:v>
      </x:c>
      <x:c r="I298" t="n">
        <x:v>0</x:v>
      </x:c>
      <x:c r="J298" t="n">
        <x:v>1</x:v>
      </x:c>
      <x:c r="K298" t="n">
        <x:v>0</x:v>
      </x:c>
      <x:c r="L298" t="n">
        <x:v>0</x:v>
      </x:c>
      <x:c r="M298" t="n">
        <x:v>0</x:v>
      </x:c>
    </x:row>
    <x:row r="299">
      <x:c r="A299" t="str">
        <x:v>ME|Rusé|4</x:v>
      </x:c>
      <x:c r="B299" t="str">
        <x:v>Mental</x:v>
      </x:c>
      <x:c r="C299" t="str">
        <x:v>Rusé</x:v>
      </x:c>
      <x:c r="D299" t="n">
        <x:v>4</x:v>
      </x:c>
      <x:c r="E299" t="n">
        <x:v>0</x:v>
      </x:c>
      <x:c r="F299" t="n">
        <x:v>0</x:v>
      </x:c>
      <x:c r="G299" t="n">
        <x:v>0</x:v>
      </x:c>
      <x:c r="H299" t="n">
        <x:v>2</x:v>
      </x:c>
      <x:c r="I299" t="n">
        <x:v>0</x:v>
      </x:c>
      <x:c r="J299" t="n">
        <x:v>2</x:v>
      </x:c>
      <x:c r="K299" t="n">
        <x:v>0</x:v>
      </x:c>
      <x:c r="L299" t="n">
        <x:v>0</x:v>
      </x:c>
      <x:c r="M299" t="n">
        <x:v>0</x:v>
      </x:c>
    </x:row>
    <x:row r="300">
      <x:c r="A300" t="str">
        <x:v>ME|Rusé|5</x:v>
      </x:c>
      <x:c r="B300" t="str">
        <x:v>Mental</x:v>
      </x:c>
      <x:c r="C300" t="str">
        <x:v>Rusé</x:v>
      </x:c>
      <x:c r="D300" t="n">
        <x:v>5</x:v>
      </x:c>
      <x:c r="E300" t="n">
        <x:v>0</x:v>
      </x:c>
      <x:c r="F300" t="n">
        <x:v>0</x:v>
      </x:c>
      <x:c r="G300" t="n">
        <x:v>0</x:v>
      </x:c>
      <x:c r="H300" t="n">
        <x:v>3</x:v>
      </x:c>
      <x:c r="I300" t="n">
        <x:v>0</x:v>
      </x:c>
      <x:c r="J300" t="n">
        <x:v>2</x:v>
      </x:c>
      <x:c r="K300" t="n">
        <x:v>0</x:v>
      </x:c>
      <x:c r="L300" t="n">
        <x:v>0</x:v>
      </x:c>
      <x:c r="M300" t="n">
        <x:v>0</x:v>
      </x:c>
    </x:row>
    <x:row r="301">
      <x:c r="A301" t="str">
        <x:v>ME|Rusé|6</x:v>
      </x:c>
      <x:c r="B301" t="str">
        <x:v>Mental</x:v>
      </x:c>
      <x:c r="C301" t="str">
        <x:v>Rusé</x:v>
      </x:c>
      <x:c r="D301" t="n">
        <x:v>6</x:v>
      </x:c>
      <x:c r="E301" t="n">
        <x:v>0</x:v>
      </x:c>
      <x:c r="F301" t="n">
        <x:v>0</x:v>
      </x:c>
      <x:c r="G301" t="n">
        <x:v>0</x:v>
      </x:c>
      <x:c r="H301" t="n">
        <x:v>4</x:v>
      </x:c>
      <x:c r="I301" t="n">
        <x:v>0</x:v>
      </x:c>
      <x:c r="J301" t="n">
        <x:v>2</x:v>
      </x:c>
      <x:c r="K301" t="n">
        <x:v>0</x:v>
      </x:c>
      <x:c r="L301" t="n">
        <x:v>0</x:v>
      </x:c>
      <x:c r="M301" t="n">
        <x:v>0</x:v>
      </x:c>
    </x:row>
    <x:row r="302">
      <x:c r="A302" t="str">
        <x:v>ME|Rusé|7</x:v>
      </x:c>
      <x:c r="B302" t="str">
        <x:v>Mental</x:v>
      </x:c>
      <x:c r="C302" t="str">
        <x:v>Rusé</x:v>
      </x:c>
      <x:c r="D302" t="n">
        <x:v>7</x:v>
      </x:c>
      <x:c r="E302" t="n">
        <x:v>0</x:v>
      </x:c>
      <x:c r="F302" t="n">
        <x:v>0</x:v>
      </x:c>
      <x:c r="G302" t="n">
        <x:v>0</x:v>
      </x:c>
      <x:c r="H302" t="n">
        <x:v>4</x:v>
      </x:c>
      <x:c r="I302" t="n">
        <x:v>0</x:v>
      </x:c>
      <x:c r="J302" t="n">
        <x:v>3</x:v>
      </x:c>
      <x:c r="K302" t="n">
        <x:v>0</x:v>
      </x:c>
      <x:c r="L302" t="n">
        <x:v>0</x:v>
      </x:c>
      <x:c r="M302" t="n">
        <x:v>0</x:v>
      </x:c>
    </x:row>
    <x:row r="303">
      <x:c r="A303" t="str">
        <x:v>ME|Rusé|8</x:v>
      </x:c>
      <x:c r="B303" t="str">
        <x:v>Mental</x:v>
      </x:c>
      <x:c r="C303" t="str">
        <x:v>Rusé</x:v>
      </x:c>
      <x:c r="D303" t="n">
        <x:v>8</x:v>
      </x:c>
      <x:c r="E303" t="n">
        <x:v>0</x:v>
      </x:c>
      <x:c r="F303" t="n">
        <x:v>0</x:v>
      </x:c>
      <x:c r="G303" t="n">
        <x:v>0</x:v>
      </x:c>
      <x:c r="H303" t="n">
        <x:v>5</x:v>
      </x:c>
      <x:c r="I303" t="n">
        <x:v>0</x:v>
      </x:c>
      <x:c r="J303" t="n">
        <x:v>3</x:v>
      </x:c>
      <x:c r="K303" t="n">
        <x:v>0</x:v>
      </x:c>
      <x:c r="L303" t="n">
        <x:v>0</x:v>
      </x:c>
      <x:c r="M303" t="n">
        <x:v>0</x:v>
      </x:c>
    </x:row>
    <x:row r="304">
      <x:c r="A304" t="str">
        <x:v>ME|Rusé|9</x:v>
      </x:c>
      <x:c r="B304" t="str">
        <x:v>Mental</x:v>
      </x:c>
      <x:c r="C304" t="str">
        <x:v>Rusé</x:v>
      </x:c>
      <x:c r="D304" t="n">
        <x:v>9</x:v>
      </x:c>
      <x:c r="E304" t="n">
        <x:v>0</x:v>
      </x:c>
      <x:c r="F304" t="n">
        <x:v>0</x:v>
      </x:c>
      <x:c r="G304" t="n">
        <x:v>0</x:v>
      </x:c>
      <x:c r="H304" t="n">
        <x:v>5</x:v>
      </x:c>
      <x:c r="I304" t="n">
        <x:v>0</x:v>
      </x:c>
      <x:c r="J304" t="n">
        <x:v>4</x:v>
      </x:c>
      <x:c r="K304" t="n">
        <x:v>0</x:v>
      </x:c>
      <x:c r="L304" t="n">
        <x:v>0</x:v>
      </x:c>
      <x:c r="M304" t="n">
        <x:v>0</x:v>
      </x:c>
    </x:row>
    <x:row r="305">
      <x:c r="A305" t="str">
        <x:v>ME|Rusé|10</x:v>
      </x:c>
      <x:c r="B305" t="str">
        <x:v>Mental</x:v>
      </x:c>
      <x:c r="C305" t="str">
        <x:v>Rusé</x:v>
      </x:c>
      <x:c r="D305" t="n">
        <x:v>10</x:v>
      </x:c>
      <x:c r="E305" t="n">
        <x:v>0</x:v>
      </x:c>
      <x:c r="F305" t="n">
        <x:v>0</x:v>
      </x:c>
      <x:c r="G305" t="n">
        <x:v>0</x:v>
      </x:c>
      <x:c r="H305" t="n">
        <x:v>6</x:v>
      </x:c>
      <x:c r="I305" t="n">
        <x:v>0</x:v>
      </x:c>
      <x:c r="J305" t="n">
        <x:v>4</x:v>
      </x:c>
      <x:c r="K305" t="n">
        <x:v>0</x:v>
      </x:c>
      <x:c r="L305" t="n">
        <x:v>0</x:v>
      </x:c>
      <x:c r="M305" t="n">
        <x:v>0</x:v>
      </x:c>
    </x:row>
    <x:row r="306">
      <x:c r="A306" t="str">
        <x:v>ME|Rusé|11</x:v>
      </x:c>
      <x:c r="B306" t="str">
        <x:v>Mental</x:v>
      </x:c>
      <x:c r="C306" t="str">
        <x:v>Rusé</x:v>
      </x:c>
      <x:c r="D306" t="n">
        <x:v>11</x:v>
      </x:c>
      <x:c r="E306" t="n">
        <x:v>0</x:v>
      </x:c>
      <x:c r="F306" t="n">
        <x:v>0</x:v>
      </x:c>
      <x:c r="G306" t="n">
        <x:v>0</x:v>
      </x:c>
      <x:c r="H306" t="n">
        <x:v>7</x:v>
      </x:c>
      <x:c r="I306" t="n">
        <x:v>0</x:v>
      </x:c>
      <x:c r="J306" t="n">
        <x:v>4</x:v>
      </x:c>
      <x:c r="K306" t="n">
        <x:v>0</x:v>
      </x:c>
      <x:c r="L306" t="n">
        <x:v>0</x:v>
      </x:c>
      <x:c r="M306" t="n">
        <x:v>0</x:v>
      </x:c>
    </x:row>
    <x:row r="307">
      <x:c r="A307" t="str">
        <x:v>ME|Rusé|12</x:v>
      </x:c>
      <x:c r="B307" t="str">
        <x:v>Mental</x:v>
      </x:c>
      <x:c r="C307" t="str">
        <x:v>Rusé</x:v>
      </x:c>
      <x:c r="D307" t="n">
        <x:v>12</x:v>
      </x:c>
      <x:c r="E307" t="n">
        <x:v>0</x:v>
      </x:c>
      <x:c r="F307" t="n">
        <x:v>0</x:v>
      </x:c>
      <x:c r="G307" t="n">
        <x:v>0</x:v>
      </x:c>
      <x:c r="H307" t="n">
        <x:v>7</x:v>
      </x:c>
      <x:c r="I307" t="n">
        <x:v>0</x:v>
      </x:c>
      <x:c r="J307" t="n">
        <x:v>5</x:v>
      </x:c>
      <x:c r="K307" t="n">
        <x:v>0</x:v>
      </x:c>
      <x:c r="L307" t="n">
        <x:v>0</x:v>
      </x:c>
      <x:c r="M307" t="n">
        <x:v>0</x:v>
      </x:c>
    </x:row>
    <x:row r="308">
      <x:c r="A308" t="str">
        <x:v>ME|Rusé|13</x:v>
      </x:c>
      <x:c r="B308" t="str">
        <x:v>Mental</x:v>
      </x:c>
      <x:c r="C308" t="str">
        <x:v>Rusé</x:v>
      </x:c>
      <x:c r="D308" t="n">
        <x:v>13</x:v>
      </x:c>
      <x:c r="E308" t="n">
        <x:v>0</x:v>
      </x:c>
      <x:c r="F308" t="n">
        <x:v>0</x:v>
      </x:c>
      <x:c r="G308" t="n">
        <x:v>0</x:v>
      </x:c>
      <x:c r="H308" t="n">
        <x:v>8</x:v>
      </x:c>
      <x:c r="I308" t="n">
        <x:v>0</x:v>
      </x:c>
      <x:c r="J308" t="n">
        <x:v>5</x:v>
      </x:c>
      <x:c r="K308" t="n">
        <x:v>0</x:v>
      </x:c>
      <x:c r="L308" t="n">
        <x:v>0</x:v>
      </x:c>
      <x:c r="M308" t="n">
        <x:v>0</x:v>
      </x:c>
    </x:row>
    <x:row r="309">
      <x:c r="A309" t="str">
        <x:v>ME|Rusé|14</x:v>
      </x:c>
      <x:c r="B309" t="str">
        <x:v>Mental</x:v>
      </x:c>
      <x:c r="C309" t="str">
        <x:v>Rusé</x:v>
      </x:c>
      <x:c r="D309" t="n">
        <x:v>14</x:v>
      </x:c>
      <x:c r="E309" t="n">
        <x:v>0</x:v>
      </x:c>
      <x:c r="F309" t="n">
        <x:v>0</x:v>
      </x:c>
      <x:c r="G309" t="n">
        <x:v>0</x:v>
      </x:c>
      <x:c r="H309" t="n">
        <x:v>8</x:v>
      </x:c>
      <x:c r="I309" t="n">
        <x:v>0</x:v>
      </x:c>
      <x:c r="J309" t="n">
        <x:v>6</x:v>
      </x:c>
      <x:c r="K309" t="n">
        <x:v>0</x:v>
      </x:c>
      <x:c r="L309" t="n">
        <x:v>0</x:v>
      </x:c>
      <x:c r="M309" t="n">
        <x:v>0</x:v>
      </x:c>
    </x:row>
    <x:row r="310">
      <x:c r="A310" t="str">
        <x:v>ME|Rusé|15</x:v>
      </x:c>
      <x:c r="B310" t="str">
        <x:v>Mental</x:v>
      </x:c>
      <x:c r="C310" t="str">
        <x:v>Rusé</x:v>
      </x:c>
      <x:c r="D310" t="n">
        <x:v>15</x:v>
      </x:c>
      <x:c r="E310" t="n">
        <x:v>0</x:v>
      </x:c>
      <x:c r="F310" t="n">
        <x:v>0</x:v>
      </x:c>
      <x:c r="G310" t="n">
        <x:v>0</x:v>
      </x:c>
      <x:c r="H310" t="n">
        <x:v>9</x:v>
      </x:c>
      <x:c r="I310" t="n">
        <x:v>0</x:v>
      </x:c>
      <x:c r="J310" t="n">
        <x:v>6</x:v>
      </x:c>
      <x:c r="K310" t="n">
        <x:v>0</x:v>
      </x:c>
      <x:c r="L310" t="n">
        <x:v>0</x:v>
      </x:c>
      <x:c r="M310" t="n">
        <x:v>0</x:v>
      </x:c>
    </x:row>
    <x:row r="311">
      <x:c r="A311" t="str">
        <x:v>ME|Rusé|16</x:v>
      </x:c>
      <x:c r="B311" t="str">
        <x:v>Mental</x:v>
      </x:c>
      <x:c r="C311" t="str">
        <x:v>Rusé</x:v>
      </x:c>
      <x:c r="D311" t="n">
        <x:v>16</x:v>
      </x:c>
      <x:c r="E311" t="n">
        <x:v>0</x:v>
      </x:c>
      <x:c r="F311" t="n">
        <x:v>0</x:v>
      </x:c>
      <x:c r="G311" t="n">
        <x:v>0</x:v>
      </x:c>
      <x:c r="H311" t="n">
        <x:v>10</x:v>
      </x:c>
      <x:c r="I311" t="n">
        <x:v>0</x:v>
      </x:c>
      <x:c r="J311" t="n">
        <x:v>6</x:v>
      </x:c>
      <x:c r="K311" t="n">
        <x:v>0</x:v>
      </x:c>
      <x:c r="L311" t="n">
        <x:v>0</x:v>
      </x:c>
      <x:c r="M311" t="n">
        <x:v>0</x:v>
      </x:c>
    </x:row>
    <x:row r="312">
      <x:c r="A312" t="str">
        <x:v>ME|Rusé|17</x:v>
      </x:c>
      <x:c r="B312" t="str">
        <x:v>Mental</x:v>
      </x:c>
      <x:c r="C312" t="str">
        <x:v>Rusé</x:v>
      </x:c>
      <x:c r="D312" t="n">
        <x:v>17</x:v>
      </x:c>
      <x:c r="E312" t="n">
        <x:v>0</x:v>
      </x:c>
      <x:c r="F312" t="n">
        <x:v>0</x:v>
      </x:c>
      <x:c r="G312" t="n">
        <x:v>0</x:v>
      </x:c>
      <x:c r="H312" t="n">
        <x:v>10</x:v>
      </x:c>
      <x:c r="I312" t="n">
        <x:v>0</x:v>
      </x:c>
      <x:c r="J312" t="n">
        <x:v>7</x:v>
      </x:c>
      <x:c r="K312" t="n">
        <x:v>0</x:v>
      </x:c>
      <x:c r="L312" t="n">
        <x:v>0</x:v>
      </x:c>
      <x:c r="M312" t="n">
        <x:v>0</x:v>
      </x:c>
    </x:row>
    <x:row r="313">
      <x:c r="A313" t="str">
        <x:v>ME|Rusé|18</x:v>
      </x:c>
      <x:c r="B313" t="str">
        <x:v>Mental</x:v>
      </x:c>
      <x:c r="C313" t="str">
        <x:v>Rusé</x:v>
      </x:c>
      <x:c r="D313" t="n">
        <x:v>18</x:v>
      </x:c>
      <x:c r="E313" t="n">
        <x:v>0</x:v>
      </x:c>
      <x:c r="F313" t="n">
        <x:v>0</x:v>
      </x:c>
      <x:c r="G313" t="n">
        <x:v>0</x:v>
      </x:c>
      <x:c r="H313" t="n">
        <x:v>11</x:v>
      </x:c>
      <x:c r="I313" t="n">
        <x:v>0</x:v>
      </x:c>
      <x:c r="J313" t="n">
        <x:v>7</x:v>
      </x:c>
      <x:c r="K313" t="n">
        <x:v>0</x:v>
      </x:c>
      <x:c r="L313" t="n">
        <x:v>0</x:v>
      </x:c>
      <x:c r="M313" t="n">
        <x:v>0</x:v>
      </x:c>
    </x:row>
    <x:row r="314">
      <x:c r="A314" t="str">
        <x:v>ME|Rusé|19</x:v>
      </x:c>
      <x:c r="B314" t="str">
        <x:v>Mental</x:v>
      </x:c>
      <x:c r="C314" t="str">
        <x:v>Rusé</x:v>
      </x:c>
      <x:c r="D314" t="n">
        <x:v>19</x:v>
      </x:c>
      <x:c r="E314" t="n">
        <x:v>0</x:v>
      </x:c>
      <x:c r="F314" t="n">
        <x:v>0</x:v>
      </x:c>
      <x:c r="G314" t="n">
        <x:v>0</x:v>
      </x:c>
      <x:c r="H314" t="n">
        <x:v>11</x:v>
      </x:c>
      <x:c r="I314" t="n">
        <x:v>0</x:v>
      </x:c>
      <x:c r="J314" t="n">
        <x:v>8</x:v>
      </x:c>
      <x:c r="K314" t="n">
        <x:v>0</x:v>
      </x:c>
      <x:c r="L314" t="n">
        <x:v>0</x:v>
      </x:c>
      <x:c r="M314" t="n">
        <x:v>0</x:v>
      </x:c>
    </x:row>
    <x:row r="315">
      <x:c r="A315" t="str">
        <x:v>ME|Rusé|20</x:v>
      </x:c>
      <x:c r="B315" t="str">
        <x:v>Mental</x:v>
      </x:c>
      <x:c r="C315" t="str">
        <x:v>Rusé</x:v>
      </x:c>
      <x:c r="D315" t="n">
        <x:v>20</x:v>
      </x:c>
      <x:c r="E315" t="n">
        <x:v>0</x:v>
      </x:c>
      <x:c r="F315" t="n">
        <x:v>0</x:v>
      </x:c>
      <x:c r="G315" t="n">
        <x:v>0</x:v>
      </x:c>
      <x:c r="H315" t="n">
        <x:v>12</x:v>
      </x:c>
      <x:c r="I315" t="n">
        <x:v>0</x:v>
      </x:c>
      <x:c r="J315" t="n">
        <x:v>8</x:v>
      </x:c>
      <x:c r="K315" t="n">
        <x:v>0</x:v>
      </x:c>
      <x:c r="L315" t="n">
        <x:v>0</x:v>
      </x:c>
      <x:c r="M315" t="n">
        <x:v>0</x:v>
      </x:c>
    </x:row>
    <x:row r="316">
      <x:c r="A316" t="str">
        <x:v>ME|Rusé|21</x:v>
      </x:c>
      <x:c r="B316" t="str">
        <x:v>Mental</x:v>
      </x:c>
      <x:c r="C316" t="str">
        <x:v>Rusé</x:v>
      </x:c>
      <x:c r="D316" t="n">
        <x:v>21</x:v>
      </x:c>
      <x:c r="E316" t="n">
        <x:v>0</x:v>
      </x:c>
      <x:c r="F316" t="n">
        <x:v>0</x:v>
      </x:c>
      <x:c r="G316" t="n">
        <x:v>0</x:v>
      </x:c>
      <x:c r="H316" t="n">
        <x:v>13</x:v>
      </x:c>
      <x:c r="I316" t="n">
        <x:v>0</x:v>
      </x:c>
      <x:c r="J316" t="n">
        <x:v>8</x:v>
      </x:c>
      <x:c r="K316" t="n">
        <x:v>0</x:v>
      </x:c>
      <x:c r="L316" t="n">
        <x:v>0</x:v>
      </x:c>
      <x:c r="M316" t="n">
        <x:v>0</x:v>
      </x:c>
    </x:row>
    <x:row r="317">
      <x:c r="A317" t="str">
        <x:v>ME|Mystique|0</x:v>
      </x:c>
      <x:c r="B317" t="str">
        <x:v>Mental</x:v>
      </x:c>
      <x:c r="C317" t="str">
        <x:v>Mystique</x:v>
      </x:c>
      <x:c r="D317" t="n">
        <x:v>0</x:v>
      </x:c>
      <x:c r="E317" t="n">
        <x:v>0</x:v>
      </x:c>
      <x:c r="F317" t="n">
        <x:v>0</x:v>
      </x:c>
      <x:c r="G317" t="n">
        <x:v>0</x:v>
      </x:c>
      <x:c r="H317" t="n">
        <x:v>0</x:v>
      </x:c>
      <x:c r="I317" t="n">
        <x:v>0</x:v>
      </x:c>
      <x:c r="J317" t="n">
        <x:v>0</x:v>
      </x:c>
      <x:c r="K317" t="n">
        <x:v>0</x:v>
      </x:c>
      <x:c r="L317" t="n">
        <x:v>0</x:v>
      </x:c>
      <x:c r="M317" t="n">
        <x:v>0</x:v>
      </x:c>
    </x:row>
    <x:row r="318">
      <x:c r="A318" t="str">
        <x:v>ME|Mystique|1</x:v>
      </x:c>
      <x:c r="B318" t="str">
        <x:v>Mental</x:v>
      </x:c>
      <x:c r="C318" t="str">
        <x:v>Mystique</x:v>
      </x:c>
      <x:c r="D318" t="n">
        <x:v>1</x:v>
      </x:c>
      <x:c r="E318" t="n">
        <x:v>0</x:v>
      </x:c>
      <x:c r="F318" t="n">
        <x:v>0</x:v>
      </x:c>
      <x:c r="G318" t="n">
        <x:v>0</x:v>
      </x:c>
      <x:c r="H318" t="n">
        <x:v>0</x:v>
      </x:c>
      <x:c r="I318" t="n">
        <x:v>1</x:v>
      </x:c>
      <x:c r="J318" t="n">
        <x:v>0</x:v>
      </x:c>
      <x:c r="K318" t="n">
        <x:v>0</x:v>
      </x:c>
      <x:c r="L318" t="n">
        <x:v>0</x:v>
      </x:c>
      <x:c r="M318" t="n">
        <x:v>0</x:v>
      </x:c>
    </x:row>
    <x:row r="319">
      <x:c r="A319" t="str">
        <x:v>ME|Mystique|2</x:v>
      </x:c>
      <x:c r="B319" t="str">
        <x:v>Mental</x:v>
      </x:c>
      <x:c r="C319" t="str">
        <x:v>Mystique</x:v>
      </x:c>
      <x:c r="D319" t="n">
        <x:v>2</x:v>
      </x:c>
      <x:c r="E319" t="n">
        <x:v>0</x:v>
      </x:c>
      <x:c r="F319" t="n">
        <x:v>0</x:v>
      </x:c>
      <x:c r="G319" t="n">
        <x:v>0</x:v>
      </x:c>
      <x:c r="H319" t="n">
        <x:v>0</x:v>
      </x:c>
      <x:c r="I319" t="n">
        <x:v>1</x:v>
      </x:c>
      <x:c r="J319" t="n">
        <x:v>1</x:v>
      </x:c>
      <x:c r="K319" t="n">
        <x:v>0</x:v>
      </x:c>
      <x:c r="L319" t="n">
        <x:v>0</x:v>
      </x:c>
      <x:c r="M319" t="n">
        <x:v>0</x:v>
      </x:c>
    </x:row>
    <x:row r="320">
      <x:c r="A320" t="str">
        <x:v>ME|Mystique|3</x:v>
      </x:c>
      <x:c r="B320" t="str">
        <x:v>Mental</x:v>
      </x:c>
      <x:c r="C320" t="str">
        <x:v>Mystique</x:v>
      </x:c>
      <x:c r="D320" t="n">
        <x:v>3</x:v>
      </x:c>
      <x:c r="E320" t="n">
        <x:v>0</x:v>
      </x:c>
      <x:c r="F320" t="n">
        <x:v>0</x:v>
      </x:c>
      <x:c r="G320" t="n">
        <x:v>0</x:v>
      </x:c>
      <x:c r="H320" t="n">
        <x:v>0</x:v>
      </x:c>
      <x:c r="I320" t="n">
        <x:v>2</x:v>
      </x:c>
      <x:c r="J320" t="n">
        <x:v>1</x:v>
      </x:c>
      <x:c r="K320" t="n">
        <x:v>0</x:v>
      </x:c>
      <x:c r="L320" t="n">
        <x:v>0</x:v>
      </x:c>
      <x:c r="M320" t="n">
        <x:v>0</x:v>
      </x:c>
    </x:row>
    <x:row r="321">
      <x:c r="A321" t="str">
        <x:v>ME|Mystique|4</x:v>
      </x:c>
      <x:c r="B321" t="str">
        <x:v>Mental</x:v>
      </x:c>
      <x:c r="C321" t="str">
        <x:v>Mystique</x:v>
      </x:c>
      <x:c r="D321" t="n">
        <x:v>4</x:v>
      </x:c>
      <x:c r="E321" t="n">
        <x:v>0</x:v>
      </x:c>
      <x:c r="F321" t="n">
        <x:v>0</x:v>
      </x:c>
      <x:c r="G321" t="n">
        <x:v>0</x:v>
      </x:c>
      <x:c r="H321" t="n">
        <x:v>1</x:v>
      </x:c>
      <x:c r="I321" t="n">
        <x:v>2</x:v>
      </x:c>
      <x:c r="J321" t="n">
        <x:v>1</x:v>
      </x:c>
      <x:c r="K321" t="n">
        <x:v>0</x:v>
      </x:c>
      <x:c r="L321" t="n">
        <x:v>0</x:v>
      </x:c>
      <x:c r="M321" t="n">
        <x:v>0</x:v>
      </x:c>
    </x:row>
    <x:row r="322">
      <x:c r="A322" t="str">
        <x:v>ME|Mystique|5</x:v>
      </x:c>
      <x:c r="B322" t="str">
        <x:v>Mental</x:v>
      </x:c>
      <x:c r="C322" t="str">
        <x:v>Mystique</x:v>
      </x:c>
      <x:c r="D322" t="n">
        <x:v>5</x:v>
      </x:c>
      <x:c r="E322" t="n">
        <x:v>0</x:v>
      </x:c>
      <x:c r="F322" t="n">
        <x:v>0</x:v>
      </x:c>
      <x:c r="G322" t="n">
        <x:v>0</x:v>
      </x:c>
      <x:c r="H322" t="n">
        <x:v>1</x:v>
      </x:c>
      <x:c r="I322" t="n">
        <x:v>3</x:v>
      </x:c>
      <x:c r="J322" t="n">
        <x:v>1</x:v>
      </x:c>
      <x:c r="K322" t="n">
        <x:v>0</x:v>
      </x:c>
      <x:c r="L322" t="n">
        <x:v>0</x:v>
      </x:c>
      <x:c r="M322" t="n">
        <x:v>0</x:v>
      </x:c>
    </x:row>
    <x:row r="323">
      <x:c r="A323" t="str">
        <x:v>ME|Mystique|6</x:v>
      </x:c>
      <x:c r="B323" t="str">
        <x:v>Mental</x:v>
      </x:c>
      <x:c r="C323" t="str">
        <x:v>Mystique</x:v>
      </x:c>
      <x:c r="D323" t="n">
        <x:v>6</x:v>
      </x:c>
      <x:c r="E323" t="n">
        <x:v>0</x:v>
      </x:c>
      <x:c r="F323" t="n">
        <x:v>0</x:v>
      </x:c>
      <x:c r="G323" t="n">
        <x:v>0</x:v>
      </x:c>
      <x:c r="H323" t="n">
        <x:v>1</x:v>
      </x:c>
      <x:c r="I323" t="n">
        <x:v>4</x:v>
      </x:c>
      <x:c r="J323" t="n">
        <x:v>1</x:v>
      </x:c>
      <x:c r="K323" t="n">
        <x:v>0</x:v>
      </x:c>
      <x:c r="L323" t="n">
        <x:v>0</x:v>
      </x:c>
      <x:c r="M323" t="n">
        <x:v>0</x:v>
      </x:c>
    </x:row>
    <x:row r="324">
      <x:c r="A324" t="str">
        <x:v>ME|Mystique|7</x:v>
      </x:c>
      <x:c r="B324" t="str">
        <x:v>Mental</x:v>
      </x:c>
      <x:c r="C324" t="str">
        <x:v>Mystique</x:v>
      </x:c>
      <x:c r="D324" t="n">
        <x:v>7</x:v>
      </x:c>
      <x:c r="E324" t="n">
        <x:v>0</x:v>
      </x:c>
      <x:c r="F324" t="n">
        <x:v>0</x:v>
      </x:c>
      <x:c r="G324" t="n">
        <x:v>0</x:v>
      </x:c>
      <x:c r="H324" t="n">
        <x:v>1</x:v>
      </x:c>
      <x:c r="I324" t="n">
        <x:v>4</x:v>
      </x:c>
      <x:c r="J324" t="n">
        <x:v>2</x:v>
      </x:c>
      <x:c r="K324" t="n">
        <x:v>0</x:v>
      </x:c>
      <x:c r="L324" t="n">
        <x:v>0</x:v>
      </x:c>
      <x:c r="M324" t="n">
        <x:v>0</x:v>
      </x:c>
    </x:row>
    <x:row r="325">
      <x:c r="A325" t="str">
        <x:v>ME|Mystique|8</x:v>
      </x:c>
      <x:c r="B325" t="str">
        <x:v>Mental</x:v>
      </x:c>
      <x:c r="C325" t="str">
        <x:v>Mystique</x:v>
      </x:c>
      <x:c r="D325" t="n">
        <x:v>8</x:v>
      </x:c>
      <x:c r="E325" t="n">
        <x:v>0</x:v>
      </x:c>
      <x:c r="F325" t="n">
        <x:v>0</x:v>
      </x:c>
      <x:c r="G325" t="n">
        <x:v>0</x:v>
      </x:c>
      <x:c r="H325" t="n">
        <x:v>1</x:v>
      </x:c>
      <x:c r="I325" t="n">
        <x:v>5</x:v>
      </x:c>
      <x:c r="J325" t="n">
        <x:v>2</x:v>
      </x:c>
      <x:c r="K325" t="n">
        <x:v>0</x:v>
      </x:c>
      <x:c r="L325" t="n">
        <x:v>0</x:v>
      </x:c>
      <x:c r="M325" t="n">
        <x:v>0</x:v>
      </x:c>
    </x:row>
    <x:row r="326">
      <x:c r="A326" t="str">
        <x:v>ME|Mystique|9</x:v>
      </x:c>
      <x:c r="B326" t="str">
        <x:v>Mental</x:v>
      </x:c>
      <x:c r="C326" t="str">
        <x:v>Mystique</x:v>
      </x:c>
      <x:c r="D326" t="n">
        <x:v>9</x:v>
      </x:c>
      <x:c r="E326" t="n">
        <x:v>0</x:v>
      </x:c>
      <x:c r="F326" t="n">
        <x:v>0</x:v>
      </x:c>
      <x:c r="G326" t="n">
        <x:v>0</x:v>
      </x:c>
      <x:c r="H326" t="n">
        <x:v>1</x:v>
      </x:c>
      <x:c r="I326" t="n">
        <x:v>6</x:v>
      </x:c>
      <x:c r="J326" t="n">
        <x:v>2</x:v>
      </x:c>
      <x:c r="K326" t="n">
        <x:v>0</x:v>
      </x:c>
      <x:c r="L326" t="n">
        <x:v>0</x:v>
      </x:c>
      <x:c r="M326" t="n">
        <x:v>0</x:v>
      </x:c>
    </x:row>
    <x:row r="327">
      <x:c r="A327" t="str">
        <x:v>ME|Mystique|10</x:v>
      </x:c>
      <x:c r="B327" t="str">
        <x:v>Mental</x:v>
      </x:c>
      <x:c r="C327" t="str">
        <x:v>Mystique</x:v>
      </x:c>
      <x:c r="D327" t="n">
        <x:v>10</x:v>
      </x:c>
      <x:c r="E327" t="n">
        <x:v>0</x:v>
      </x:c>
      <x:c r="F327" t="n">
        <x:v>0</x:v>
      </x:c>
      <x:c r="G327" t="n">
        <x:v>0</x:v>
      </x:c>
      <x:c r="H327" t="n">
        <x:v>2</x:v>
      </x:c>
      <x:c r="I327" t="n">
        <x:v>6</x:v>
      </x:c>
      <x:c r="J327" t="n">
        <x:v>2</x:v>
      </x:c>
      <x:c r="K327" t="n">
        <x:v>0</x:v>
      </x:c>
      <x:c r="L327" t="n">
        <x:v>0</x:v>
      </x:c>
      <x:c r="M327" t="n">
        <x:v>0</x:v>
      </x:c>
    </x:row>
    <x:row r="328">
      <x:c r="A328" t="str">
        <x:v>ME|Mystique|11</x:v>
      </x:c>
      <x:c r="B328" t="str">
        <x:v>Mental</x:v>
      </x:c>
      <x:c r="C328" t="str">
        <x:v>Mystique</x:v>
      </x:c>
      <x:c r="D328" t="n">
        <x:v>11</x:v>
      </x:c>
      <x:c r="E328" t="n">
        <x:v>0</x:v>
      </x:c>
      <x:c r="F328" t="n">
        <x:v>0</x:v>
      </x:c>
      <x:c r="G328" t="n">
        <x:v>0</x:v>
      </x:c>
      <x:c r="H328" t="n">
        <x:v>2</x:v>
      </x:c>
      <x:c r="I328" t="n">
        <x:v>6</x:v>
      </x:c>
      <x:c r="J328" t="n">
        <x:v>3</x:v>
      </x:c>
      <x:c r="K328" t="n">
        <x:v>0</x:v>
      </x:c>
      <x:c r="L328" t="n">
        <x:v>0</x:v>
      </x:c>
      <x:c r="M328" t="n">
        <x:v>0</x:v>
      </x:c>
    </x:row>
    <x:row r="329">
      <x:c r="A329" t="str">
        <x:v>ME|Mystique|12</x:v>
      </x:c>
      <x:c r="B329" t="str">
        <x:v>Mental</x:v>
      </x:c>
      <x:c r="C329" t="str">
        <x:v>Mystique</x:v>
      </x:c>
      <x:c r="D329" t="n">
        <x:v>12</x:v>
      </x:c>
      <x:c r="E329" t="n">
        <x:v>0</x:v>
      </x:c>
      <x:c r="F329" t="n">
        <x:v>0</x:v>
      </x:c>
      <x:c r="G329" t="n">
        <x:v>0</x:v>
      </x:c>
      <x:c r="H329" t="n">
        <x:v>2</x:v>
      </x:c>
      <x:c r="I329" t="n">
        <x:v>7</x:v>
      </x:c>
      <x:c r="J329" t="n">
        <x:v>3</x:v>
      </x:c>
      <x:c r="K329" t="n">
        <x:v>0</x:v>
      </x:c>
      <x:c r="L329" t="n">
        <x:v>0</x:v>
      </x:c>
      <x:c r="M329" t="n">
        <x:v>0</x:v>
      </x:c>
    </x:row>
    <x:row r="330">
      <x:c r="A330" t="str">
        <x:v>ME|Mystique|13</x:v>
      </x:c>
      <x:c r="B330" t="str">
        <x:v>Mental</x:v>
      </x:c>
      <x:c r="C330" t="str">
        <x:v>Mystique</x:v>
      </x:c>
      <x:c r="D330" t="n">
        <x:v>13</x:v>
      </x:c>
      <x:c r="E330" t="n">
        <x:v>0</x:v>
      </x:c>
      <x:c r="F330" t="n">
        <x:v>0</x:v>
      </x:c>
      <x:c r="G330" t="n">
        <x:v>0</x:v>
      </x:c>
      <x:c r="H330" t="n">
        <x:v>2</x:v>
      </x:c>
      <x:c r="I330" t="n">
        <x:v>8</x:v>
      </x:c>
      <x:c r="J330" t="n">
        <x:v>3</x:v>
      </x:c>
      <x:c r="K330" t="n">
        <x:v>0</x:v>
      </x:c>
      <x:c r="L330" t="n">
        <x:v>0</x:v>
      </x:c>
      <x:c r="M330" t="n">
        <x:v>0</x:v>
      </x:c>
    </x:row>
    <x:row r="331">
      <x:c r="A331" t="str">
        <x:v>ME|Mystique|14</x:v>
      </x:c>
      <x:c r="B331" t="str">
        <x:v>Mental</x:v>
      </x:c>
      <x:c r="C331" t="str">
        <x:v>Mystique</x:v>
      </x:c>
      <x:c r="D331" t="n">
        <x:v>14</x:v>
      </x:c>
      <x:c r="E331" t="n">
        <x:v>0</x:v>
      </x:c>
      <x:c r="F331" t="n">
        <x:v>0</x:v>
      </x:c>
      <x:c r="G331" t="n">
        <x:v>0</x:v>
      </x:c>
      <x:c r="H331" t="n">
        <x:v>2</x:v>
      </x:c>
      <x:c r="I331" t="n">
        <x:v>8</x:v>
      </x:c>
      <x:c r="J331" t="n">
        <x:v>4</x:v>
      </x:c>
      <x:c r="K331" t="n">
        <x:v>0</x:v>
      </x:c>
      <x:c r="L331" t="n">
        <x:v>0</x:v>
      </x:c>
      <x:c r="M331" t="n">
        <x:v>0</x:v>
      </x:c>
    </x:row>
    <x:row r="332">
      <x:c r="A332" t="str">
        <x:v>ME|Mystique|15</x:v>
      </x:c>
      <x:c r="B332" t="str">
        <x:v>Mental</x:v>
      </x:c>
      <x:c r="C332" t="str">
        <x:v>Mystique</x:v>
      </x:c>
      <x:c r="D332" t="n">
        <x:v>15</x:v>
      </x:c>
      <x:c r="E332" t="n">
        <x:v>0</x:v>
      </x:c>
      <x:c r="F332" t="n">
        <x:v>0</x:v>
      </x:c>
      <x:c r="G332" t="n">
        <x:v>0</x:v>
      </x:c>
      <x:c r="H332" t="n">
        <x:v>2</x:v>
      </x:c>
      <x:c r="I332" t="n">
        <x:v>9</x:v>
      </x:c>
      <x:c r="J332" t="n">
        <x:v>4</x:v>
      </x:c>
      <x:c r="K332" t="n">
        <x:v>0</x:v>
      </x:c>
      <x:c r="L332" t="n">
        <x:v>0</x:v>
      </x:c>
      <x:c r="M332" t="n">
        <x:v>0</x:v>
      </x:c>
    </x:row>
    <x:row r="333">
      <x:c r="A333" t="str">
        <x:v>ME|Mystique|16</x:v>
      </x:c>
      <x:c r="B333" t="str">
        <x:v>Mental</x:v>
      </x:c>
      <x:c r="C333" t="str">
        <x:v>Mystique</x:v>
      </x:c>
      <x:c r="D333" t="n">
        <x:v>16</x:v>
      </x:c>
      <x:c r="E333" t="n">
        <x:v>0</x:v>
      </x:c>
      <x:c r="F333" t="n">
        <x:v>0</x:v>
      </x:c>
      <x:c r="G333" t="n">
        <x:v>0</x:v>
      </x:c>
      <x:c r="H333" t="n">
        <x:v>2</x:v>
      </x:c>
      <x:c r="I333" t="n">
        <x:v>10</x:v>
      </x:c>
      <x:c r="J333" t="n">
        <x:v>4</x:v>
      </x:c>
      <x:c r="K333" t="n">
        <x:v>0</x:v>
      </x:c>
      <x:c r="L333" t="n">
        <x:v>0</x:v>
      </x:c>
      <x:c r="M333" t="n">
        <x:v>0</x:v>
      </x:c>
    </x:row>
    <x:row r="334">
      <x:c r="A334" t="str">
        <x:v>ME|Mystique|17</x:v>
      </x:c>
      <x:c r="B334" t="str">
        <x:v>Mental</x:v>
      </x:c>
      <x:c r="C334" t="str">
        <x:v>Mystique</x:v>
      </x:c>
      <x:c r="D334" t="n">
        <x:v>17</x:v>
      </x:c>
      <x:c r="E334" t="n">
        <x:v>0</x:v>
      </x:c>
      <x:c r="F334" t="n">
        <x:v>0</x:v>
      </x:c>
      <x:c r="G334" t="n">
        <x:v>0</x:v>
      </x:c>
      <x:c r="H334" t="n">
        <x:v>3</x:v>
      </x:c>
      <x:c r="I334" t="n">
        <x:v>10</x:v>
      </x:c>
      <x:c r="J334" t="n">
        <x:v>4</x:v>
      </x:c>
      <x:c r="K334" t="n">
        <x:v>0</x:v>
      </x:c>
      <x:c r="L334" t="n">
        <x:v>0</x:v>
      </x:c>
      <x:c r="M334" t="n">
        <x:v>0</x:v>
      </x:c>
    </x:row>
    <x:row r="335">
      <x:c r="A335" t="str">
        <x:v>ME|Mystique|18</x:v>
      </x:c>
      <x:c r="B335" t="str">
        <x:v>Mental</x:v>
      </x:c>
      <x:c r="C335" t="str">
        <x:v>Mystique</x:v>
      </x:c>
      <x:c r="D335" t="n">
        <x:v>18</x:v>
      </x:c>
      <x:c r="E335" t="n">
        <x:v>0</x:v>
      </x:c>
      <x:c r="F335" t="n">
        <x:v>0</x:v>
      </x:c>
      <x:c r="G335" t="n">
        <x:v>0</x:v>
      </x:c>
      <x:c r="H335" t="n">
        <x:v>3</x:v>
      </x:c>
      <x:c r="I335" t="n">
        <x:v>11</x:v>
      </x:c>
      <x:c r="J335" t="n">
        <x:v>4</x:v>
      </x:c>
      <x:c r="K335" t="n">
        <x:v>0</x:v>
      </x:c>
      <x:c r="L335" t="n">
        <x:v>0</x:v>
      </x:c>
      <x:c r="M335" t="n">
        <x:v>0</x:v>
      </x:c>
    </x:row>
    <x:row r="336">
      <x:c r="A336" t="str">
        <x:v>ME|Mystique|19</x:v>
      </x:c>
      <x:c r="B336" t="str">
        <x:v>Mental</x:v>
      </x:c>
      <x:c r="C336" t="str">
        <x:v>Mystique</x:v>
      </x:c>
      <x:c r="D336" t="n">
        <x:v>19</x:v>
      </x:c>
      <x:c r="E336" t="n">
        <x:v>0</x:v>
      </x:c>
      <x:c r="F336" t="n">
        <x:v>0</x:v>
      </x:c>
      <x:c r="G336" t="n">
        <x:v>0</x:v>
      </x:c>
      <x:c r="H336" t="n">
        <x:v>3</x:v>
      </x:c>
      <x:c r="I336" t="n">
        <x:v>11</x:v>
      </x:c>
      <x:c r="J336" t="n">
        <x:v>5</x:v>
      </x:c>
      <x:c r="K336" t="n">
        <x:v>0</x:v>
      </x:c>
      <x:c r="L336" t="n">
        <x:v>0</x:v>
      </x:c>
      <x:c r="M336" t="n">
        <x:v>0</x:v>
      </x:c>
    </x:row>
    <x:row r="337">
      <x:c r="A337" t="str">
        <x:v>ME|Mystique|20</x:v>
      </x:c>
      <x:c r="B337" t="str">
        <x:v>Mental</x:v>
      </x:c>
      <x:c r="C337" t="str">
        <x:v>Mystique</x:v>
      </x:c>
      <x:c r="D337" t="n">
        <x:v>20</x:v>
      </x:c>
      <x:c r="E337" t="n">
        <x:v>0</x:v>
      </x:c>
      <x:c r="F337" t="n">
        <x:v>0</x:v>
      </x:c>
      <x:c r="G337" t="n">
        <x:v>0</x:v>
      </x:c>
      <x:c r="H337" t="n">
        <x:v>3</x:v>
      </x:c>
      <x:c r="I337" t="n">
        <x:v>12</x:v>
      </x:c>
      <x:c r="J337" t="n">
        <x:v>5</x:v>
      </x:c>
      <x:c r="K337" t="n">
        <x:v>0</x:v>
      </x:c>
      <x:c r="L337" t="n">
        <x:v>0</x:v>
      </x:c>
      <x:c r="M337" t="n">
        <x:v>0</x:v>
      </x:c>
    </x:row>
    <x:row r="338">
      <x:c r="A338" t="str">
        <x:v>ME|Mystique|21</x:v>
      </x:c>
      <x:c r="B338" t="str">
        <x:v>Mental</x:v>
      </x:c>
      <x:c r="C338" t="str">
        <x:v>Mystique</x:v>
      </x:c>
      <x:c r="D338" t="n">
        <x:v>21</x:v>
      </x:c>
      <x:c r="E338" t="n">
        <x:v>0</x:v>
      </x:c>
      <x:c r="F338" t="n">
        <x:v>0</x:v>
      </x:c>
      <x:c r="G338" t="n">
        <x:v>0</x:v>
      </x:c>
      <x:c r="H338" t="n">
        <x:v>3</x:v>
      </x:c>
      <x:c r="I338" t="n">
        <x:v>13</x:v>
      </x:c>
      <x:c r="J338" t="n">
        <x:v>5</x:v>
      </x:c>
      <x:c r="K338" t="n">
        <x:v>0</x:v>
      </x:c>
      <x:c r="L338" t="n">
        <x:v>0</x:v>
      </x:c>
      <x:c r="M338" t="n">
        <x:v>0</x:v>
      </x:c>
    </x:row>
    <x:row r="339">
      <x:c r="A339" t="str">
        <x:v>ME|Vigilant|0</x:v>
      </x:c>
      <x:c r="B339" t="str">
        <x:v>Mental</x:v>
      </x:c>
      <x:c r="C339" t="str">
        <x:v>Vigilant</x:v>
      </x:c>
      <x:c r="D339" t="n">
        <x:v>0</x:v>
      </x:c>
      <x:c r="E339" t="n">
        <x:v>0</x:v>
      </x:c>
      <x:c r="F339" t="n">
        <x:v>0</x:v>
      </x:c>
      <x:c r="G339" t="n">
        <x:v>0</x:v>
      </x:c>
      <x:c r="H339" t="n">
        <x:v>0</x:v>
      </x:c>
      <x:c r="I339" t="n">
        <x:v>0</x:v>
      </x:c>
      <x:c r="J339" t="n">
        <x:v>0</x:v>
      </x:c>
      <x:c r="K339" t="n">
        <x:v>0</x:v>
      </x:c>
      <x:c r="L339" t="n">
        <x:v>0</x:v>
      </x:c>
      <x:c r="M339" t="n">
        <x:v>0</x:v>
      </x:c>
    </x:row>
    <x:row r="340">
      <x:c r="A340" t="str">
        <x:v>ME|Vigilant|1</x:v>
      </x:c>
      <x:c r="B340" t="str">
        <x:v>Mental</x:v>
      </x:c>
      <x:c r="C340" t="str">
        <x:v>Vigilant</x:v>
      </x:c>
      <x:c r="D340" t="n">
        <x:v>1</x:v>
      </x:c>
      <x:c r="E340" t="n">
        <x:v>0</x:v>
      </x:c>
      <x:c r="F340" t="n">
        <x:v>0</x:v>
      </x:c>
      <x:c r="G340" t="n">
        <x:v>0</x:v>
      </x:c>
      <x:c r="H340" t="n">
        <x:v>0</x:v>
      </x:c>
      <x:c r="I340" t="n">
        <x:v>1</x:v>
      </x:c>
      <x:c r="J340" t="n">
        <x:v>0</x:v>
      </x:c>
      <x:c r="K340" t="n">
        <x:v>0</x:v>
      </x:c>
      <x:c r="L340" t="n">
        <x:v>0</x:v>
      </x:c>
      <x:c r="M340" t="n">
        <x:v>0</x:v>
      </x:c>
    </x:row>
    <x:row r="341">
      <x:c r="A341" t="str">
        <x:v>ME|Vigilant|2</x:v>
      </x:c>
      <x:c r="B341" t="str">
        <x:v>Mental</x:v>
      </x:c>
      <x:c r="C341" t="str">
        <x:v>Vigilant</x:v>
      </x:c>
      <x:c r="D341" t="n">
        <x:v>2</x:v>
      </x:c>
      <x:c r="E341" t="n">
        <x:v>0</x:v>
      </x:c>
      <x:c r="F341" t="n">
        <x:v>0</x:v>
      </x:c>
      <x:c r="G341" t="n">
        <x:v>0</x:v>
      </x:c>
      <x:c r="H341" t="n">
        <x:v>1</x:v>
      </x:c>
      <x:c r="I341" t="n">
        <x:v>1</x:v>
      </x:c>
      <x:c r="J341" t="n">
        <x:v>0</x:v>
      </x:c>
      <x:c r="K341" t="n">
        <x:v>0</x:v>
      </x:c>
      <x:c r="L341" t="n">
        <x:v>0</x:v>
      </x:c>
      <x:c r="M341" t="n">
        <x:v>0</x:v>
      </x:c>
    </x:row>
    <x:row r="342">
      <x:c r="A342" t="str">
        <x:v>ME|Vigilant|3</x:v>
      </x:c>
      <x:c r="B342" t="str">
        <x:v>Mental</x:v>
      </x:c>
      <x:c r="C342" t="str">
        <x:v>Vigilant</x:v>
      </x:c>
      <x:c r="D342" t="n">
        <x:v>3</x:v>
      </x:c>
      <x:c r="E342" t="n">
        <x:v>0</x:v>
      </x:c>
      <x:c r="F342" t="n">
        <x:v>0</x:v>
      </x:c>
      <x:c r="G342" t="n">
        <x:v>0</x:v>
      </x:c>
      <x:c r="H342" t="n">
        <x:v>1</x:v>
      </x:c>
      <x:c r="I342" t="n">
        <x:v>2</x:v>
      </x:c>
      <x:c r="J342" t="n">
        <x:v>0</x:v>
      </x:c>
      <x:c r="K342" t="n">
        <x:v>0</x:v>
      </x:c>
      <x:c r="L342" t="n">
        <x:v>0</x:v>
      </x:c>
      <x:c r="M342" t="n">
        <x:v>0</x:v>
      </x:c>
    </x:row>
    <x:row r="343">
      <x:c r="A343" t="str">
        <x:v>ME|Vigilant|4</x:v>
      </x:c>
      <x:c r="B343" t="str">
        <x:v>Mental</x:v>
      </x:c>
      <x:c r="C343" t="str">
        <x:v>Vigilant</x:v>
      </x:c>
      <x:c r="D343" t="n">
        <x:v>4</x:v>
      </x:c>
      <x:c r="E343" t="n">
        <x:v>0</x:v>
      </x:c>
      <x:c r="F343" t="n">
        <x:v>0</x:v>
      </x:c>
      <x:c r="G343" t="n">
        <x:v>0</x:v>
      </x:c>
      <x:c r="H343" t="n">
        <x:v>1</x:v>
      </x:c>
      <x:c r="I343" t="n">
        <x:v>3</x:v>
      </x:c>
      <x:c r="J343" t="n">
        <x:v>0</x:v>
      </x:c>
      <x:c r="K343" t="n">
        <x:v>0</x:v>
      </x:c>
      <x:c r="L343" t="n">
        <x:v>0</x:v>
      </x:c>
      <x:c r="M343" t="n">
        <x:v>0</x:v>
      </x:c>
    </x:row>
    <x:row r="344">
      <x:c r="A344" t="str">
        <x:v>ME|Vigilant|5</x:v>
      </x:c>
      <x:c r="B344" t="str">
        <x:v>Mental</x:v>
      </x:c>
      <x:c r="C344" t="str">
        <x:v>Vigilant</x:v>
      </x:c>
      <x:c r="D344" t="n">
        <x:v>5</x:v>
      </x:c>
      <x:c r="E344" t="n">
        <x:v>0</x:v>
      </x:c>
      <x:c r="F344" t="n">
        <x:v>0</x:v>
      </x:c>
      <x:c r="G344" t="n">
        <x:v>0</x:v>
      </x:c>
      <x:c r="H344" t="n">
        <x:v>2</x:v>
      </x:c>
      <x:c r="I344" t="n">
        <x:v>3</x:v>
      </x:c>
      <x:c r="J344" t="n">
        <x:v>0</x:v>
      </x:c>
      <x:c r="K344" t="n">
        <x:v>0</x:v>
      </x:c>
      <x:c r="L344" t="n">
        <x:v>0</x:v>
      </x:c>
      <x:c r="M344" t="n">
        <x:v>0</x:v>
      </x:c>
    </x:row>
    <x:row r="345">
      <x:c r="A345" t="str">
        <x:v>ME|Vigilant|6</x:v>
      </x:c>
      <x:c r="B345" t="str">
        <x:v>Mental</x:v>
      </x:c>
      <x:c r="C345" t="str">
        <x:v>Vigilant</x:v>
      </x:c>
      <x:c r="D345" t="n">
        <x:v>6</x:v>
      </x:c>
      <x:c r="E345" t="n">
        <x:v>0</x:v>
      </x:c>
      <x:c r="F345" t="n">
        <x:v>0</x:v>
      </x:c>
      <x:c r="G345" t="n">
        <x:v>0</x:v>
      </x:c>
      <x:c r="H345" t="n">
        <x:v>2</x:v>
      </x:c>
      <x:c r="I345" t="n">
        <x:v>4</x:v>
      </x:c>
      <x:c r="J345" t="n">
        <x:v>0</x:v>
      </x:c>
      <x:c r="K345" t="n">
        <x:v>0</x:v>
      </x:c>
      <x:c r="L345" t="n">
        <x:v>0</x:v>
      </x:c>
      <x:c r="M345" t="n">
        <x:v>0</x:v>
      </x:c>
    </x:row>
    <x:row r="346">
      <x:c r="A346" t="str">
        <x:v>ME|Vigilant|7</x:v>
      </x:c>
      <x:c r="B346" t="str">
        <x:v>Mental</x:v>
      </x:c>
      <x:c r="C346" t="str">
        <x:v>Vigilant</x:v>
      </x:c>
      <x:c r="D346" t="n">
        <x:v>7</x:v>
      </x:c>
      <x:c r="E346" t="n">
        <x:v>0</x:v>
      </x:c>
      <x:c r="F346" t="n">
        <x:v>0</x:v>
      </x:c>
      <x:c r="G346" t="n">
        <x:v>0</x:v>
      </x:c>
      <x:c r="H346" t="n">
        <x:v>2</x:v>
      </x:c>
      <x:c r="I346" t="n">
        <x:v>5</x:v>
      </x:c>
      <x:c r="J346" t="n">
        <x:v>0</x:v>
      </x:c>
      <x:c r="K346" t="n">
        <x:v>0</x:v>
      </x:c>
      <x:c r="L346" t="n">
        <x:v>0</x:v>
      </x:c>
      <x:c r="M346" t="n">
        <x:v>0</x:v>
      </x:c>
    </x:row>
    <x:row r="347">
      <x:c r="A347" t="str">
        <x:v>ME|Vigilant|8</x:v>
      </x:c>
      <x:c r="B347" t="str">
        <x:v>Mental</x:v>
      </x:c>
      <x:c r="C347" t="str">
        <x:v>Vigilant</x:v>
      </x:c>
      <x:c r="D347" t="n">
        <x:v>8</x:v>
      </x:c>
      <x:c r="E347" t="n">
        <x:v>0</x:v>
      </x:c>
      <x:c r="F347" t="n">
        <x:v>0</x:v>
      </x:c>
      <x:c r="G347" t="n">
        <x:v>0</x:v>
      </x:c>
      <x:c r="H347" t="n">
        <x:v>2</x:v>
      </x:c>
      <x:c r="I347" t="n">
        <x:v>6</x:v>
      </x:c>
      <x:c r="J347" t="n">
        <x:v>0</x:v>
      </x:c>
      <x:c r="K347" t="n">
        <x:v>0</x:v>
      </x:c>
      <x:c r="L347" t="n">
        <x:v>0</x:v>
      </x:c>
      <x:c r="M347" t="n">
        <x:v>0</x:v>
      </x:c>
    </x:row>
    <x:row r="348">
      <x:c r="A348" t="str">
        <x:v>ME|Vigilant|9</x:v>
      </x:c>
      <x:c r="B348" t="str">
        <x:v>Mental</x:v>
      </x:c>
      <x:c r="C348" t="str">
        <x:v>Vigilant</x:v>
      </x:c>
      <x:c r="D348" t="n">
        <x:v>9</x:v>
      </x:c>
      <x:c r="E348" t="n">
        <x:v>0</x:v>
      </x:c>
      <x:c r="F348" t="n">
        <x:v>0</x:v>
      </x:c>
      <x:c r="G348" t="n">
        <x:v>0</x:v>
      </x:c>
      <x:c r="H348" t="n">
        <x:v>3</x:v>
      </x:c>
      <x:c r="I348" t="n">
        <x:v>6</x:v>
      </x:c>
      <x:c r="J348" t="n">
        <x:v>0</x:v>
      </x:c>
      <x:c r="K348" t="n">
        <x:v>0</x:v>
      </x:c>
      <x:c r="L348" t="n">
        <x:v>0</x:v>
      </x:c>
      <x:c r="M348" t="n">
        <x:v>0</x:v>
      </x:c>
    </x:row>
    <x:row r="349">
      <x:c r="A349" t="str">
        <x:v>ME|Vigilant|10</x:v>
      </x:c>
      <x:c r="B349" t="str">
        <x:v>Mental</x:v>
      </x:c>
      <x:c r="C349" t="str">
        <x:v>Vigilant</x:v>
      </x:c>
      <x:c r="D349" t="n">
        <x:v>10</x:v>
      </x:c>
      <x:c r="E349" t="n">
        <x:v>0</x:v>
      </x:c>
      <x:c r="F349" t="n">
        <x:v>0</x:v>
      </x:c>
      <x:c r="G349" t="n">
        <x:v>0</x:v>
      </x:c>
      <x:c r="H349" t="n">
        <x:v>3</x:v>
      </x:c>
      <x:c r="I349" t="n">
        <x:v>7</x:v>
      </x:c>
      <x:c r="J349" t="n">
        <x:v>0</x:v>
      </x:c>
      <x:c r="K349" t="n">
        <x:v>0</x:v>
      </x:c>
      <x:c r="L349" t="n">
        <x:v>0</x:v>
      </x:c>
      <x:c r="M349" t="n">
        <x:v>0</x:v>
      </x:c>
    </x:row>
    <x:row r="350">
      <x:c r="A350" t="str">
        <x:v>ME|Vigilant|11</x:v>
      </x:c>
      <x:c r="B350" t="str">
        <x:v>Mental</x:v>
      </x:c>
      <x:c r="C350" t="str">
        <x:v>Vigilant</x:v>
      </x:c>
      <x:c r="D350" t="n">
        <x:v>11</x:v>
      </x:c>
      <x:c r="E350" t="n">
        <x:v>0</x:v>
      </x:c>
      <x:c r="F350" t="n">
        <x:v>0</x:v>
      </x:c>
      <x:c r="G350" t="n">
        <x:v>0</x:v>
      </x:c>
      <x:c r="H350" t="n">
        <x:v>3</x:v>
      </x:c>
      <x:c r="I350" t="n">
        <x:v>8</x:v>
      </x:c>
      <x:c r="J350" t="n">
        <x:v>0</x:v>
      </x:c>
      <x:c r="K350" t="n">
        <x:v>0</x:v>
      </x:c>
      <x:c r="L350" t="n">
        <x:v>0</x:v>
      </x:c>
      <x:c r="M350" t="n">
        <x:v>0</x:v>
      </x:c>
    </x:row>
    <x:row r="351">
      <x:c r="A351" t="str">
        <x:v>ME|Vigilant|12</x:v>
      </x:c>
      <x:c r="B351" t="str">
        <x:v>Mental</x:v>
      </x:c>
      <x:c r="C351" t="str">
        <x:v>Vigilant</x:v>
      </x:c>
      <x:c r="D351" t="n">
        <x:v>12</x:v>
      </x:c>
      <x:c r="E351" t="n">
        <x:v>0</x:v>
      </x:c>
      <x:c r="F351" t="n">
        <x:v>0</x:v>
      </x:c>
      <x:c r="G351" t="n">
        <x:v>0</x:v>
      </x:c>
      <x:c r="H351" t="n">
        <x:v>4</x:v>
      </x:c>
      <x:c r="I351" t="n">
        <x:v>8</x:v>
      </x:c>
      <x:c r="J351" t="n">
        <x:v>0</x:v>
      </x:c>
      <x:c r="K351" t="n">
        <x:v>0</x:v>
      </x:c>
      <x:c r="L351" t="n">
        <x:v>0</x:v>
      </x:c>
      <x:c r="M351" t="n">
        <x:v>0</x:v>
      </x:c>
    </x:row>
    <x:row r="352">
      <x:c r="A352" t="str">
        <x:v>ME|Vigilant|13</x:v>
      </x:c>
      <x:c r="B352" t="str">
        <x:v>Mental</x:v>
      </x:c>
      <x:c r="C352" t="str">
        <x:v>Vigilant</x:v>
      </x:c>
      <x:c r="D352" t="n">
        <x:v>13</x:v>
      </x:c>
      <x:c r="E352" t="n">
        <x:v>0</x:v>
      </x:c>
      <x:c r="F352" t="n">
        <x:v>0</x:v>
      </x:c>
      <x:c r="G352" t="n">
        <x:v>0</x:v>
      </x:c>
      <x:c r="H352" t="n">
        <x:v>4</x:v>
      </x:c>
      <x:c r="I352" t="n">
        <x:v>9</x:v>
      </x:c>
      <x:c r="J352" t="n">
        <x:v>0</x:v>
      </x:c>
      <x:c r="K352" t="n">
        <x:v>0</x:v>
      </x:c>
      <x:c r="L352" t="n">
        <x:v>0</x:v>
      </x:c>
      <x:c r="M352" t="n">
        <x:v>0</x:v>
      </x:c>
    </x:row>
    <x:row r="353">
      <x:c r="A353" t="str">
        <x:v>ME|Vigilant|14</x:v>
      </x:c>
      <x:c r="B353" t="str">
        <x:v>Mental</x:v>
      </x:c>
      <x:c r="C353" t="str">
        <x:v>Vigilant</x:v>
      </x:c>
      <x:c r="D353" t="n">
        <x:v>14</x:v>
      </x:c>
      <x:c r="E353" t="n">
        <x:v>0</x:v>
      </x:c>
      <x:c r="F353" t="n">
        <x:v>0</x:v>
      </x:c>
      <x:c r="G353" t="n">
        <x:v>0</x:v>
      </x:c>
      <x:c r="H353" t="n">
        <x:v>4</x:v>
      </x:c>
      <x:c r="I353" t="n">
        <x:v>10</x:v>
      </x:c>
      <x:c r="J353" t="n">
        <x:v>0</x:v>
      </x:c>
      <x:c r="K353" t="n">
        <x:v>0</x:v>
      </x:c>
      <x:c r="L353" t="n">
        <x:v>0</x:v>
      </x:c>
      <x:c r="M353" t="n">
        <x:v>0</x:v>
      </x:c>
    </x:row>
    <x:row r="354">
      <x:c r="A354" t="str">
        <x:v>ME|Vigilant|15</x:v>
      </x:c>
      <x:c r="B354" t="str">
        <x:v>Mental</x:v>
      </x:c>
      <x:c r="C354" t="str">
        <x:v>Vigilant</x:v>
      </x:c>
      <x:c r="D354" t="n">
        <x:v>15</x:v>
      </x:c>
      <x:c r="E354" t="n">
        <x:v>0</x:v>
      </x:c>
      <x:c r="F354" t="n">
        <x:v>0</x:v>
      </x:c>
      <x:c r="G354" t="n">
        <x:v>0</x:v>
      </x:c>
      <x:c r="H354" t="n">
        <x:v>5</x:v>
      </x:c>
      <x:c r="I354" t="n">
        <x:v>10</x:v>
      </x:c>
      <x:c r="J354" t="n">
        <x:v>0</x:v>
      </x:c>
      <x:c r="K354" t="n">
        <x:v>0</x:v>
      </x:c>
      <x:c r="L354" t="n">
        <x:v>0</x:v>
      </x:c>
      <x:c r="M354" t="n">
        <x:v>0</x:v>
      </x:c>
    </x:row>
    <x:row r="355">
      <x:c r="A355" t="str">
        <x:v>ME|Vigilant|16</x:v>
      </x:c>
      <x:c r="B355" t="str">
        <x:v>Mental</x:v>
      </x:c>
      <x:c r="C355" t="str">
        <x:v>Vigilant</x:v>
      </x:c>
      <x:c r="D355" t="n">
        <x:v>16</x:v>
      </x:c>
      <x:c r="E355" t="n">
        <x:v>0</x:v>
      </x:c>
      <x:c r="F355" t="n">
        <x:v>0</x:v>
      </x:c>
      <x:c r="G355" t="n">
        <x:v>0</x:v>
      </x:c>
      <x:c r="H355" t="n">
        <x:v>5</x:v>
      </x:c>
      <x:c r="I355" t="n">
        <x:v>11</x:v>
      </x:c>
      <x:c r="J355" t="n">
        <x:v>0</x:v>
      </x:c>
      <x:c r="K355" t="n">
        <x:v>0</x:v>
      </x:c>
      <x:c r="L355" t="n">
        <x:v>0</x:v>
      </x:c>
      <x:c r="M355" t="n">
        <x:v>0</x:v>
      </x:c>
    </x:row>
    <x:row r="356">
      <x:c r="A356" t="str">
        <x:v>ME|Vigilant|17</x:v>
      </x:c>
      <x:c r="B356" t="str">
        <x:v>Mental</x:v>
      </x:c>
      <x:c r="C356" t="str">
        <x:v>Vigilant</x:v>
      </x:c>
      <x:c r="D356" t="n">
        <x:v>17</x:v>
      </x:c>
      <x:c r="E356" t="n">
        <x:v>0</x:v>
      </x:c>
      <x:c r="F356" t="n">
        <x:v>0</x:v>
      </x:c>
      <x:c r="G356" t="n">
        <x:v>0</x:v>
      </x:c>
      <x:c r="H356" t="n">
        <x:v>5</x:v>
      </x:c>
      <x:c r="I356" t="n">
        <x:v>12</x:v>
      </x:c>
      <x:c r="J356" t="n">
        <x:v>0</x:v>
      </x:c>
      <x:c r="K356" t="n">
        <x:v>0</x:v>
      </x:c>
      <x:c r="L356" t="n">
        <x:v>0</x:v>
      </x:c>
      <x:c r="M356" t="n">
        <x:v>0</x:v>
      </x:c>
    </x:row>
    <x:row r="357">
      <x:c r="A357" t="str">
        <x:v>ME|Vigilant|18</x:v>
      </x:c>
      <x:c r="B357" t="str">
        <x:v>Mental</x:v>
      </x:c>
      <x:c r="C357" t="str">
        <x:v>Vigilant</x:v>
      </x:c>
      <x:c r="D357" t="n">
        <x:v>18</x:v>
      </x:c>
      <x:c r="E357" t="n">
        <x:v>0</x:v>
      </x:c>
      <x:c r="F357" t="n">
        <x:v>0</x:v>
      </x:c>
      <x:c r="G357" t="n">
        <x:v>0</x:v>
      </x:c>
      <x:c r="H357" t="n">
        <x:v>5</x:v>
      </x:c>
      <x:c r="I357" t="n">
        <x:v>13</x:v>
      </x:c>
      <x:c r="J357" t="n">
        <x:v>0</x:v>
      </x:c>
      <x:c r="K357" t="n">
        <x:v>0</x:v>
      </x:c>
      <x:c r="L357" t="n">
        <x:v>0</x:v>
      </x:c>
      <x:c r="M357" t="n">
        <x:v>0</x:v>
      </x:c>
    </x:row>
    <x:row r="358">
      <x:c r="A358" t="str">
        <x:v>ME|Vigilant|19</x:v>
      </x:c>
      <x:c r="B358" t="str">
        <x:v>Mental</x:v>
      </x:c>
      <x:c r="C358" t="str">
        <x:v>Vigilant</x:v>
      </x:c>
      <x:c r="D358" t="n">
        <x:v>19</x:v>
      </x:c>
      <x:c r="E358" t="n">
        <x:v>0</x:v>
      </x:c>
      <x:c r="F358" t="n">
        <x:v>0</x:v>
      </x:c>
      <x:c r="G358" t="n">
        <x:v>0</x:v>
      </x:c>
      <x:c r="H358" t="n">
        <x:v>6</x:v>
      </x:c>
      <x:c r="I358" t="n">
        <x:v>13</x:v>
      </x:c>
      <x:c r="J358" t="n">
        <x:v>0</x:v>
      </x:c>
      <x:c r="K358" t="n">
        <x:v>0</x:v>
      </x:c>
      <x:c r="L358" t="n">
        <x:v>0</x:v>
      </x:c>
      <x:c r="M358" t="n">
        <x:v>0</x:v>
      </x:c>
    </x:row>
    <x:row r="359">
      <x:c r="A359" t="str">
        <x:v>ME|Vigilant|20</x:v>
      </x:c>
      <x:c r="B359" t="str">
        <x:v>Mental</x:v>
      </x:c>
      <x:c r="C359" t="str">
        <x:v>Vigilant</x:v>
      </x:c>
      <x:c r="D359" t="n">
        <x:v>20</x:v>
      </x:c>
      <x:c r="E359" t="n">
        <x:v>0</x:v>
      </x:c>
      <x:c r="F359" t="n">
        <x:v>0</x:v>
      </x:c>
      <x:c r="G359" t="n">
        <x:v>0</x:v>
      </x:c>
      <x:c r="H359" t="n">
        <x:v>6</x:v>
      </x:c>
      <x:c r="I359" t="n">
        <x:v>14</x:v>
      </x:c>
      <x:c r="J359" t="n">
        <x:v>0</x:v>
      </x:c>
      <x:c r="K359" t="n">
        <x:v>0</x:v>
      </x:c>
      <x:c r="L359" t="n">
        <x:v>0</x:v>
      </x:c>
      <x:c r="M359" t="n">
        <x:v>0</x:v>
      </x:c>
    </x:row>
    <x:row r="360">
      <x:c r="A360" t="str">
        <x:v>ME|Vigilant|21</x:v>
      </x:c>
      <x:c r="B360" t="str">
        <x:v>Mental</x:v>
      </x:c>
      <x:c r="C360" t="str">
        <x:v>Vigilant</x:v>
      </x:c>
      <x:c r="D360" t="n">
        <x:v>21</x:v>
      </x:c>
      <x:c r="E360" t="n">
        <x:v>0</x:v>
      </x:c>
      <x:c r="F360" t="n">
        <x:v>0</x:v>
      </x:c>
      <x:c r="G360" t="n">
        <x:v>0</x:v>
      </x:c>
      <x:c r="H360" t="n">
        <x:v>6</x:v>
      </x:c>
      <x:c r="I360" t="n">
        <x:v>15</x:v>
      </x:c>
      <x:c r="J360" t="n">
        <x:v>0</x:v>
      </x:c>
      <x:c r="K360" t="n">
        <x:v>0</x:v>
      </x:c>
      <x:c r="L360" t="n">
        <x:v>0</x:v>
      </x:c>
      <x:c r="M360" t="n">
        <x:v>0</x:v>
      </x:c>
    </x:row>
    <x:row r="361">
      <x:c r="A361" t="str">
        <x:v>ME|Instinctif|0</x:v>
      </x:c>
      <x:c r="B361" t="str">
        <x:v>Mental</x:v>
      </x:c>
      <x:c r="C361" t="str">
        <x:v>Instinctif</x:v>
      </x:c>
      <x:c r="D361" t="n">
        <x:v>0</x:v>
      </x:c>
      <x:c r="E361" t="n">
        <x:v>0</x:v>
      </x:c>
      <x:c r="F361" t="n">
        <x:v>0</x:v>
      </x:c>
      <x:c r="G361" t="n">
        <x:v>0</x:v>
      </x:c>
      <x:c r="H361" t="n">
        <x:v>0</x:v>
      </x:c>
      <x:c r="I361" t="n">
        <x:v>0</x:v>
      </x:c>
      <x:c r="J361" t="n">
        <x:v>0</x:v>
      </x:c>
      <x:c r="K361" t="n">
        <x:v>0</x:v>
      </x:c>
      <x:c r="L361" t="n">
        <x:v>0</x:v>
      </x:c>
      <x:c r="M361" t="n">
        <x:v>0</x:v>
      </x:c>
    </x:row>
    <x:row r="362">
      <x:c r="A362" t="str">
        <x:v>ME|Instinctif|1</x:v>
      </x:c>
      <x:c r="B362" t="str">
        <x:v>Mental</x:v>
      </x:c>
      <x:c r="C362" t="str">
        <x:v>Instinctif</x:v>
      </x:c>
      <x:c r="D362" t="n">
        <x:v>1</x:v>
      </x:c>
      <x:c r="E362" t="n">
        <x:v>0</x:v>
      </x:c>
      <x:c r="F362" t="n">
        <x:v>0</x:v>
      </x:c>
      <x:c r="G362" t="n">
        <x:v>0</x:v>
      </x:c>
      <x:c r="H362" t="n">
        <x:v>0</x:v>
      </x:c>
      <x:c r="I362" t="n">
        <x:v>1</x:v>
      </x:c>
      <x:c r="J362" t="n">
        <x:v>0</x:v>
      </x:c>
      <x:c r="K362" t="n">
        <x:v>0</x:v>
      </x:c>
      <x:c r="L362" t="n">
        <x:v>0</x:v>
      </x:c>
      <x:c r="M362" t="n">
        <x:v>0</x:v>
      </x:c>
    </x:row>
    <x:row r="363">
      <x:c r="A363" t="str">
        <x:v>ME|Instinctif|2</x:v>
      </x:c>
      <x:c r="B363" t="str">
        <x:v>Mental</x:v>
      </x:c>
      <x:c r="C363" t="str">
        <x:v>Instinctif</x:v>
      </x:c>
      <x:c r="D363" t="n">
        <x:v>2</x:v>
      </x:c>
      <x:c r="E363" t="n">
        <x:v>0</x:v>
      </x:c>
      <x:c r="F363" t="n">
        <x:v>0</x:v>
      </x:c>
      <x:c r="G363" t="n">
        <x:v>0</x:v>
      </x:c>
      <x:c r="H363" t="n">
        <x:v>0</x:v>
      </x:c>
      <x:c r="I363" t="n">
        <x:v>2</x:v>
      </x:c>
      <x:c r="J363" t="n">
        <x:v>0</x:v>
      </x:c>
      <x:c r="K363" t="n">
        <x:v>0</x:v>
      </x:c>
      <x:c r="L363" t="n">
        <x:v>0</x:v>
      </x:c>
      <x:c r="M363" t="n">
        <x:v>0</x:v>
      </x:c>
    </x:row>
    <x:row r="364">
      <x:c r="A364" t="str">
        <x:v>ME|Instinctif|3</x:v>
      </x:c>
      <x:c r="B364" t="str">
        <x:v>Mental</x:v>
      </x:c>
      <x:c r="C364" t="str">
        <x:v>Instinctif</x:v>
      </x:c>
      <x:c r="D364" t="n">
        <x:v>3</x:v>
      </x:c>
      <x:c r="E364" t="n">
        <x:v>0</x:v>
      </x:c>
      <x:c r="F364" t="n">
        <x:v>0</x:v>
      </x:c>
      <x:c r="G364" t="n">
        <x:v>0</x:v>
      </x:c>
      <x:c r="H364" t="n">
        <x:v>0</x:v>
      </x:c>
      <x:c r="I364" t="n">
        <x:v>2</x:v>
      </x:c>
      <x:c r="J364" t="n">
        <x:v>1</x:v>
      </x:c>
      <x:c r="K364" t="n">
        <x:v>0</x:v>
      </x:c>
      <x:c r="L364" t="n">
        <x:v>0</x:v>
      </x:c>
      <x:c r="M364" t="n">
        <x:v>0</x:v>
      </x:c>
    </x:row>
    <x:row r="365">
      <x:c r="A365" t="str">
        <x:v>ME|Instinctif|4</x:v>
      </x:c>
      <x:c r="B365" t="str">
        <x:v>Mental</x:v>
      </x:c>
      <x:c r="C365" t="str">
        <x:v>Instinctif</x:v>
      </x:c>
      <x:c r="D365" t="n">
        <x:v>4</x:v>
      </x:c>
      <x:c r="E365" t="n">
        <x:v>0</x:v>
      </x:c>
      <x:c r="F365" t="n">
        <x:v>0</x:v>
      </x:c>
      <x:c r="G365" t="n">
        <x:v>0</x:v>
      </x:c>
      <x:c r="H365" t="n">
        <x:v>0</x:v>
      </x:c>
      <x:c r="I365" t="n">
        <x:v>3</x:v>
      </x:c>
      <x:c r="J365" t="n">
        <x:v>1</x:v>
      </x:c>
      <x:c r="K365" t="n">
        <x:v>0</x:v>
      </x:c>
      <x:c r="L365" t="n">
        <x:v>0</x:v>
      </x:c>
      <x:c r="M365" t="n">
        <x:v>0</x:v>
      </x:c>
    </x:row>
    <x:row r="366">
      <x:c r="A366" t="str">
        <x:v>ME|Instinctif|5</x:v>
      </x:c>
      <x:c r="B366" t="str">
        <x:v>Mental</x:v>
      </x:c>
      <x:c r="C366" t="str">
        <x:v>Instinctif</x:v>
      </x:c>
      <x:c r="D366" t="n">
        <x:v>5</x:v>
      </x:c>
      <x:c r="E366" t="n">
        <x:v>0</x:v>
      </x:c>
      <x:c r="F366" t="n">
        <x:v>0</x:v>
      </x:c>
      <x:c r="G366" t="n">
        <x:v>0</x:v>
      </x:c>
      <x:c r="H366" t="n">
        <x:v>0</x:v>
      </x:c>
      <x:c r="I366" t="n">
        <x:v>4</x:v>
      </x:c>
      <x:c r="J366" t="n">
        <x:v>1</x:v>
      </x:c>
      <x:c r="K366" t="n">
        <x:v>0</x:v>
      </x:c>
      <x:c r="L366" t="n">
        <x:v>0</x:v>
      </x:c>
      <x:c r="M366" t="n">
        <x:v>0</x:v>
      </x:c>
    </x:row>
    <x:row r="367">
      <x:c r="A367" t="str">
        <x:v>ME|Instinctif|6</x:v>
      </x:c>
      <x:c r="B367" t="str">
        <x:v>Mental</x:v>
      </x:c>
      <x:c r="C367" t="str">
        <x:v>Instinctif</x:v>
      </x:c>
      <x:c r="D367" t="n">
        <x:v>6</x:v>
      </x:c>
      <x:c r="E367" t="n">
        <x:v>0</x:v>
      </x:c>
      <x:c r="F367" t="n">
        <x:v>0</x:v>
      </x:c>
      <x:c r="G367" t="n">
        <x:v>0</x:v>
      </x:c>
      <x:c r="H367" t="n">
        <x:v>0</x:v>
      </x:c>
      <x:c r="I367" t="n">
        <x:v>5</x:v>
      </x:c>
      <x:c r="J367" t="n">
        <x:v>1</x:v>
      </x:c>
      <x:c r="K367" t="n">
        <x:v>0</x:v>
      </x:c>
      <x:c r="L367" t="n">
        <x:v>0</x:v>
      </x:c>
      <x:c r="M367" t="n">
        <x:v>0</x:v>
      </x:c>
    </x:row>
    <x:row r="368">
      <x:c r="A368" t="str">
        <x:v>ME|Instinctif|7</x:v>
      </x:c>
      <x:c r="B368" t="str">
        <x:v>Mental</x:v>
      </x:c>
      <x:c r="C368" t="str">
        <x:v>Instinctif</x:v>
      </x:c>
      <x:c r="D368" t="n">
        <x:v>7</x:v>
      </x:c>
      <x:c r="E368" t="n">
        <x:v>0</x:v>
      </x:c>
      <x:c r="F368" t="n">
        <x:v>0</x:v>
      </x:c>
      <x:c r="G368" t="n">
        <x:v>0</x:v>
      </x:c>
      <x:c r="H368" t="n">
        <x:v>0</x:v>
      </x:c>
      <x:c r="I368" t="n">
        <x:v>5</x:v>
      </x:c>
      <x:c r="J368" t="n">
        <x:v>2</x:v>
      </x:c>
      <x:c r="K368" t="n">
        <x:v>0</x:v>
      </x:c>
      <x:c r="L368" t="n">
        <x:v>0</x:v>
      </x:c>
      <x:c r="M368" t="n">
        <x:v>0</x:v>
      </x:c>
    </x:row>
    <x:row r="369">
      <x:c r="A369" t="str">
        <x:v>ME|Instinctif|8</x:v>
      </x:c>
      <x:c r="B369" t="str">
        <x:v>Mental</x:v>
      </x:c>
      <x:c r="C369" t="str">
        <x:v>Instinctif</x:v>
      </x:c>
      <x:c r="D369" t="n">
        <x:v>8</x:v>
      </x:c>
      <x:c r="E369" t="n">
        <x:v>0</x:v>
      </x:c>
      <x:c r="F369" t="n">
        <x:v>0</x:v>
      </x:c>
      <x:c r="G369" t="n">
        <x:v>0</x:v>
      </x:c>
      <x:c r="H369" t="n">
        <x:v>0</x:v>
      </x:c>
      <x:c r="I369" t="n">
        <x:v>6</x:v>
      </x:c>
      <x:c r="J369" t="n">
        <x:v>2</x:v>
      </x:c>
      <x:c r="K369" t="n">
        <x:v>0</x:v>
      </x:c>
      <x:c r="L369" t="n">
        <x:v>0</x:v>
      </x:c>
      <x:c r="M369" t="n">
        <x:v>0</x:v>
      </x:c>
    </x:row>
    <x:row r="370">
      <x:c r="A370" t="str">
        <x:v>ME|Instinctif|9</x:v>
      </x:c>
      <x:c r="B370" t="str">
        <x:v>Mental</x:v>
      </x:c>
      <x:c r="C370" t="str">
        <x:v>Instinctif</x:v>
      </x:c>
      <x:c r="D370" t="n">
        <x:v>9</x:v>
      </x:c>
      <x:c r="E370" t="n">
        <x:v>0</x:v>
      </x:c>
      <x:c r="F370" t="n">
        <x:v>0</x:v>
      </x:c>
      <x:c r="G370" t="n">
        <x:v>0</x:v>
      </x:c>
      <x:c r="H370" t="n">
        <x:v>0</x:v>
      </x:c>
      <x:c r="I370" t="n">
        <x:v>7</x:v>
      </x:c>
      <x:c r="J370" t="n">
        <x:v>2</x:v>
      </x:c>
      <x:c r="K370" t="n">
        <x:v>0</x:v>
      </x:c>
      <x:c r="L370" t="n">
        <x:v>0</x:v>
      </x:c>
      <x:c r="M370" t="n">
        <x:v>0</x:v>
      </x:c>
    </x:row>
    <x:row r="371">
      <x:c r="A371" t="str">
        <x:v>ME|Instinctif|10</x:v>
      </x:c>
      <x:c r="B371" t="str">
        <x:v>Mental</x:v>
      </x:c>
      <x:c r="C371" t="str">
        <x:v>Instinctif</x:v>
      </x:c>
      <x:c r="D371" t="n">
        <x:v>10</x:v>
      </x:c>
      <x:c r="E371" t="n">
        <x:v>0</x:v>
      </x:c>
      <x:c r="F371" t="n">
        <x:v>0</x:v>
      </x:c>
      <x:c r="G371" t="n">
        <x:v>0</x:v>
      </x:c>
      <x:c r="H371" t="n">
        <x:v>0</x:v>
      </x:c>
      <x:c r="I371" t="n">
        <x:v>8</x:v>
      </x:c>
      <x:c r="J371" t="n">
        <x:v>2</x:v>
      </x:c>
      <x:c r="K371" t="n">
        <x:v>0</x:v>
      </x:c>
      <x:c r="L371" t="n">
        <x:v>0</x:v>
      </x:c>
      <x:c r="M371" t="n">
        <x:v>0</x:v>
      </x:c>
    </x:row>
    <x:row r="372">
      <x:c r="A372" t="str">
        <x:v>ME|Instinctif|11</x:v>
      </x:c>
      <x:c r="B372" t="str">
        <x:v>Mental</x:v>
      </x:c>
      <x:c r="C372" t="str">
        <x:v>Instinctif</x:v>
      </x:c>
      <x:c r="D372" t="n">
        <x:v>11</x:v>
      </x:c>
      <x:c r="E372" t="n">
        <x:v>0</x:v>
      </x:c>
      <x:c r="F372" t="n">
        <x:v>0</x:v>
      </x:c>
      <x:c r="G372" t="n">
        <x:v>0</x:v>
      </x:c>
      <x:c r="H372" t="n">
        <x:v>0</x:v>
      </x:c>
      <x:c r="I372" t="n">
        <x:v>8</x:v>
      </x:c>
      <x:c r="J372" t="n">
        <x:v>3</x:v>
      </x:c>
      <x:c r="K372" t="n">
        <x:v>0</x:v>
      </x:c>
      <x:c r="L372" t="n">
        <x:v>0</x:v>
      </x:c>
      <x:c r="M372" t="n">
        <x:v>0</x:v>
      </x:c>
    </x:row>
    <x:row r="373">
      <x:c r="A373" t="str">
        <x:v>ME|Instinctif|12</x:v>
      </x:c>
      <x:c r="B373" t="str">
        <x:v>Mental</x:v>
      </x:c>
      <x:c r="C373" t="str">
        <x:v>Instinctif</x:v>
      </x:c>
      <x:c r="D373" t="n">
        <x:v>12</x:v>
      </x:c>
      <x:c r="E373" t="n">
        <x:v>0</x:v>
      </x:c>
      <x:c r="F373" t="n">
        <x:v>0</x:v>
      </x:c>
      <x:c r="G373" t="n">
        <x:v>0</x:v>
      </x:c>
      <x:c r="H373" t="n">
        <x:v>0</x:v>
      </x:c>
      <x:c r="I373" t="n">
        <x:v>9</x:v>
      </x:c>
      <x:c r="J373" t="n">
        <x:v>3</x:v>
      </x:c>
      <x:c r="K373" t="n">
        <x:v>0</x:v>
      </x:c>
      <x:c r="L373" t="n">
        <x:v>0</x:v>
      </x:c>
      <x:c r="M373" t="n">
        <x:v>0</x:v>
      </x:c>
    </x:row>
    <x:row r="374">
      <x:c r="A374" t="str">
        <x:v>ME|Instinctif|13</x:v>
      </x:c>
      <x:c r="B374" t="str">
        <x:v>Mental</x:v>
      </x:c>
      <x:c r="C374" t="str">
        <x:v>Instinctif</x:v>
      </x:c>
      <x:c r="D374" t="n">
        <x:v>13</x:v>
      </x:c>
      <x:c r="E374" t="n">
        <x:v>0</x:v>
      </x:c>
      <x:c r="F374" t="n">
        <x:v>0</x:v>
      </x:c>
      <x:c r="G374" t="n">
        <x:v>0</x:v>
      </x:c>
      <x:c r="H374" t="n">
        <x:v>0</x:v>
      </x:c>
      <x:c r="I374" t="n">
        <x:v>10</x:v>
      </x:c>
      <x:c r="J374" t="n">
        <x:v>3</x:v>
      </x:c>
      <x:c r="K374" t="n">
        <x:v>0</x:v>
      </x:c>
      <x:c r="L374" t="n">
        <x:v>0</x:v>
      </x:c>
      <x:c r="M374" t="n">
        <x:v>0</x:v>
      </x:c>
    </x:row>
    <x:row r="375">
      <x:c r="A375" t="str">
        <x:v>ME|Instinctif|14</x:v>
      </x:c>
      <x:c r="B375" t="str">
        <x:v>Mental</x:v>
      </x:c>
      <x:c r="C375" t="str">
        <x:v>Instinctif</x:v>
      </x:c>
      <x:c r="D375" t="n">
        <x:v>14</x:v>
      </x:c>
      <x:c r="E375" t="n">
        <x:v>0</x:v>
      </x:c>
      <x:c r="F375" t="n">
        <x:v>0</x:v>
      </x:c>
      <x:c r="G375" t="n">
        <x:v>0</x:v>
      </x:c>
      <x:c r="H375" t="n">
        <x:v>0</x:v>
      </x:c>
      <x:c r="I375" t="n">
        <x:v>11</x:v>
      </x:c>
      <x:c r="J375" t="n">
        <x:v>3</x:v>
      </x:c>
      <x:c r="K375" t="n">
        <x:v>0</x:v>
      </x:c>
      <x:c r="L375" t="n">
        <x:v>0</x:v>
      </x:c>
      <x:c r="M375" t="n">
        <x:v>0</x:v>
      </x:c>
    </x:row>
    <x:row r="376">
      <x:c r="A376" t="str">
        <x:v>ME|Instinctif|15</x:v>
      </x:c>
      <x:c r="B376" t="str">
        <x:v>Mental</x:v>
      </x:c>
      <x:c r="C376" t="str">
        <x:v>Instinctif</x:v>
      </x:c>
      <x:c r="D376" t="n">
        <x:v>15</x:v>
      </x:c>
      <x:c r="E376" t="n">
        <x:v>0</x:v>
      </x:c>
      <x:c r="F376" t="n">
        <x:v>0</x:v>
      </x:c>
      <x:c r="G376" t="n">
        <x:v>0</x:v>
      </x:c>
      <x:c r="H376" t="n">
        <x:v>0</x:v>
      </x:c>
      <x:c r="I376" t="n">
        <x:v>11</x:v>
      </x:c>
      <x:c r="J376" t="n">
        <x:v>4</x:v>
      </x:c>
      <x:c r="K376" t="n">
        <x:v>0</x:v>
      </x:c>
      <x:c r="L376" t="n">
        <x:v>0</x:v>
      </x:c>
      <x:c r="M376" t="n">
        <x:v>0</x:v>
      </x:c>
    </x:row>
    <x:row r="377">
      <x:c r="A377" t="str">
        <x:v>ME|Instinctif|16</x:v>
      </x:c>
      <x:c r="B377" t="str">
        <x:v>Mental</x:v>
      </x:c>
      <x:c r="C377" t="str">
        <x:v>Instinctif</x:v>
      </x:c>
      <x:c r="D377" t="n">
        <x:v>16</x:v>
      </x:c>
      <x:c r="E377" t="n">
        <x:v>0</x:v>
      </x:c>
      <x:c r="F377" t="n">
        <x:v>0</x:v>
      </x:c>
      <x:c r="G377" t="n">
        <x:v>0</x:v>
      </x:c>
      <x:c r="H377" t="n">
        <x:v>0</x:v>
      </x:c>
      <x:c r="I377" t="n">
        <x:v>12</x:v>
      </x:c>
      <x:c r="J377" t="n">
        <x:v>4</x:v>
      </x:c>
      <x:c r="K377" t="n">
        <x:v>0</x:v>
      </x:c>
      <x:c r="L377" t="n">
        <x:v>0</x:v>
      </x:c>
      <x:c r="M377" t="n">
        <x:v>0</x:v>
      </x:c>
    </x:row>
    <x:row r="378">
      <x:c r="A378" t="str">
        <x:v>ME|Instinctif|17</x:v>
      </x:c>
      <x:c r="B378" t="str">
        <x:v>Mental</x:v>
      </x:c>
      <x:c r="C378" t="str">
        <x:v>Instinctif</x:v>
      </x:c>
      <x:c r="D378" t="n">
        <x:v>17</x:v>
      </x:c>
      <x:c r="E378" t="n">
        <x:v>0</x:v>
      </x:c>
      <x:c r="F378" t="n">
        <x:v>0</x:v>
      </x:c>
      <x:c r="G378" t="n">
        <x:v>0</x:v>
      </x:c>
      <x:c r="H378" t="n">
        <x:v>0</x:v>
      </x:c>
      <x:c r="I378" t="n">
        <x:v>13</x:v>
      </x:c>
      <x:c r="J378" t="n">
        <x:v>4</x:v>
      </x:c>
      <x:c r="K378" t="n">
        <x:v>0</x:v>
      </x:c>
      <x:c r="L378" t="n">
        <x:v>0</x:v>
      </x:c>
      <x:c r="M378" t="n">
        <x:v>0</x:v>
      </x:c>
    </x:row>
    <x:row r="379">
      <x:c r="A379" t="str">
        <x:v>ME|Instinctif|18</x:v>
      </x:c>
      <x:c r="B379" t="str">
        <x:v>Mental</x:v>
      </x:c>
      <x:c r="C379" t="str">
        <x:v>Instinctif</x:v>
      </x:c>
      <x:c r="D379" t="n">
        <x:v>18</x:v>
      </x:c>
      <x:c r="E379" t="n">
        <x:v>0</x:v>
      </x:c>
      <x:c r="F379" t="n">
        <x:v>0</x:v>
      </x:c>
      <x:c r="G379" t="n">
        <x:v>0</x:v>
      </x:c>
      <x:c r="H379" t="n">
        <x:v>0</x:v>
      </x:c>
      <x:c r="I379" t="n">
        <x:v>14</x:v>
      </x:c>
      <x:c r="J379" t="n">
        <x:v>4</x:v>
      </x:c>
      <x:c r="K379" t="n">
        <x:v>0</x:v>
      </x:c>
      <x:c r="L379" t="n">
        <x:v>0</x:v>
      </x:c>
      <x:c r="M379" t="n">
        <x:v>0</x:v>
      </x:c>
    </x:row>
    <x:row r="380">
      <x:c r="A380" t="str">
        <x:v>ME|Instinctif|19</x:v>
      </x:c>
      <x:c r="B380" t="str">
        <x:v>Mental</x:v>
      </x:c>
      <x:c r="C380" t="str">
        <x:v>Instinctif</x:v>
      </x:c>
      <x:c r="D380" t="n">
        <x:v>19</x:v>
      </x:c>
      <x:c r="E380" t="n">
        <x:v>0</x:v>
      </x:c>
      <x:c r="F380" t="n">
        <x:v>0</x:v>
      </x:c>
      <x:c r="G380" t="n">
        <x:v>0</x:v>
      </x:c>
      <x:c r="H380" t="n">
        <x:v>0</x:v>
      </x:c>
      <x:c r="I380" t="n">
        <x:v>14</x:v>
      </x:c>
      <x:c r="J380" t="n">
        <x:v>5</x:v>
      </x:c>
      <x:c r="K380" t="n">
        <x:v>0</x:v>
      </x:c>
      <x:c r="L380" t="n">
        <x:v>0</x:v>
      </x:c>
      <x:c r="M380" t="n">
        <x:v>0</x:v>
      </x:c>
    </x:row>
    <x:row r="381">
      <x:c r="A381" t="str">
        <x:v>ME|Instinctif|20</x:v>
      </x:c>
      <x:c r="B381" t="str">
        <x:v>Mental</x:v>
      </x:c>
      <x:c r="C381" t="str">
        <x:v>Instinctif</x:v>
      </x:c>
      <x:c r="D381" t="n">
        <x:v>20</x:v>
      </x:c>
      <x:c r="E381" t="n">
        <x:v>0</x:v>
      </x:c>
      <x:c r="F381" t="n">
        <x:v>0</x:v>
      </x:c>
      <x:c r="G381" t="n">
        <x:v>0</x:v>
      </x:c>
      <x:c r="H381" t="n">
        <x:v>0</x:v>
      </x:c>
      <x:c r="I381" t="n">
        <x:v>15</x:v>
      </x:c>
      <x:c r="J381" t="n">
        <x:v>5</x:v>
      </x:c>
      <x:c r="K381" t="n">
        <x:v>0</x:v>
      </x:c>
      <x:c r="L381" t="n">
        <x:v>0</x:v>
      </x:c>
      <x:c r="M381" t="n">
        <x:v>0</x:v>
      </x:c>
    </x:row>
    <x:row r="382">
      <x:c r="A382" t="str">
        <x:v>ME|Instinctif|21</x:v>
      </x:c>
      <x:c r="B382" t="str">
        <x:v>Mental</x:v>
      </x:c>
      <x:c r="C382" t="str">
        <x:v>Instinctif</x:v>
      </x:c>
      <x:c r="D382" t="n">
        <x:v>21</x:v>
      </x:c>
      <x:c r="E382" t="n">
        <x:v>0</x:v>
      </x:c>
      <x:c r="F382" t="n">
        <x:v>0</x:v>
      </x:c>
      <x:c r="G382" t="n">
        <x:v>0</x:v>
      </x:c>
      <x:c r="H382" t="n">
        <x:v>0</x:v>
      </x:c>
      <x:c r="I382" t="n">
        <x:v>16</x:v>
      </x:c>
      <x:c r="J382" t="n">
        <x:v>5</x:v>
      </x:c>
      <x:c r="K382" t="n">
        <x:v>0</x:v>
      </x:c>
      <x:c r="L382" t="n">
        <x:v>0</x:v>
      </x:c>
      <x:c r="M382" t="n">
        <x:v>0</x:v>
      </x:c>
    </x:row>
    <x:row r="383">
      <x:c r="A383" t="str">
        <x:v>ME|Meneur|0</x:v>
      </x:c>
      <x:c r="B383" t="str">
        <x:v>Mental</x:v>
      </x:c>
      <x:c r="C383" t="str">
        <x:v>Meneur</x:v>
      </x:c>
      <x:c r="D383" t="n">
        <x:v>0</x:v>
      </x:c>
      <x:c r="E383" t="n">
        <x:v>0</x:v>
      </x:c>
      <x:c r="F383" t="n">
        <x:v>0</x:v>
      </x:c>
      <x:c r="G383" t="n">
        <x:v>0</x:v>
      </x:c>
      <x:c r="H383" t="n">
        <x:v>0</x:v>
      </x:c>
      <x:c r="I383" t="n">
        <x:v>0</x:v>
      </x:c>
      <x:c r="J383" t="n">
        <x:v>0</x:v>
      </x:c>
      <x:c r="K383" t="n">
        <x:v>0</x:v>
      </x:c>
      <x:c r="L383" t="n">
        <x:v>0</x:v>
      </x:c>
      <x:c r="M383" t="n">
        <x:v>0</x:v>
      </x:c>
    </x:row>
    <x:row r="384">
      <x:c r="A384" t="str">
        <x:v>ME|Meneur|1</x:v>
      </x:c>
      <x:c r="B384" t="str">
        <x:v>Mental</x:v>
      </x:c>
      <x:c r="C384" t="str">
        <x:v>Meneur</x:v>
      </x:c>
      <x:c r="D384" t="n">
        <x:v>1</x:v>
      </x:c>
      <x:c r="E384" t="n">
        <x:v>0</x:v>
      </x:c>
      <x:c r="F384" t="n">
        <x:v>0</x:v>
      </x:c>
      <x:c r="G384" t="n">
        <x:v>0</x:v>
      </x:c>
      <x:c r="H384" t="n">
        <x:v>0</x:v>
      </x:c>
      <x:c r="I384" t="n">
        <x:v>0</x:v>
      </x:c>
      <x:c r="J384" t="n">
        <x:v>1</x:v>
      </x:c>
      <x:c r="K384" t="n">
        <x:v>0</x:v>
      </x:c>
      <x:c r="L384" t="n">
        <x:v>0</x:v>
      </x:c>
      <x:c r="M384" t="n">
        <x:v>0</x:v>
      </x:c>
    </x:row>
    <x:row r="385">
      <x:c r="A385" t="str">
        <x:v>ME|Meneur|2</x:v>
      </x:c>
      <x:c r="B385" t="str">
        <x:v>Mental</x:v>
      </x:c>
      <x:c r="C385" t="str">
        <x:v>Meneur</x:v>
      </x:c>
      <x:c r="D385" t="n">
        <x:v>2</x:v>
      </x:c>
      <x:c r="E385" t="n">
        <x:v>0</x:v>
      </x:c>
      <x:c r="F385" t="n">
        <x:v>0</x:v>
      </x:c>
      <x:c r="G385" t="n">
        <x:v>0</x:v>
      </x:c>
      <x:c r="H385" t="n">
        <x:v>0</x:v>
      </x:c>
      <x:c r="I385" t="n">
        <x:v>1</x:v>
      </x:c>
      <x:c r="J385" t="n">
        <x:v>1</x:v>
      </x:c>
      <x:c r="K385" t="n">
        <x:v>0</x:v>
      </x:c>
      <x:c r="L385" t="n">
        <x:v>0</x:v>
      </x:c>
      <x:c r="M385" t="n">
        <x:v>0</x:v>
      </x:c>
    </x:row>
    <x:row r="386">
      <x:c r="A386" t="str">
        <x:v>ME|Meneur|3</x:v>
      </x:c>
      <x:c r="B386" t="str">
        <x:v>Mental</x:v>
      </x:c>
      <x:c r="C386" t="str">
        <x:v>Meneur</x:v>
      </x:c>
      <x:c r="D386" t="n">
        <x:v>3</x:v>
      </x:c>
      <x:c r="E386" t="n">
        <x:v>0</x:v>
      </x:c>
      <x:c r="F386" t="n">
        <x:v>0</x:v>
      </x:c>
      <x:c r="G386" t="n">
        <x:v>0</x:v>
      </x:c>
      <x:c r="H386" t="n">
        <x:v>0</x:v>
      </x:c>
      <x:c r="I386" t="n">
        <x:v>1</x:v>
      </x:c>
      <x:c r="J386" t="n">
        <x:v>2</x:v>
      </x:c>
      <x:c r="K386" t="n">
        <x:v>0</x:v>
      </x:c>
      <x:c r="L386" t="n">
        <x:v>0</x:v>
      </x:c>
      <x:c r="M386" t="n">
        <x:v>0</x:v>
      </x:c>
    </x:row>
    <x:row r="387">
      <x:c r="A387" t="str">
        <x:v>ME|Meneur|4</x:v>
      </x:c>
      <x:c r="B387" t="str">
        <x:v>Mental</x:v>
      </x:c>
      <x:c r="C387" t="str">
        <x:v>Meneur</x:v>
      </x:c>
      <x:c r="D387" t="n">
        <x:v>4</x:v>
      </x:c>
      <x:c r="E387" t="n">
        <x:v>0</x:v>
      </x:c>
      <x:c r="F387" t="n">
        <x:v>0</x:v>
      </x:c>
      <x:c r="G387" t="n">
        <x:v>0</x:v>
      </x:c>
      <x:c r="H387" t="n">
        <x:v>0</x:v>
      </x:c>
      <x:c r="I387" t="n">
        <x:v>1</x:v>
      </x:c>
      <x:c r="J387" t="n">
        <x:v>3</x:v>
      </x:c>
      <x:c r="K387" t="n">
        <x:v>0</x:v>
      </x:c>
      <x:c r="L387" t="n">
        <x:v>0</x:v>
      </x:c>
      <x:c r="M387" t="n">
        <x:v>0</x:v>
      </x:c>
    </x:row>
    <x:row r="388">
      <x:c r="A388" t="str">
        <x:v>ME|Meneur|5</x:v>
      </x:c>
      <x:c r="B388" t="str">
        <x:v>Mental</x:v>
      </x:c>
      <x:c r="C388" t="str">
        <x:v>Meneur</x:v>
      </x:c>
      <x:c r="D388" t="n">
        <x:v>5</x:v>
      </x:c>
      <x:c r="E388" t="n">
        <x:v>0</x:v>
      </x:c>
      <x:c r="F388" t="n">
        <x:v>0</x:v>
      </x:c>
      <x:c r="G388" t="n">
        <x:v>0</x:v>
      </x:c>
      <x:c r="H388" t="n">
        <x:v>0</x:v>
      </x:c>
      <x:c r="I388" t="n">
        <x:v>2</x:v>
      </x:c>
      <x:c r="J388" t="n">
        <x:v>3</x:v>
      </x:c>
      <x:c r="K388" t="n">
        <x:v>0</x:v>
      </x:c>
      <x:c r="L388" t="n">
        <x:v>0</x:v>
      </x:c>
      <x:c r="M388" t="n">
        <x:v>0</x:v>
      </x:c>
    </x:row>
    <x:row r="389">
      <x:c r="A389" t="str">
        <x:v>ME|Meneur|6</x:v>
      </x:c>
      <x:c r="B389" t="str">
        <x:v>Mental</x:v>
      </x:c>
      <x:c r="C389" t="str">
        <x:v>Meneur</x:v>
      </x:c>
      <x:c r="D389" t="n">
        <x:v>6</x:v>
      </x:c>
      <x:c r="E389" t="n">
        <x:v>0</x:v>
      </x:c>
      <x:c r="F389" t="n">
        <x:v>0</x:v>
      </x:c>
      <x:c r="G389" t="n">
        <x:v>0</x:v>
      </x:c>
      <x:c r="H389" t="n">
        <x:v>0</x:v>
      </x:c>
      <x:c r="I389" t="n">
        <x:v>2</x:v>
      </x:c>
      <x:c r="J389" t="n">
        <x:v>4</x:v>
      </x:c>
      <x:c r="K389" t="n">
        <x:v>0</x:v>
      </x:c>
      <x:c r="L389" t="n">
        <x:v>0</x:v>
      </x:c>
      <x:c r="M389" t="n">
        <x:v>0</x:v>
      </x:c>
    </x:row>
    <x:row r="390">
      <x:c r="A390" t="str">
        <x:v>ME|Meneur|7</x:v>
      </x:c>
      <x:c r="B390" t="str">
        <x:v>Mental</x:v>
      </x:c>
      <x:c r="C390" t="str">
        <x:v>Meneur</x:v>
      </x:c>
      <x:c r="D390" t="n">
        <x:v>7</x:v>
      </x:c>
      <x:c r="E390" t="n">
        <x:v>0</x:v>
      </x:c>
      <x:c r="F390" t="n">
        <x:v>0</x:v>
      </x:c>
      <x:c r="G390" t="n">
        <x:v>0</x:v>
      </x:c>
      <x:c r="H390" t="n">
        <x:v>0</x:v>
      </x:c>
      <x:c r="I390" t="n">
        <x:v>2</x:v>
      </x:c>
      <x:c r="J390" t="n">
        <x:v>5</x:v>
      </x:c>
      <x:c r="K390" t="n">
        <x:v>0</x:v>
      </x:c>
      <x:c r="L390" t="n">
        <x:v>0</x:v>
      </x:c>
      <x:c r="M390" t="n">
        <x:v>0</x:v>
      </x:c>
    </x:row>
    <x:row r="391">
      <x:c r="A391" t="str">
        <x:v>ME|Meneur|8</x:v>
      </x:c>
      <x:c r="B391" t="str">
        <x:v>Mental</x:v>
      </x:c>
      <x:c r="C391" t="str">
        <x:v>Meneur</x:v>
      </x:c>
      <x:c r="D391" t="n">
        <x:v>8</x:v>
      </x:c>
      <x:c r="E391" t="n">
        <x:v>0</x:v>
      </x:c>
      <x:c r="F391" t="n">
        <x:v>0</x:v>
      </x:c>
      <x:c r="G391" t="n">
        <x:v>0</x:v>
      </x:c>
      <x:c r="H391" t="n">
        <x:v>0</x:v>
      </x:c>
      <x:c r="I391" t="n">
        <x:v>3</x:v>
      </x:c>
      <x:c r="J391" t="n">
        <x:v>5</x:v>
      </x:c>
      <x:c r="K391" t="n">
        <x:v>0</x:v>
      </x:c>
      <x:c r="L391" t="n">
        <x:v>0</x:v>
      </x:c>
      <x:c r="M391" t="n">
        <x:v>0</x:v>
      </x:c>
    </x:row>
    <x:row r="392">
      <x:c r="A392" t="str">
        <x:v>ME|Meneur|9</x:v>
      </x:c>
      <x:c r="B392" t="str">
        <x:v>Mental</x:v>
      </x:c>
      <x:c r="C392" t="str">
        <x:v>Meneur</x:v>
      </x:c>
      <x:c r="D392" t="n">
        <x:v>9</x:v>
      </x:c>
      <x:c r="E392" t="n">
        <x:v>0</x:v>
      </x:c>
      <x:c r="F392" t="n">
        <x:v>0</x:v>
      </x:c>
      <x:c r="G392" t="n">
        <x:v>0</x:v>
      </x:c>
      <x:c r="H392" t="n">
        <x:v>0</x:v>
      </x:c>
      <x:c r="I392" t="n">
        <x:v>3</x:v>
      </x:c>
      <x:c r="J392" t="n">
        <x:v>6</x:v>
      </x:c>
      <x:c r="K392" t="n">
        <x:v>0</x:v>
      </x:c>
      <x:c r="L392" t="n">
        <x:v>0</x:v>
      </x:c>
      <x:c r="M392" t="n">
        <x:v>0</x:v>
      </x:c>
    </x:row>
    <x:row r="393">
      <x:c r="A393" t="str">
        <x:v>ME|Meneur|10</x:v>
      </x:c>
      <x:c r="B393" t="str">
        <x:v>Mental</x:v>
      </x:c>
      <x:c r="C393" t="str">
        <x:v>Meneur</x:v>
      </x:c>
      <x:c r="D393" t="n">
        <x:v>10</x:v>
      </x:c>
      <x:c r="E393" t="n">
        <x:v>0</x:v>
      </x:c>
      <x:c r="F393" t="n">
        <x:v>0</x:v>
      </x:c>
      <x:c r="G393" t="n">
        <x:v>0</x:v>
      </x:c>
      <x:c r="H393" t="n">
        <x:v>0</x:v>
      </x:c>
      <x:c r="I393" t="n">
        <x:v>4</x:v>
      </x:c>
      <x:c r="J393" t="n">
        <x:v>6</x:v>
      </x:c>
      <x:c r="K393" t="n">
        <x:v>0</x:v>
      </x:c>
      <x:c r="L393" t="n">
        <x:v>0</x:v>
      </x:c>
      <x:c r="M393" t="n">
        <x:v>0</x:v>
      </x:c>
    </x:row>
    <x:row r="394">
      <x:c r="A394" t="str">
        <x:v>ME|Meneur|11</x:v>
      </x:c>
      <x:c r="B394" t="str">
        <x:v>Mental</x:v>
      </x:c>
      <x:c r="C394" t="str">
        <x:v>Meneur</x:v>
      </x:c>
      <x:c r="D394" t="n">
        <x:v>11</x:v>
      </x:c>
      <x:c r="E394" t="n">
        <x:v>0</x:v>
      </x:c>
      <x:c r="F394" t="n">
        <x:v>0</x:v>
      </x:c>
      <x:c r="G394" t="n">
        <x:v>0</x:v>
      </x:c>
      <x:c r="H394" t="n">
        <x:v>0</x:v>
      </x:c>
      <x:c r="I394" t="n">
        <x:v>4</x:v>
      </x:c>
      <x:c r="J394" t="n">
        <x:v>7</x:v>
      </x:c>
      <x:c r="K394" t="n">
        <x:v>0</x:v>
      </x:c>
      <x:c r="L394" t="n">
        <x:v>0</x:v>
      </x:c>
      <x:c r="M394" t="n">
        <x:v>0</x:v>
      </x:c>
    </x:row>
    <x:row r="395">
      <x:c r="A395" t="str">
        <x:v>ME|Meneur|12</x:v>
      </x:c>
      <x:c r="B395" t="str">
        <x:v>Mental</x:v>
      </x:c>
      <x:c r="C395" t="str">
        <x:v>Meneur</x:v>
      </x:c>
      <x:c r="D395" t="n">
        <x:v>12</x:v>
      </x:c>
      <x:c r="E395" t="n">
        <x:v>0</x:v>
      </x:c>
      <x:c r="F395" t="n">
        <x:v>0</x:v>
      </x:c>
      <x:c r="G395" t="n">
        <x:v>0</x:v>
      </x:c>
      <x:c r="H395" t="n">
        <x:v>0</x:v>
      </x:c>
      <x:c r="I395" t="n">
        <x:v>4</x:v>
      </x:c>
      <x:c r="J395" t="n">
        <x:v>8</x:v>
      </x:c>
      <x:c r="K395" t="n">
        <x:v>0</x:v>
      </x:c>
      <x:c r="L395" t="n">
        <x:v>0</x:v>
      </x:c>
      <x:c r="M395" t="n">
        <x:v>0</x:v>
      </x:c>
    </x:row>
    <x:row r="396">
      <x:c r="A396" t="str">
        <x:v>ME|Meneur|13</x:v>
      </x:c>
      <x:c r="B396" t="str">
        <x:v>Mental</x:v>
      </x:c>
      <x:c r="C396" t="str">
        <x:v>Meneur</x:v>
      </x:c>
      <x:c r="D396" t="n">
        <x:v>13</x:v>
      </x:c>
      <x:c r="E396" t="n">
        <x:v>0</x:v>
      </x:c>
      <x:c r="F396" t="n">
        <x:v>0</x:v>
      </x:c>
      <x:c r="G396" t="n">
        <x:v>0</x:v>
      </x:c>
      <x:c r="H396" t="n">
        <x:v>0</x:v>
      </x:c>
      <x:c r="I396" t="n">
        <x:v>5</x:v>
      </x:c>
      <x:c r="J396" t="n">
        <x:v>8</x:v>
      </x:c>
      <x:c r="K396" t="n">
        <x:v>0</x:v>
      </x:c>
      <x:c r="L396" t="n">
        <x:v>0</x:v>
      </x:c>
      <x:c r="M396" t="n">
        <x:v>0</x:v>
      </x:c>
    </x:row>
    <x:row r="397">
      <x:c r="A397" t="str">
        <x:v>ME|Meneur|14</x:v>
      </x:c>
      <x:c r="B397" t="str">
        <x:v>Mental</x:v>
      </x:c>
      <x:c r="C397" t="str">
        <x:v>Meneur</x:v>
      </x:c>
      <x:c r="D397" t="n">
        <x:v>14</x:v>
      </x:c>
      <x:c r="E397" t="n">
        <x:v>0</x:v>
      </x:c>
      <x:c r="F397" t="n">
        <x:v>0</x:v>
      </x:c>
      <x:c r="G397" t="n">
        <x:v>0</x:v>
      </x:c>
      <x:c r="H397" t="n">
        <x:v>0</x:v>
      </x:c>
      <x:c r="I397" t="n">
        <x:v>5</x:v>
      </x:c>
      <x:c r="J397" t="n">
        <x:v>9</x:v>
      </x:c>
      <x:c r="K397" t="n">
        <x:v>0</x:v>
      </x:c>
      <x:c r="L397" t="n">
        <x:v>0</x:v>
      </x:c>
      <x:c r="M397" t="n">
        <x:v>0</x:v>
      </x:c>
    </x:row>
    <x:row r="398">
      <x:c r="A398" t="str">
        <x:v>ME|Meneur|15</x:v>
      </x:c>
      <x:c r="B398" t="str">
        <x:v>Mental</x:v>
      </x:c>
      <x:c r="C398" t="str">
        <x:v>Meneur</x:v>
      </x:c>
      <x:c r="D398" t="n">
        <x:v>15</x:v>
      </x:c>
      <x:c r="E398" t="n">
        <x:v>0</x:v>
      </x:c>
      <x:c r="F398" t="n">
        <x:v>0</x:v>
      </x:c>
      <x:c r="G398" t="n">
        <x:v>0</x:v>
      </x:c>
      <x:c r="H398" t="n">
        <x:v>0</x:v>
      </x:c>
      <x:c r="I398" t="n">
        <x:v>5</x:v>
      </x:c>
      <x:c r="J398" t="n">
        <x:v>10</x:v>
      </x:c>
      <x:c r="K398" t="n">
        <x:v>0</x:v>
      </x:c>
      <x:c r="L398" t="n">
        <x:v>0</x:v>
      </x:c>
      <x:c r="M398" t="n">
        <x:v>0</x:v>
      </x:c>
    </x:row>
    <x:row r="399">
      <x:c r="A399" t="str">
        <x:v>ME|Meneur|16</x:v>
      </x:c>
      <x:c r="B399" t="str">
        <x:v>Mental</x:v>
      </x:c>
      <x:c r="C399" t="str">
        <x:v>Meneur</x:v>
      </x:c>
      <x:c r="D399" t="n">
        <x:v>16</x:v>
      </x:c>
      <x:c r="E399" t="n">
        <x:v>0</x:v>
      </x:c>
      <x:c r="F399" t="n">
        <x:v>0</x:v>
      </x:c>
      <x:c r="G399" t="n">
        <x:v>0</x:v>
      </x:c>
      <x:c r="H399" t="n">
        <x:v>0</x:v>
      </x:c>
      <x:c r="I399" t="n">
        <x:v>6</x:v>
      </x:c>
      <x:c r="J399" t="n">
        <x:v>10</x:v>
      </x:c>
      <x:c r="K399" t="n">
        <x:v>0</x:v>
      </x:c>
      <x:c r="L399" t="n">
        <x:v>0</x:v>
      </x:c>
      <x:c r="M399" t="n">
        <x:v>0</x:v>
      </x:c>
    </x:row>
    <x:row r="400">
      <x:c r="A400" t="str">
        <x:v>ME|Meneur|17</x:v>
      </x:c>
      <x:c r="B400" t="str">
        <x:v>Mental</x:v>
      </x:c>
      <x:c r="C400" t="str">
        <x:v>Meneur</x:v>
      </x:c>
      <x:c r="D400" t="n">
        <x:v>17</x:v>
      </x:c>
      <x:c r="E400" t="n">
        <x:v>0</x:v>
      </x:c>
      <x:c r="F400" t="n">
        <x:v>0</x:v>
      </x:c>
      <x:c r="G400" t="n">
        <x:v>0</x:v>
      </x:c>
      <x:c r="H400" t="n">
        <x:v>0</x:v>
      </x:c>
      <x:c r="I400" t="n">
        <x:v>6</x:v>
      </x:c>
      <x:c r="J400" t="n">
        <x:v>11</x:v>
      </x:c>
      <x:c r="K400" t="n">
        <x:v>0</x:v>
      </x:c>
      <x:c r="L400" t="n">
        <x:v>0</x:v>
      </x:c>
      <x:c r="M400" t="n">
        <x:v>0</x:v>
      </x:c>
    </x:row>
    <x:row r="401">
      <x:c r="A401" t="str">
        <x:v>ME|Meneur|18</x:v>
      </x:c>
      <x:c r="B401" t="str">
        <x:v>Mental</x:v>
      </x:c>
      <x:c r="C401" t="str">
        <x:v>Meneur</x:v>
      </x:c>
      <x:c r="D401" t="n">
        <x:v>18</x:v>
      </x:c>
      <x:c r="E401" t="n">
        <x:v>0</x:v>
      </x:c>
      <x:c r="F401" t="n">
        <x:v>0</x:v>
      </x:c>
      <x:c r="G401" t="n">
        <x:v>0</x:v>
      </x:c>
      <x:c r="H401" t="n">
        <x:v>0</x:v>
      </x:c>
      <x:c r="I401" t="n">
        <x:v>6</x:v>
      </x:c>
      <x:c r="J401" t="n">
        <x:v>12</x:v>
      </x:c>
      <x:c r="K401" t="n">
        <x:v>0</x:v>
      </x:c>
      <x:c r="L401" t="n">
        <x:v>0</x:v>
      </x:c>
      <x:c r="M401" t="n">
        <x:v>0</x:v>
      </x:c>
    </x:row>
    <x:row r="402">
      <x:c r="A402" t="str">
        <x:v>ME|Meneur|19</x:v>
      </x:c>
      <x:c r="B402" t="str">
        <x:v>Mental</x:v>
      </x:c>
      <x:c r="C402" t="str">
        <x:v>Meneur</x:v>
      </x:c>
      <x:c r="D402" t="n">
        <x:v>19</x:v>
      </x:c>
      <x:c r="E402" t="n">
        <x:v>0</x:v>
      </x:c>
      <x:c r="F402" t="n">
        <x:v>0</x:v>
      </x:c>
      <x:c r="G402" t="n">
        <x:v>0</x:v>
      </x:c>
      <x:c r="H402" t="n">
        <x:v>0</x:v>
      </x:c>
      <x:c r="I402" t="n">
        <x:v>7</x:v>
      </x:c>
      <x:c r="J402" t="n">
        <x:v>12</x:v>
      </x:c>
      <x:c r="K402" t="n">
        <x:v>0</x:v>
      </x:c>
      <x:c r="L402" t="n">
        <x:v>0</x:v>
      </x:c>
      <x:c r="M402" t="n">
        <x:v>0</x:v>
      </x:c>
    </x:row>
    <x:row r="403">
      <x:c r="A403" t="str">
        <x:v>ME|Meneur|20</x:v>
      </x:c>
      <x:c r="B403" t="str">
        <x:v>Mental</x:v>
      </x:c>
      <x:c r="C403" t="str">
        <x:v>Meneur</x:v>
      </x:c>
      <x:c r="D403" t="n">
        <x:v>20</x:v>
      </x:c>
      <x:c r="E403" t="n">
        <x:v>0</x:v>
      </x:c>
      <x:c r="F403" t="n">
        <x:v>0</x:v>
      </x:c>
      <x:c r="G403" t="n">
        <x:v>0</x:v>
      </x:c>
      <x:c r="H403" t="n">
        <x:v>0</x:v>
      </x:c>
      <x:c r="I403" t="n">
        <x:v>7</x:v>
      </x:c>
      <x:c r="J403" t="n">
        <x:v>13</x:v>
      </x:c>
      <x:c r="K403" t="n">
        <x:v>0</x:v>
      </x:c>
      <x:c r="L403" t="n">
        <x:v>0</x:v>
      </x:c>
      <x:c r="M403" t="n">
        <x:v>0</x:v>
      </x:c>
    </x:row>
    <x:row r="404">
      <x:c r="A404" t="str">
        <x:v>ME|Meneur|21</x:v>
      </x:c>
      <x:c r="B404" t="str">
        <x:v>Mental</x:v>
      </x:c>
      <x:c r="C404" t="str">
        <x:v>Meneur</x:v>
      </x:c>
      <x:c r="D404" t="n">
        <x:v>21</x:v>
      </x:c>
      <x:c r="E404" t="n">
        <x:v>0</x:v>
      </x:c>
      <x:c r="F404" t="n">
        <x:v>0</x:v>
      </x:c>
      <x:c r="G404" t="n">
        <x:v>0</x:v>
      </x:c>
      <x:c r="H404" t="n">
        <x:v>0</x:v>
      </x:c>
      <x:c r="I404" t="n">
        <x:v>7</x:v>
      </x:c>
      <x:c r="J404" t="n">
        <x:v>14</x:v>
      </x:c>
      <x:c r="K404" t="n">
        <x:v>0</x:v>
      </x:c>
      <x:c r="L404" t="n">
        <x:v>0</x:v>
      </x:c>
      <x:c r="M404" t="n">
        <x:v>0</x:v>
      </x:c>
    </x:row>
    <x:row r="405">
      <x:c r="A405" t="str">
        <x:v>ME|Terrifiant|0</x:v>
      </x:c>
      <x:c r="B405" t="str">
        <x:v>Mental</x:v>
      </x:c>
      <x:c r="C405" t="str">
        <x:v>Terrifiant</x:v>
      </x:c>
      <x:c r="D405" t="n">
        <x:v>0</x:v>
      </x:c>
      <x:c r="E405" t="n">
        <x:v>0</x:v>
      </x:c>
      <x:c r="F405" t="n">
        <x:v>0</x:v>
      </x:c>
      <x:c r="G405" t="n">
        <x:v>0</x:v>
      </x:c>
      <x:c r="H405" t="n">
        <x:v>0</x:v>
      </x:c>
      <x:c r="I405" t="n">
        <x:v>0</x:v>
      </x:c>
      <x:c r="J405" t="n">
        <x:v>0</x:v>
      </x:c>
      <x:c r="K405" t="n">
        <x:v>0</x:v>
      </x:c>
      <x:c r="L405" t="n">
        <x:v>0</x:v>
      </x:c>
      <x:c r="M405" t="n">
        <x:v>0</x:v>
      </x:c>
    </x:row>
    <x:row r="406">
      <x:c r="A406" t="str">
        <x:v>ME|Terrifiant|1</x:v>
      </x:c>
      <x:c r="B406" t="str">
        <x:v>Mental</x:v>
      </x:c>
      <x:c r="C406" t="str">
        <x:v>Terrifiant</x:v>
      </x:c>
      <x:c r="D406" t="n">
        <x:v>1</x:v>
      </x:c>
      <x:c r="E406" t="n">
        <x:v>0</x:v>
      </x:c>
      <x:c r="F406" t="n">
        <x:v>0</x:v>
      </x:c>
      <x:c r="G406" t="n">
        <x:v>0</x:v>
      </x:c>
      <x:c r="H406" t="n">
        <x:v>0</x:v>
      </x:c>
      <x:c r="I406" t="n">
        <x:v>0</x:v>
      </x:c>
      <x:c r="J406" t="n">
        <x:v>1</x:v>
      </x:c>
      <x:c r="K406" t="n">
        <x:v>0</x:v>
      </x:c>
      <x:c r="L406" t="n">
        <x:v>0</x:v>
      </x:c>
      <x:c r="M406" t="n">
        <x:v>0</x:v>
      </x:c>
    </x:row>
    <x:row r="407">
      <x:c r="A407" t="str">
        <x:v>ME|Terrifiant|2</x:v>
      </x:c>
      <x:c r="B407" t="str">
        <x:v>Mental</x:v>
      </x:c>
      <x:c r="C407" t="str">
        <x:v>Terrifiant</x:v>
      </x:c>
      <x:c r="D407" t="n">
        <x:v>2</x:v>
      </x:c>
      <x:c r="E407" t="n">
        <x:v>0</x:v>
      </x:c>
      <x:c r="F407" t="n">
        <x:v>0</x:v>
      </x:c>
      <x:c r="G407" t="n">
        <x:v>0</x:v>
      </x:c>
      <x:c r="H407" t="n">
        <x:v>0</x:v>
      </x:c>
      <x:c r="I407" t="n">
        <x:v>1</x:v>
      </x:c>
      <x:c r="J407" t="n">
        <x:v>1</x:v>
      </x:c>
      <x:c r="K407" t="n">
        <x:v>0</x:v>
      </x:c>
      <x:c r="L407" t="n">
        <x:v>0</x:v>
      </x:c>
      <x:c r="M407" t="n">
        <x:v>0</x:v>
      </x:c>
    </x:row>
    <x:row r="408">
      <x:c r="A408" t="str">
        <x:v>ME|Terrifiant|3</x:v>
      </x:c>
      <x:c r="B408" t="str">
        <x:v>Mental</x:v>
      </x:c>
      <x:c r="C408" t="str">
        <x:v>Terrifiant</x:v>
      </x:c>
      <x:c r="D408" t="n">
        <x:v>3</x:v>
      </x:c>
      <x:c r="E408" t="n">
        <x:v>0</x:v>
      </x:c>
      <x:c r="F408" t="n">
        <x:v>0</x:v>
      </x:c>
      <x:c r="G408" t="n">
        <x:v>0</x:v>
      </x:c>
      <x:c r="H408" t="n">
        <x:v>0</x:v>
      </x:c>
      <x:c r="I408" t="n">
        <x:v>1</x:v>
      </x:c>
      <x:c r="J408" t="n">
        <x:v>2</x:v>
      </x:c>
      <x:c r="K408" t="n">
        <x:v>0</x:v>
      </x:c>
      <x:c r="L408" t="n">
        <x:v>0</x:v>
      </x:c>
      <x:c r="M408" t="n">
        <x:v>0</x:v>
      </x:c>
    </x:row>
    <x:row r="409">
      <x:c r="A409" t="str">
        <x:v>ME|Terrifiant|4</x:v>
      </x:c>
      <x:c r="B409" t="str">
        <x:v>Mental</x:v>
      </x:c>
      <x:c r="C409" t="str">
        <x:v>Terrifiant</x:v>
      </x:c>
      <x:c r="D409" t="n">
        <x:v>4</x:v>
      </x:c>
      <x:c r="E409" t="n">
        <x:v>0</x:v>
      </x:c>
      <x:c r="F409" t="n">
        <x:v>0</x:v>
      </x:c>
      <x:c r="G409" t="n">
        <x:v>0</x:v>
      </x:c>
      <x:c r="H409" t="n">
        <x:v>0</x:v>
      </x:c>
      <x:c r="I409" t="n">
        <x:v>1</x:v>
      </x:c>
      <x:c r="J409" t="n">
        <x:v>3</x:v>
      </x:c>
      <x:c r="K409" t="n">
        <x:v>0</x:v>
      </x:c>
      <x:c r="L409" t="n">
        <x:v>0</x:v>
      </x:c>
      <x:c r="M409" t="n">
        <x:v>0</x:v>
      </x:c>
    </x:row>
    <x:row r="410">
      <x:c r="A410" t="str">
        <x:v>ME|Terrifiant|5</x:v>
      </x:c>
      <x:c r="B410" t="str">
        <x:v>Mental</x:v>
      </x:c>
      <x:c r="C410" t="str">
        <x:v>Terrifiant</x:v>
      </x:c>
      <x:c r="D410" t="n">
        <x:v>5</x:v>
      </x:c>
      <x:c r="E410" t="n">
        <x:v>0</x:v>
      </x:c>
      <x:c r="F410" t="n">
        <x:v>0</x:v>
      </x:c>
      <x:c r="G410" t="n">
        <x:v>0</x:v>
      </x:c>
      <x:c r="H410" t="n">
        <x:v>0</x:v>
      </x:c>
      <x:c r="I410" t="n">
        <x:v>2</x:v>
      </x:c>
      <x:c r="J410" t="n">
        <x:v>3</x:v>
      </x:c>
      <x:c r="K410" t="n">
        <x:v>0</x:v>
      </x:c>
      <x:c r="L410" t="n">
        <x:v>0</x:v>
      </x:c>
      <x:c r="M410" t="n">
        <x:v>0</x:v>
      </x:c>
    </x:row>
    <x:row r="411">
      <x:c r="A411" t="str">
        <x:v>ME|Terrifiant|6</x:v>
      </x:c>
      <x:c r="B411" t="str">
        <x:v>Mental</x:v>
      </x:c>
      <x:c r="C411" t="str">
        <x:v>Terrifiant</x:v>
      </x:c>
      <x:c r="D411" t="n">
        <x:v>6</x:v>
      </x:c>
      <x:c r="E411" t="n">
        <x:v>0</x:v>
      </x:c>
      <x:c r="F411" t="n">
        <x:v>0</x:v>
      </x:c>
      <x:c r="G411" t="n">
        <x:v>0</x:v>
      </x:c>
      <x:c r="H411" t="n">
        <x:v>0</x:v>
      </x:c>
      <x:c r="I411" t="n">
        <x:v>2</x:v>
      </x:c>
      <x:c r="J411" t="n">
        <x:v>4</x:v>
      </x:c>
      <x:c r="K411" t="n">
        <x:v>0</x:v>
      </x:c>
      <x:c r="L411" t="n">
        <x:v>0</x:v>
      </x:c>
      <x:c r="M411" t="n">
        <x:v>0</x:v>
      </x:c>
    </x:row>
    <x:row r="412">
      <x:c r="A412" t="str">
        <x:v>ME|Terrifiant|7</x:v>
      </x:c>
      <x:c r="B412" t="str">
        <x:v>Mental</x:v>
      </x:c>
      <x:c r="C412" t="str">
        <x:v>Terrifiant</x:v>
      </x:c>
      <x:c r="D412" t="n">
        <x:v>7</x:v>
      </x:c>
      <x:c r="E412" t="n">
        <x:v>0</x:v>
      </x:c>
      <x:c r="F412" t="n">
        <x:v>0</x:v>
      </x:c>
      <x:c r="G412" t="n">
        <x:v>0</x:v>
      </x:c>
      <x:c r="H412" t="n">
        <x:v>0</x:v>
      </x:c>
      <x:c r="I412" t="n">
        <x:v>2</x:v>
      </x:c>
      <x:c r="J412" t="n">
        <x:v>5</x:v>
      </x:c>
      <x:c r="K412" t="n">
        <x:v>0</x:v>
      </x:c>
      <x:c r="L412" t="n">
        <x:v>0</x:v>
      </x:c>
      <x:c r="M412" t="n">
        <x:v>0</x:v>
      </x:c>
    </x:row>
    <x:row r="413">
      <x:c r="A413" t="str">
        <x:v>ME|Terrifiant|8</x:v>
      </x:c>
      <x:c r="B413" t="str">
        <x:v>Mental</x:v>
      </x:c>
      <x:c r="C413" t="str">
        <x:v>Terrifiant</x:v>
      </x:c>
      <x:c r="D413" t="n">
        <x:v>8</x:v>
      </x:c>
      <x:c r="E413" t="n">
        <x:v>0</x:v>
      </x:c>
      <x:c r="F413" t="n">
        <x:v>0</x:v>
      </x:c>
      <x:c r="G413" t="n">
        <x:v>0</x:v>
      </x:c>
      <x:c r="H413" t="n">
        <x:v>0</x:v>
      </x:c>
      <x:c r="I413" t="n">
        <x:v>2</x:v>
      </x:c>
      <x:c r="J413" t="n">
        <x:v>6</x:v>
      </x:c>
      <x:c r="K413" t="n">
        <x:v>0</x:v>
      </x:c>
      <x:c r="L413" t="n">
        <x:v>0</x:v>
      </x:c>
      <x:c r="M413" t="n">
        <x:v>0</x:v>
      </x:c>
    </x:row>
    <x:row r="414">
      <x:c r="A414" t="str">
        <x:v>ME|Terrifiant|9</x:v>
      </x:c>
      <x:c r="B414" t="str">
        <x:v>Mental</x:v>
      </x:c>
      <x:c r="C414" t="str">
        <x:v>Terrifiant</x:v>
      </x:c>
      <x:c r="D414" t="n">
        <x:v>9</x:v>
      </x:c>
      <x:c r="E414" t="n">
        <x:v>0</x:v>
      </x:c>
      <x:c r="F414" t="n">
        <x:v>0</x:v>
      </x:c>
      <x:c r="G414" t="n">
        <x:v>0</x:v>
      </x:c>
      <x:c r="H414" t="n">
        <x:v>0</x:v>
      </x:c>
      <x:c r="I414" t="n">
        <x:v>3</x:v>
      </x:c>
      <x:c r="J414" t="n">
        <x:v>6</x:v>
      </x:c>
      <x:c r="K414" t="n">
        <x:v>0</x:v>
      </x:c>
      <x:c r="L414" t="n">
        <x:v>0</x:v>
      </x:c>
      <x:c r="M414" t="n">
        <x:v>0</x:v>
      </x:c>
    </x:row>
    <x:row r="415">
      <x:c r="A415" t="str">
        <x:v>ME|Terrifiant|10</x:v>
      </x:c>
      <x:c r="B415" t="str">
        <x:v>Mental</x:v>
      </x:c>
      <x:c r="C415" t="str">
        <x:v>Terrifiant</x:v>
      </x:c>
      <x:c r="D415" t="n">
        <x:v>10</x:v>
      </x:c>
      <x:c r="E415" t="n">
        <x:v>0</x:v>
      </x:c>
      <x:c r="F415" t="n">
        <x:v>0</x:v>
      </x:c>
      <x:c r="G415" t="n">
        <x:v>0</x:v>
      </x:c>
      <x:c r="H415" t="n">
        <x:v>0</x:v>
      </x:c>
      <x:c r="I415" t="n">
        <x:v>3</x:v>
      </x:c>
      <x:c r="J415" t="n">
        <x:v>7</x:v>
      </x:c>
      <x:c r="K415" t="n">
        <x:v>0</x:v>
      </x:c>
      <x:c r="L415" t="n">
        <x:v>0</x:v>
      </x:c>
      <x:c r="M415" t="n">
        <x:v>0</x:v>
      </x:c>
    </x:row>
    <x:row r="416">
      <x:c r="A416" t="str">
        <x:v>ME|Terrifiant|11</x:v>
      </x:c>
      <x:c r="B416" t="str">
        <x:v>Mental</x:v>
      </x:c>
      <x:c r="C416" t="str">
        <x:v>Terrifiant</x:v>
      </x:c>
      <x:c r="D416" t="n">
        <x:v>11</x:v>
      </x:c>
      <x:c r="E416" t="n">
        <x:v>0</x:v>
      </x:c>
      <x:c r="F416" t="n">
        <x:v>0</x:v>
      </x:c>
      <x:c r="G416" t="n">
        <x:v>0</x:v>
      </x:c>
      <x:c r="H416" t="n">
        <x:v>0</x:v>
      </x:c>
      <x:c r="I416" t="n">
        <x:v>3</x:v>
      </x:c>
      <x:c r="J416" t="n">
        <x:v>8</x:v>
      </x:c>
      <x:c r="K416" t="n">
        <x:v>0</x:v>
      </x:c>
      <x:c r="L416" t="n">
        <x:v>0</x:v>
      </x:c>
      <x:c r="M416" t="n">
        <x:v>0</x:v>
      </x:c>
    </x:row>
    <x:row r="417">
      <x:c r="A417" t="str">
        <x:v>ME|Terrifiant|12</x:v>
      </x:c>
      <x:c r="B417" t="str">
        <x:v>Mental</x:v>
      </x:c>
      <x:c r="C417" t="str">
        <x:v>Terrifiant</x:v>
      </x:c>
      <x:c r="D417" t="n">
        <x:v>12</x:v>
      </x:c>
      <x:c r="E417" t="n">
        <x:v>0</x:v>
      </x:c>
      <x:c r="F417" t="n">
        <x:v>0</x:v>
      </x:c>
      <x:c r="G417" t="n">
        <x:v>0</x:v>
      </x:c>
      <x:c r="H417" t="n">
        <x:v>0</x:v>
      </x:c>
      <x:c r="I417" t="n">
        <x:v>4</x:v>
      </x:c>
      <x:c r="J417" t="n">
        <x:v>8</x:v>
      </x:c>
      <x:c r="K417" t="n">
        <x:v>0</x:v>
      </x:c>
      <x:c r="L417" t="n">
        <x:v>0</x:v>
      </x:c>
      <x:c r="M417" t="n">
        <x:v>0</x:v>
      </x:c>
    </x:row>
    <x:row r="418">
      <x:c r="A418" t="str">
        <x:v>ME|Terrifiant|13</x:v>
      </x:c>
      <x:c r="B418" t="str">
        <x:v>Mental</x:v>
      </x:c>
      <x:c r="C418" t="str">
        <x:v>Terrifiant</x:v>
      </x:c>
      <x:c r="D418" t="n">
        <x:v>13</x:v>
      </x:c>
      <x:c r="E418" t="n">
        <x:v>0</x:v>
      </x:c>
      <x:c r="F418" t="n">
        <x:v>0</x:v>
      </x:c>
      <x:c r="G418" t="n">
        <x:v>0</x:v>
      </x:c>
      <x:c r="H418" t="n">
        <x:v>0</x:v>
      </x:c>
      <x:c r="I418" t="n">
        <x:v>4</x:v>
      </x:c>
      <x:c r="J418" t="n">
        <x:v>9</x:v>
      </x:c>
      <x:c r="K418" t="n">
        <x:v>0</x:v>
      </x:c>
      <x:c r="L418" t="n">
        <x:v>0</x:v>
      </x:c>
      <x:c r="M418" t="n">
        <x:v>0</x:v>
      </x:c>
    </x:row>
    <x:row r="419">
      <x:c r="A419" t="str">
        <x:v>ME|Terrifiant|14</x:v>
      </x:c>
      <x:c r="B419" t="str">
        <x:v>Mental</x:v>
      </x:c>
      <x:c r="C419" t="str">
        <x:v>Terrifiant</x:v>
      </x:c>
      <x:c r="D419" t="n">
        <x:v>14</x:v>
      </x:c>
      <x:c r="E419" t="n">
        <x:v>0</x:v>
      </x:c>
      <x:c r="F419" t="n">
        <x:v>0</x:v>
      </x:c>
      <x:c r="G419" t="n">
        <x:v>0</x:v>
      </x:c>
      <x:c r="H419" t="n">
        <x:v>0</x:v>
      </x:c>
      <x:c r="I419" t="n">
        <x:v>4</x:v>
      </x:c>
      <x:c r="J419" t="n">
        <x:v>10</x:v>
      </x:c>
      <x:c r="K419" t="n">
        <x:v>0</x:v>
      </x:c>
      <x:c r="L419" t="n">
        <x:v>0</x:v>
      </x:c>
      <x:c r="M419" t="n">
        <x:v>0</x:v>
      </x:c>
    </x:row>
    <x:row r="420">
      <x:c r="A420" t="str">
        <x:v>ME|Terrifiant|15</x:v>
      </x:c>
      <x:c r="B420" t="str">
        <x:v>Mental</x:v>
      </x:c>
      <x:c r="C420" t="str">
        <x:v>Terrifiant</x:v>
      </x:c>
      <x:c r="D420" t="n">
        <x:v>15</x:v>
      </x:c>
      <x:c r="E420" t="n">
        <x:v>0</x:v>
      </x:c>
      <x:c r="F420" t="n">
        <x:v>0</x:v>
      </x:c>
      <x:c r="G420" t="n">
        <x:v>0</x:v>
      </x:c>
      <x:c r="H420" t="n">
        <x:v>0</x:v>
      </x:c>
      <x:c r="I420" t="n">
        <x:v>5</x:v>
      </x:c>
      <x:c r="J420" t="n">
        <x:v>10</x:v>
      </x:c>
      <x:c r="K420" t="n">
        <x:v>0</x:v>
      </x:c>
      <x:c r="L420" t="n">
        <x:v>0</x:v>
      </x:c>
      <x:c r="M420" t="n">
        <x:v>0</x:v>
      </x:c>
    </x:row>
    <x:row r="421">
      <x:c r="A421" t="str">
        <x:v>ME|Terrifiant|16</x:v>
      </x:c>
      <x:c r="B421" t="str">
        <x:v>Mental</x:v>
      </x:c>
      <x:c r="C421" t="str">
        <x:v>Terrifiant</x:v>
      </x:c>
      <x:c r="D421" t="n">
        <x:v>16</x:v>
      </x:c>
      <x:c r="E421" t="n">
        <x:v>0</x:v>
      </x:c>
      <x:c r="F421" t="n">
        <x:v>0</x:v>
      </x:c>
      <x:c r="G421" t="n">
        <x:v>0</x:v>
      </x:c>
      <x:c r="H421" t="n">
        <x:v>0</x:v>
      </x:c>
      <x:c r="I421" t="n">
        <x:v>5</x:v>
      </x:c>
      <x:c r="J421" t="n">
        <x:v>11</x:v>
      </x:c>
      <x:c r="K421" t="n">
        <x:v>0</x:v>
      </x:c>
      <x:c r="L421" t="n">
        <x:v>0</x:v>
      </x:c>
      <x:c r="M421" t="n">
        <x:v>0</x:v>
      </x:c>
    </x:row>
    <x:row r="422">
      <x:c r="A422" t="str">
        <x:v>ME|Terrifiant|17</x:v>
      </x:c>
      <x:c r="B422" t="str">
        <x:v>Mental</x:v>
      </x:c>
      <x:c r="C422" t="str">
        <x:v>Terrifiant</x:v>
      </x:c>
      <x:c r="D422" t="n">
        <x:v>17</x:v>
      </x:c>
      <x:c r="E422" t="n">
        <x:v>0</x:v>
      </x:c>
      <x:c r="F422" t="n">
        <x:v>0</x:v>
      </x:c>
      <x:c r="G422" t="n">
        <x:v>0</x:v>
      </x:c>
      <x:c r="H422" t="n">
        <x:v>0</x:v>
      </x:c>
      <x:c r="I422" t="n">
        <x:v>5</x:v>
      </x:c>
      <x:c r="J422" t="n">
        <x:v>12</x:v>
      </x:c>
      <x:c r="K422" t="n">
        <x:v>0</x:v>
      </x:c>
      <x:c r="L422" t="n">
        <x:v>0</x:v>
      </x:c>
      <x:c r="M422" t="n">
        <x:v>0</x:v>
      </x:c>
    </x:row>
    <x:row r="423">
      <x:c r="A423" t="str">
        <x:v>ME|Terrifiant|18</x:v>
      </x:c>
      <x:c r="B423" t="str">
        <x:v>Mental</x:v>
      </x:c>
      <x:c r="C423" t="str">
        <x:v>Terrifiant</x:v>
      </x:c>
      <x:c r="D423" t="n">
        <x:v>18</x:v>
      </x:c>
      <x:c r="E423" t="n">
        <x:v>0</x:v>
      </x:c>
      <x:c r="F423" t="n">
        <x:v>0</x:v>
      </x:c>
      <x:c r="G423" t="n">
        <x:v>0</x:v>
      </x:c>
      <x:c r="H423" t="n">
        <x:v>0</x:v>
      </x:c>
      <x:c r="I423" t="n">
        <x:v>5</x:v>
      </x:c>
      <x:c r="J423" t="n">
        <x:v>13</x:v>
      </x:c>
      <x:c r="K423" t="n">
        <x:v>0</x:v>
      </x:c>
      <x:c r="L423" t="n">
        <x:v>0</x:v>
      </x:c>
      <x:c r="M423" t="n">
        <x:v>0</x:v>
      </x:c>
    </x:row>
    <x:row r="424">
      <x:c r="A424" t="str">
        <x:v>ME|Terrifiant|19</x:v>
      </x:c>
      <x:c r="B424" t="str">
        <x:v>Mental</x:v>
      </x:c>
      <x:c r="C424" t="str">
        <x:v>Terrifiant</x:v>
      </x:c>
      <x:c r="D424" t="n">
        <x:v>19</x:v>
      </x:c>
      <x:c r="E424" t="n">
        <x:v>0</x:v>
      </x:c>
      <x:c r="F424" t="n">
        <x:v>0</x:v>
      </x:c>
      <x:c r="G424" t="n">
        <x:v>0</x:v>
      </x:c>
      <x:c r="H424" t="n">
        <x:v>0</x:v>
      </x:c>
      <x:c r="I424" t="n">
        <x:v>6</x:v>
      </x:c>
      <x:c r="J424" t="n">
        <x:v>13</x:v>
      </x:c>
      <x:c r="K424" t="n">
        <x:v>0</x:v>
      </x:c>
      <x:c r="L424" t="n">
        <x:v>0</x:v>
      </x:c>
      <x:c r="M424" t="n">
        <x:v>0</x:v>
      </x:c>
    </x:row>
    <x:row r="425">
      <x:c r="A425" t="str">
        <x:v>ME|Terrifiant|20</x:v>
      </x:c>
      <x:c r="B425" t="str">
        <x:v>Mental</x:v>
      </x:c>
      <x:c r="C425" t="str">
        <x:v>Terrifiant</x:v>
      </x:c>
      <x:c r="D425" t="n">
        <x:v>20</x:v>
      </x:c>
      <x:c r="E425" t="n">
        <x:v>0</x:v>
      </x:c>
      <x:c r="F425" t="n">
        <x:v>0</x:v>
      </x:c>
      <x:c r="G425" t="n">
        <x:v>0</x:v>
      </x:c>
      <x:c r="H425" t="n">
        <x:v>0</x:v>
      </x:c>
      <x:c r="I425" t="n">
        <x:v>6</x:v>
      </x:c>
      <x:c r="J425" t="n">
        <x:v>14</x:v>
      </x:c>
      <x:c r="K425" t="n">
        <x:v>0</x:v>
      </x:c>
      <x:c r="L425" t="n">
        <x:v>0</x:v>
      </x:c>
      <x:c r="M425" t="n">
        <x:v>0</x:v>
      </x:c>
    </x:row>
    <x:row r="426">
      <x:c r="A426" t="str">
        <x:v>ME|Terrifiant|21</x:v>
      </x:c>
      <x:c r="B426" t="str">
        <x:v>Mental</x:v>
      </x:c>
      <x:c r="C426" t="str">
        <x:v>Terrifiant</x:v>
      </x:c>
      <x:c r="D426" t="n">
        <x:v>21</x:v>
      </x:c>
      <x:c r="E426" t="n">
        <x:v>0</x:v>
      </x:c>
      <x:c r="F426" t="n">
        <x:v>0</x:v>
      </x:c>
      <x:c r="G426" t="n">
        <x:v>0</x:v>
      </x:c>
      <x:c r="H426" t="n">
        <x:v>0</x:v>
      </x:c>
      <x:c r="I426" t="n">
        <x:v>6</x:v>
      </x:c>
      <x:c r="J426" t="n">
        <x:v>15</x:v>
      </x:c>
      <x:c r="K426" t="n">
        <x:v>0</x:v>
      </x:c>
      <x:c r="L426" t="n">
        <x:v>0</x:v>
      </x:c>
      <x:c r="M426" t="n">
        <x:v>0</x:v>
      </x:c>
    </x:row>
    <x:row r="427">
      <x:c r="A427" t="str">
        <x:v>ME|Manipulateur|0</x:v>
      </x:c>
      <x:c r="B427" t="str">
        <x:v>Mental</x:v>
      </x:c>
      <x:c r="C427" t="str">
        <x:v>Manipulateur</x:v>
      </x:c>
      <x:c r="D427" t="n">
        <x:v>0</x:v>
      </x:c>
      <x:c r="E427" t="n">
        <x:v>0</x:v>
      </x:c>
      <x:c r="F427" t="n">
        <x:v>0</x:v>
      </x:c>
      <x:c r="G427" t="n">
        <x:v>0</x:v>
      </x:c>
      <x:c r="H427" t="n">
        <x:v>0</x:v>
      </x:c>
      <x:c r="I427" t="n">
        <x:v>0</x:v>
      </x:c>
      <x:c r="J427" t="n">
        <x:v>0</x:v>
      </x:c>
      <x:c r="K427" t="n">
        <x:v>0</x:v>
      </x:c>
      <x:c r="L427" t="n">
        <x:v>0</x:v>
      </x:c>
      <x:c r="M427" t="n">
        <x:v>0</x:v>
      </x:c>
    </x:row>
    <x:row r="428">
      <x:c r="A428" t="str">
        <x:v>ME|Manipulateur|1</x:v>
      </x:c>
      <x:c r="B428" t="str">
        <x:v>Mental</x:v>
      </x:c>
      <x:c r="C428" t="str">
        <x:v>Manipulateur</x:v>
      </x:c>
      <x:c r="D428" t="n">
        <x:v>1</x:v>
      </x:c>
      <x:c r="E428" t="n">
        <x:v>0</x:v>
      </x:c>
      <x:c r="F428" t="n">
        <x:v>0</x:v>
      </x:c>
      <x:c r="G428" t="n">
        <x:v>0</x:v>
      </x:c>
      <x:c r="H428" t="n">
        <x:v>0</x:v>
      </x:c>
      <x:c r="I428" t="n">
        <x:v>0</x:v>
      </x:c>
      <x:c r="J428" t="n">
        <x:v>1</x:v>
      </x:c>
      <x:c r="K428" t="n">
        <x:v>0</x:v>
      </x:c>
      <x:c r="L428" t="n">
        <x:v>0</x:v>
      </x:c>
      <x:c r="M428" t="n">
        <x:v>0</x:v>
      </x:c>
    </x:row>
    <x:row r="429">
      <x:c r="A429" t="str">
        <x:v>ME|Manipulateur|2</x:v>
      </x:c>
      <x:c r="B429" t="str">
        <x:v>Mental</x:v>
      </x:c>
      <x:c r="C429" t="str">
        <x:v>Manipulateur</x:v>
      </x:c>
      <x:c r="D429" t="n">
        <x:v>2</x:v>
      </x:c>
      <x:c r="E429" t="n">
        <x:v>0</x:v>
      </x:c>
      <x:c r="F429" t="n">
        <x:v>0</x:v>
      </x:c>
      <x:c r="G429" t="n">
        <x:v>0</x:v>
      </x:c>
      <x:c r="H429" t="n">
        <x:v>1</x:v>
      </x:c>
      <x:c r="I429" t="n">
        <x:v>0</x:v>
      </x:c>
      <x:c r="J429" t="n">
        <x:v>1</x:v>
      </x:c>
      <x:c r="K429" t="n">
        <x:v>0</x:v>
      </x:c>
      <x:c r="L429" t="n">
        <x:v>0</x:v>
      </x:c>
      <x:c r="M429" t="n">
        <x:v>0</x:v>
      </x:c>
    </x:row>
    <x:row r="430">
      <x:c r="A430" t="str">
        <x:v>ME|Manipulateur|3</x:v>
      </x:c>
      <x:c r="B430" t="str">
        <x:v>Mental</x:v>
      </x:c>
      <x:c r="C430" t="str">
        <x:v>Manipulateur</x:v>
      </x:c>
      <x:c r="D430" t="n">
        <x:v>3</x:v>
      </x:c>
      <x:c r="E430" t="n">
        <x:v>0</x:v>
      </x:c>
      <x:c r="F430" t="n">
        <x:v>0</x:v>
      </x:c>
      <x:c r="G430" t="n">
        <x:v>0</x:v>
      </x:c>
      <x:c r="H430" t="n">
        <x:v>1</x:v>
      </x:c>
      <x:c r="I430" t="n">
        <x:v>0</x:v>
      </x:c>
      <x:c r="J430" t="n">
        <x:v>2</x:v>
      </x:c>
      <x:c r="K430" t="n">
        <x:v>0</x:v>
      </x:c>
      <x:c r="L430" t="n">
        <x:v>0</x:v>
      </x:c>
      <x:c r="M430" t="n">
        <x:v>0</x:v>
      </x:c>
    </x:row>
    <x:row r="431">
      <x:c r="A431" t="str">
        <x:v>ME|Manipulateur|4</x:v>
      </x:c>
      <x:c r="B431" t="str">
        <x:v>Mental</x:v>
      </x:c>
      <x:c r="C431" t="str">
        <x:v>Manipulateur</x:v>
      </x:c>
      <x:c r="D431" t="n">
        <x:v>4</x:v>
      </x:c>
      <x:c r="E431" t="n">
        <x:v>0</x:v>
      </x:c>
      <x:c r="F431" t="n">
        <x:v>0</x:v>
      </x:c>
      <x:c r="G431" t="n">
        <x:v>0</x:v>
      </x:c>
      <x:c r="H431" t="n">
        <x:v>1</x:v>
      </x:c>
      <x:c r="I431" t="n">
        <x:v>0</x:v>
      </x:c>
      <x:c r="J431" t="n">
        <x:v>3</x:v>
      </x:c>
      <x:c r="K431" t="n">
        <x:v>0</x:v>
      </x:c>
      <x:c r="L431" t="n">
        <x:v>0</x:v>
      </x:c>
      <x:c r="M431" t="n">
        <x:v>0</x:v>
      </x:c>
    </x:row>
    <x:row r="432">
      <x:c r="A432" t="str">
        <x:v>ME|Manipulateur|5</x:v>
      </x:c>
      <x:c r="B432" t="str">
        <x:v>Mental</x:v>
      </x:c>
      <x:c r="C432" t="str">
        <x:v>Manipulateur</x:v>
      </x:c>
      <x:c r="D432" t="n">
        <x:v>5</x:v>
      </x:c>
      <x:c r="E432" t="n">
        <x:v>0</x:v>
      </x:c>
      <x:c r="F432" t="n">
        <x:v>0</x:v>
      </x:c>
      <x:c r="G432" t="n">
        <x:v>0</x:v>
      </x:c>
      <x:c r="H432" t="n">
        <x:v>2</x:v>
      </x:c>
      <x:c r="I432" t="n">
        <x:v>0</x:v>
      </x:c>
      <x:c r="J432" t="n">
        <x:v>3</x:v>
      </x:c>
      <x:c r="K432" t="n">
        <x:v>0</x:v>
      </x:c>
      <x:c r="L432" t="n">
        <x:v>0</x:v>
      </x:c>
      <x:c r="M432" t="n">
        <x:v>0</x:v>
      </x:c>
    </x:row>
    <x:row r="433">
      <x:c r="A433" t="str">
        <x:v>ME|Manipulateur|6</x:v>
      </x:c>
      <x:c r="B433" t="str">
        <x:v>Mental</x:v>
      </x:c>
      <x:c r="C433" t="str">
        <x:v>Manipulateur</x:v>
      </x:c>
      <x:c r="D433" t="n">
        <x:v>6</x:v>
      </x:c>
      <x:c r="E433" t="n">
        <x:v>0</x:v>
      </x:c>
      <x:c r="F433" t="n">
        <x:v>0</x:v>
      </x:c>
      <x:c r="G433" t="n">
        <x:v>0</x:v>
      </x:c>
      <x:c r="H433" t="n">
        <x:v>2</x:v>
      </x:c>
      <x:c r="I433" t="n">
        <x:v>0</x:v>
      </x:c>
      <x:c r="J433" t="n">
        <x:v>4</x:v>
      </x:c>
      <x:c r="K433" t="n">
        <x:v>0</x:v>
      </x:c>
      <x:c r="L433" t="n">
        <x:v>0</x:v>
      </x:c>
      <x:c r="M433" t="n">
        <x:v>0</x:v>
      </x:c>
    </x:row>
    <x:row r="434">
      <x:c r="A434" t="str">
        <x:v>ME|Manipulateur|7</x:v>
      </x:c>
      <x:c r="B434" t="str">
        <x:v>Mental</x:v>
      </x:c>
      <x:c r="C434" t="str">
        <x:v>Manipulateur</x:v>
      </x:c>
      <x:c r="D434" t="n">
        <x:v>7</x:v>
      </x:c>
      <x:c r="E434" t="n">
        <x:v>0</x:v>
      </x:c>
      <x:c r="F434" t="n">
        <x:v>0</x:v>
      </x:c>
      <x:c r="G434" t="n">
        <x:v>0</x:v>
      </x:c>
      <x:c r="H434" t="n">
        <x:v>2</x:v>
      </x:c>
      <x:c r="I434" t="n">
        <x:v>0</x:v>
      </x:c>
      <x:c r="J434" t="n">
        <x:v>5</x:v>
      </x:c>
      <x:c r="K434" t="n">
        <x:v>0</x:v>
      </x:c>
      <x:c r="L434" t="n">
        <x:v>0</x:v>
      </x:c>
      <x:c r="M434" t="n">
        <x:v>0</x:v>
      </x:c>
    </x:row>
    <x:row r="435">
      <x:c r="A435" t="str">
        <x:v>ME|Manipulateur|8</x:v>
      </x:c>
      <x:c r="B435" t="str">
        <x:v>Mental</x:v>
      </x:c>
      <x:c r="C435" t="str">
        <x:v>Manipulateur</x:v>
      </x:c>
      <x:c r="D435" t="n">
        <x:v>8</x:v>
      </x:c>
      <x:c r="E435" t="n">
        <x:v>0</x:v>
      </x:c>
      <x:c r="F435" t="n">
        <x:v>0</x:v>
      </x:c>
      <x:c r="G435" t="n">
        <x:v>0</x:v>
      </x:c>
      <x:c r="H435" t="n">
        <x:v>3</x:v>
      </x:c>
      <x:c r="I435" t="n">
        <x:v>0</x:v>
      </x:c>
      <x:c r="J435" t="n">
        <x:v>5</x:v>
      </x:c>
      <x:c r="K435" t="n">
        <x:v>0</x:v>
      </x:c>
      <x:c r="L435" t="n">
        <x:v>0</x:v>
      </x:c>
      <x:c r="M435" t="n">
        <x:v>0</x:v>
      </x:c>
    </x:row>
    <x:row r="436">
      <x:c r="A436" t="str">
        <x:v>ME|Manipulateur|9</x:v>
      </x:c>
      <x:c r="B436" t="str">
        <x:v>Mental</x:v>
      </x:c>
      <x:c r="C436" t="str">
        <x:v>Manipulateur</x:v>
      </x:c>
      <x:c r="D436" t="n">
        <x:v>9</x:v>
      </x:c>
      <x:c r="E436" t="n">
        <x:v>0</x:v>
      </x:c>
      <x:c r="F436" t="n">
        <x:v>0</x:v>
      </x:c>
      <x:c r="G436" t="n">
        <x:v>0</x:v>
      </x:c>
      <x:c r="H436" t="n">
        <x:v>3</x:v>
      </x:c>
      <x:c r="I436" t="n">
        <x:v>0</x:v>
      </x:c>
      <x:c r="J436" t="n">
        <x:v>6</x:v>
      </x:c>
      <x:c r="K436" t="n">
        <x:v>0</x:v>
      </x:c>
      <x:c r="L436" t="n">
        <x:v>0</x:v>
      </x:c>
      <x:c r="M436" t="n">
        <x:v>0</x:v>
      </x:c>
    </x:row>
    <x:row r="437">
      <x:c r="A437" t="str">
        <x:v>ME|Manipulateur|10</x:v>
      </x:c>
      <x:c r="B437" t="str">
        <x:v>Mental</x:v>
      </x:c>
      <x:c r="C437" t="str">
        <x:v>Manipulateur</x:v>
      </x:c>
      <x:c r="D437" t="n">
        <x:v>10</x:v>
      </x:c>
      <x:c r="E437" t="n">
        <x:v>0</x:v>
      </x:c>
      <x:c r="F437" t="n">
        <x:v>0</x:v>
      </x:c>
      <x:c r="G437" t="n">
        <x:v>0</x:v>
      </x:c>
      <x:c r="H437" t="n">
        <x:v>4</x:v>
      </x:c>
      <x:c r="I437" t="n">
        <x:v>0</x:v>
      </x:c>
      <x:c r="J437" t="n">
        <x:v>6</x:v>
      </x:c>
      <x:c r="K437" t="n">
        <x:v>0</x:v>
      </x:c>
      <x:c r="L437" t="n">
        <x:v>0</x:v>
      </x:c>
      <x:c r="M437" t="n">
        <x:v>0</x:v>
      </x:c>
    </x:row>
    <x:row r="438">
      <x:c r="A438" t="str">
        <x:v>ME|Manipulateur|11</x:v>
      </x:c>
      <x:c r="B438" t="str">
        <x:v>Mental</x:v>
      </x:c>
      <x:c r="C438" t="str">
        <x:v>Manipulateur</x:v>
      </x:c>
      <x:c r="D438" t="n">
        <x:v>11</x:v>
      </x:c>
      <x:c r="E438" t="n">
        <x:v>0</x:v>
      </x:c>
      <x:c r="F438" t="n">
        <x:v>0</x:v>
      </x:c>
      <x:c r="G438" t="n">
        <x:v>0</x:v>
      </x:c>
      <x:c r="H438" t="n">
        <x:v>4</x:v>
      </x:c>
      <x:c r="I438" t="n">
        <x:v>0</x:v>
      </x:c>
      <x:c r="J438" t="n">
        <x:v>7</x:v>
      </x:c>
      <x:c r="K438" t="n">
        <x:v>0</x:v>
      </x:c>
      <x:c r="L438" t="n">
        <x:v>0</x:v>
      </x:c>
      <x:c r="M438" t="n">
        <x:v>0</x:v>
      </x:c>
    </x:row>
    <x:row r="439">
      <x:c r="A439" t="str">
        <x:v>ME|Manipulateur|12</x:v>
      </x:c>
      <x:c r="B439" t="str">
        <x:v>Mental</x:v>
      </x:c>
      <x:c r="C439" t="str">
        <x:v>Manipulateur</x:v>
      </x:c>
      <x:c r="D439" t="n">
        <x:v>12</x:v>
      </x:c>
      <x:c r="E439" t="n">
        <x:v>0</x:v>
      </x:c>
      <x:c r="F439" t="n">
        <x:v>0</x:v>
      </x:c>
      <x:c r="G439" t="n">
        <x:v>0</x:v>
      </x:c>
      <x:c r="H439" t="n">
        <x:v>4</x:v>
      </x:c>
      <x:c r="I439" t="n">
        <x:v>0</x:v>
      </x:c>
      <x:c r="J439" t="n">
        <x:v>8</x:v>
      </x:c>
      <x:c r="K439" t="n">
        <x:v>0</x:v>
      </x:c>
      <x:c r="L439" t="n">
        <x:v>0</x:v>
      </x:c>
      <x:c r="M439" t="n">
        <x:v>0</x:v>
      </x:c>
    </x:row>
    <x:row r="440">
      <x:c r="A440" t="str">
        <x:v>ME|Manipulateur|13</x:v>
      </x:c>
      <x:c r="B440" t="str">
        <x:v>Mental</x:v>
      </x:c>
      <x:c r="C440" t="str">
        <x:v>Manipulateur</x:v>
      </x:c>
      <x:c r="D440" t="n">
        <x:v>13</x:v>
      </x:c>
      <x:c r="E440" t="n">
        <x:v>0</x:v>
      </x:c>
      <x:c r="F440" t="n">
        <x:v>0</x:v>
      </x:c>
      <x:c r="G440" t="n">
        <x:v>0</x:v>
      </x:c>
      <x:c r="H440" t="n">
        <x:v>5</x:v>
      </x:c>
      <x:c r="I440" t="n">
        <x:v>0</x:v>
      </x:c>
      <x:c r="J440" t="n">
        <x:v>8</x:v>
      </x:c>
      <x:c r="K440" t="n">
        <x:v>0</x:v>
      </x:c>
      <x:c r="L440" t="n">
        <x:v>0</x:v>
      </x:c>
      <x:c r="M440" t="n">
        <x:v>0</x:v>
      </x:c>
    </x:row>
    <x:row r="441">
      <x:c r="A441" t="str">
        <x:v>ME|Manipulateur|14</x:v>
      </x:c>
      <x:c r="B441" t="str">
        <x:v>Mental</x:v>
      </x:c>
      <x:c r="C441" t="str">
        <x:v>Manipulateur</x:v>
      </x:c>
      <x:c r="D441" t="n">
        <x:v>14</x:v>
      </x:c>
      <x:c r="E441" t="n">
        <x:v>0</x:v>
      </x:c>
      <x:c r="F441" t="n">
        <x:v>0</x:v>
      </x:c>
      <x:c r="G441" t="n">
        <x:v>0</x:v>
      </x:c>
      <x:c r="H441" t="n">
        <x:v>5</x:v>
      </x:c>
      <x:c r="I441" t="n">
        <x:v>0</x:v>
      </x:c>
      <x:c r="J441" t="n">
        <x:v>9</x:v>
      </x:c>
      <x:c r="K441" t="n">
        <x:v>0</x:v>
      </x:c>
      <x:c r="L441" t="n">
        <x:v>0</x:v>
      </x:c>
      <x:c r="M441" t="n">
        <x:v>0</x:v>
      </x:c>
    </x:row>
    <x:row r="442">
      <x:c r="A442" t="str">
        <x:v>ME|Manipulateur|15</x:v>
      </x:c>
      <x:c r="B442" t="str">
        <x:v>Mental</x:v>
      </x:c>
      <x:c r="C442" t="str">
        <x:v>Manipulateur</x:v>
      </x:c>
      <x:c r="D442" t="n">
        <x:v>15</x:v>
      </x:c>
      <x:c r="E442" t="n">
        <x:v>0</x:v>
      </x:c>
      <x:c r="F442" t="n">
        <x:v>0</x:v>
      </x:c>
      <x:c r="G442" t="n">
        <x:v>0</x:v>
      </x:c>
      <x:c r="H442" t="n">
        <x:v>5</x:v>
      </x:c>
      <x:c r="I442" t="n">
        <x:v>0</x:v>
      </x:c>
      <x:c r="J442" t="n">
        <x:v>10</x:v>
      </x:c>
      <x:c r="K442" t="n">
        <x:v>0</x:v>
      </x:c>
      <x:c r="L442" t="n">
        <x:v>0</x:v>
      </x:c>
      <x:c r="M442" t="n">
        <x:v>0</x:v>
      </x:c>
    </x:row>
    <x:row r="443">
      <x:c r="A443" t="str">
        <x:v>ME|Manipulateur|16</x:v>
      </x:c>
      <x:c r="B443" t="str">
        <x:v>Mental</x:v>
      </x:c>
      <x:c r="C443" t="str">
        <x:v>Manipulateur</x:v>
      </x:c>
      <x:c r="D443" t="n">
        <x:v>16</x:v>
      </x:c>
      <x:c r="E443" t="n">
        <x:v>0</x:v>
      </x:c>
      <x:c r="F443" t="n">
        <x:v>0</x:v>
      </x:c>
      <x:c r="G443" t="n">
        <x:v>0</x:v>
      </x:c>
      <x:c r="H443" t="n">
        <x:v>6</x:v>
      </x:c>
      <x:c r="I443" t="n">
        <x:v>0</x:v>
      </x:c>
      <x:c r="J443" t="n">
        <x:v>10</x:v>
      </x:c>
      <x:c r="K443" t="n">
        <x:v>0</x:v>
      </x:c>
      <x:c r="L443" t="n">
        <x:v>0</x:v>
      </x:c>
      <x:c r="M443" t="n">
        <x:v>0</x:v>
      </x:c>
    </x:row>
    <x:row r="444">
      <x:c r="A444" t="str">
        <x:v>ME|Manipulateur|17</x:v>
      </x:c>
      <x:c r="B444" t="str">
        <x:v>Mental</x:v>
      </x:c>
      <x:c r="C444" t="str">
        <x:v>Manipulateur</x:v>
      </x:c>
      <x:c r="D444" t="n">
        <x:v>17</x:v>
      </x:c>
      <x:c r="E444" t="n">
        <x:v>0</x:v>
      </x:c>
      <x:c r="F444" t="n">
        <x:v>0</x:v>
      </x:c>
      <x:c r="G444" t="n">
        <x:v>0</x:v>
      </x:c>
      <x:c r="H444" t="n">
        <x:v>6</x:v>
      </x:c>
      <x:c r="I444" t="n">
        <x:v>0</x:v>
      </x:c>
      <x:c r="J444" t="n">
        <x:v>11</x:v>
      </x:c>
      <x:c r="K444" t="n">
        <x:v>0</x:v>
      </x:c>
      <x:c r="L444" t="n">
        <x:v>0</x:v>
      </x:c>
      <x:c r="M444" t="n">
        <x:v>0</x:v>
      </x:c>
    </x:row>
    <x:row r="445">
      <x:c r="A445" t="str">
        <x:v>ME|Manipulateur|18</x:v>
      </x:c>
      <x:c r="B445" t="str">
        <x:v>Mental</x:v>
      </x:c>
      <x:c r="C445" t="str">
        <x:v>Manipulateur</x:v>
      </x:c>
      <x:c r="D445" t="n">
        <x:v>18</x:v>
      </x:c>
      <x:c r="E445" t="n">
        <x:v>0</x:v>
      </x:c>
      <x:c r="F445" t="n">
        <x:v>0</x:v>
      </x:c>
      <x:c r="G445" t="n">
        <x:v>0</x:v>
      </x:c>
      <x:c r="H445" t="n">
        <x:v>6</x:v>
      </x:c>
      <x:c r="I445" t="n">
        <x:v>0</x:v>
      </x:c>
      <x:c r="J445" t="n">
        <x:v>12</x:v>
      </x:c>
      <x:c r="K445" t="n">
        <x:v>0</x:v>
      </x:c>
      <x:c r="L445" t="n">
        <x:v>0</x:v>
      </x:c>
      <x:c r="M445" t="n">
        <x:v>0</x:v>
      </x:c>
    </x:row>
    <x:row r="446">
      <x:c r="A446" t="str">
        <x:v>ME|Manipulateur|19</x:v>
      </x:c>
      <x:c r="B446" t="str">
        <x:v>Mental</x:v>
      </x:c>
      <x:c r="C446" t="str">
        <x:v>Manipulateur</x:v>
      </x:c>
      <x:c r="D446" t="n">
        <x:v>19</x:v>
      </x:c>
      <x:c r="E446" t="n">
        <x:v>0</x:v>
      </x:c>
      <x:c r="F446" t="n">
        <x:v>0</x:v>
      </x:c>
      <x:c r="G446" t="n">
        <x:v>0</x:v>
      </x:c>
      <x:c r="H446" t="n">
        <x:v>7</x:v>
      </x:c>
      <x:c r="I446" t="n">
        <x:v>0</x:v>
      </x:c>
      <x:c r="J446" t="n">
        <x:v>12</x:v>
      </x:c>
      <x:c r="K446" t="n">
        <x:v>0</x:v>
      </x:c>
      <x:c r="L446" t="n">
        <x:v>0</x:v>
      </x:c>
      <x:c r="M446" t="n">
        <x:v>0</x:v>
      </x:c>
    </x:row>
    <x:row r="447">
      <x:c r="A447" t="str">
        <x:v>ME|Manipulateur|20</x:v>
      </x:c>
      <x:c r="B447" t="str">
        <x:v>Mental</x:v>
      </x:c>
      <x:c r="C447" t="str">
        <x:v>Manipulateur</x:v>
      </x:c>
      <x:c r="D447" t="n">
        <x:v>20</x:v>
      </x:c>
      <x:c r="E447" t="n">
        <x:v>0</x:v>
      </x:c>
      <x:c r="F447" t="n">
        <x:v>0</x:v>
      </x:c>
      <x:c r="G447" t="n">
        <x:v>0</x:v>
      </x:c>
      <x:c r="H447" t="n">
        <x:v>7</x:v>
      </x:c>
      <x:c r="I447" t="n">
        <x:v>0</x:v>
      </x:c>
      <x:c r="J447" t="n">
        <x:v>13</x:v>
      </x:c>
      <x:c r="K447" t="n">
        <x:v>0</x:v>
      </x:c>
      <x:c r="L447" t="n">
        <x:v>0</x:v>
      </x:c>
      <x:c r="M447" t="n">
        <x:v>0</x:v>
      </x:c>
    </x:row>
    <x:row r="448">
      <x:c r="A448" t="str">
        <x:v>ME|Manipulateur|21</x:v>
      </x:c>
      <x:c r="B448" t="str">
        <x:v>Mental</x:v>
      </x:c>
      <x:c r="C448" t="str">
        <x:v>Manipulateur</x:v>
      </x:c>
      <x:c r="D448" t="n">
        <x:v>21</x:v>
      </x:c>
      <x:c r="E448" t="n">
        <x:v>0</x:v>
      </x:c>
      <x:c r="F448" t="n">
        <x:v>0</x:v>
      </x:c>
      <x:c r="G448" t="n">
        <x:v>0</x:v>
      </x:c>
      <x:c r="H448" t="n">
        <x:v>7</x:v>
      </x:c>
      <x:c r="I448" t="n">
        <x:v>0</x:v>
      </x:c>
      <x:c r="J448" t="n">
        <x:v>14</x:v>
      </x:c>
      <x:c r="K448" t="n">
        <x:v>0</x:v>
      </x:c>
      <x:c r="L448" t="n">
        <x:v>0</x:v>
      </x:c>
      <x:c r="M448" t="n">
        <x:v>0</x:v>
      </x:c>
    </x:row>
    <x:row r="449">
      <x:c r="A449" t="str">
        <x:v>MI|Agressif|0</x:v>
      </x:c>
      <x:c r="B449" t="str">
        <x:v>Mineur</x:v>
      </x:c>
      <x:c r="C449" t="str">
        <x:v>Agressif</x:v>
      </x:c>
      <x:c r="D449" t="n">
        <x:v>0</x:v>
      </x:c>
      <x:c r="E449" t="n">
        <x:v>0</x:v>
      </x:c>
      <x:c r="F449" t="n">
        <x:v>0</x:v>
      </x:c>
      <x:c r="G449" t="n">
        <x:v>0</x:v>
      </x:c>
      <x:c r="H449" t="n">
        <x:v>0</x:v>
      </x:c>
      <x:c r="I449" t="n">
        <x:v>0</x:v>
      </x:c>
      <x:c r="J449" t="n">
        <x:v>0</x:v>
      </x:c>
      <x:c r="K449" t="n">
        <x:v>0</x:v>
      </x:c>
      <x:c r="L449" t="n">
        <x:v>0</x:v>
      </x:c>
      <x:c r="M449" t="n">
        <x:v>0</x:v>
      </x:c>
    </x:row>
    <x:row r="450">
      <x:c r="A450" t="str">
        <x:v>MI|Agressif|1</x:v>
      </x:c>
      <x:c r="B450" t="str">
        <x:v>Mineur</x:v>
      </x:c>
      <x:c r="C450" t="str">
        <x:v>Agressif</x:v>
      </x:c>
      <x:c r="D450" t="n">
        <x:v>1</x:v>
      </x:c>
      <x:c r="E450" t="n">
        <x:v>1</x:v>
      </x:c>
      <x:c r="F450" t="n">
        <x:v>0</x:v>
      </x:c>
      <x:c r="G450" t="n">
        <x:v>0</x:v>
      </x:c>
      <x:c r="H450" t="n">
        <x:v>0</x:v>
      </x:c>
      <x:c r="I450" t="n">
        <x:v>0</x:v>
      </x:c>
      <x:c r="J450" t="n">
        <x:v>0</x:v>
      </x:c>
      <x:c r="K450" t="n">
        <x:v>0</x:v>
      </x:c>
      <x:c r="L450" t="n">
        <x:v>0</x:v>
      </x:c>
      <x:c r="M450" t="n">
        <x:v>0</x:v>
      </x:c>
    </x:row>
    <x:row r="451">
      <x:c r="A451" t="str">
        <x:v>MI|Agressif|2</x:v>
      </x:c>
      <x:c r="B451" t="str">
        <x:v>Mineur</x:v>
      </x:c>
      <x:c r="C451" t="str">
        <x:v>Agressif</x:v>
      </x:c>
      <x:c r="D451" t="n">
        <x:v>2</x:v>
      </x:c>
      <x:c r="E451" t="n">
        <x:v>1</x:v>
      </x:c>
      <x:c r="F451" t="n">
        <x:v>0</x:v>
      </x:c>
      <x:c r="G451" t="n">
        <x:v>0</x:v>
      </x:c>
      <x:c r="H451" t="n">
        <x:v>0</x:v>
      </x:c>
      <x:c r="I451" t="n">
        <x:v>0</x:v>
      </x:c>
      <x:c r="J451" t="n">
        <x:v>1</x:v>
      </x:c>
      <x:c r="K451" t="n">
        <x:v>0</x:v>
      </x:c>
      <x:c r="L451" t="n">
        <x:v>0</x:v>
      </x:c>
      <x:c r="M451" t="n">
        <x:v>0</x:v>
      </x:c>
    </x:row>
    <x:row r="452">
      <x:c r="A452" t="str">
        <x:v>MI|Agressif|3</x:v>
      </x:c>
      <x:c r="B452" t="str">
        <x:v>Mineur</x:v>
      </x:c>
      <x:c r="C452" t="str">
        <x:v>Agressif</x:v>
      </x:c>
      <x:c r="D452" t="n">
        <x:v>3</x:v>
      </x:c>
      <x:c r="E452" t="n">
        <x:v>2</x:v>
      </x:c>
      <x:c r="F452" t="n">
        <x:v>0</x:v>
      </x:c>
      <x:c r="G452" t="n">
        <x:v>0</x:v>
      </x:c>
      <x:c r="H452" t="n">
        <x:v>0</x:v>
      </x:c>
      <x:c r="I452" t="n">
        <x:v>0</x:v>
      </x:c>
      <x:c r="J452" t="n">
        <x:v>1</x:v>
      </x:c>
      <x:c r="K452" t="n">
        <x:v>0</x:v>
      </x:c>
      <x:c r="L452" t="n">
        <x:v>0</x:v>
      </x:c>
      <x:c r="M452" t="n">
        <x:v>0</x:v>
      </x:c>
    </x:row>
    <x:row r="453">
      <x:c r="A453" t="str">
        <x:v>MI|Agressif|4</x:v>
      </x:c>
      <x:c r="B453" t="str">
        <x:v>Mineur</x:v>
      </x:c>
      <x:c r="C453" t="str">
        <x:v>Agressif</x:v>
      </x:c>
      <x:c r="D453" t="n">
        <x:v>4</x:v>
      </x:c>
      <x:c r="E453" t="n">
        <x:v>3</x:v>
      </x:c>
      <x:c r="F453" t="n">
        <x:v>0</x:v>
      </x:c>
      <x:c r="G453" t="n">
        <x:v>0</x:v>
      </x:c>
      <x:c r="H453" t="n">
        <x:v>0</x:v>
      </x:c>
      <x:c r="I453" t="n">
        <x:v>0</x:v>
      </x:c>
      <x:c r="J453" t="n">
        <x:v>1</x:v>
      </x:c>
      <x:c r="K453" t="n">
        <x:v>0</x:v>
      </x:c>
      <x:c r="L453" t="n">
        <x:v>0</x:v>
      </x:c>
      <x:c r="M453" t="n">
        <x:v>0</x:v>
      </x:c>
    </x:row>
    <x:row r="454">
      <x:c r="A454" t="str">
        <x:v>MI|Agressif|5</x:v>
      </x:c>
      <x:c r="B454" t="str">
        <x:v>Mineur</x:v>
      </x:c>
      <x:c r="C454" t="str">
        <x:v>Agressif</x:v>
      </x:c>
      <x:c r="D454" t="n">
        <x:v>5</x:v>
      </x:c>
      <x:c r="E454" t="n">
        <x:v>3</x:v>
      </x:c>
      <x:c r="F454" t="n">
        <x:v>0</x:v>
      </x:c>
      <x:c r="G454" t="n">
        <x:v>0</x:v>
      </x:c>
      <x:c r="H454" t="n">
        <x:v>0</x:v>
      </x:c>
      <x:c r="I454" t="n">
        <x:v>0</x:v>
      </x:c>
      <x:c r="J454" t="n">
        <x:v>2</x:v>
      </x:c>
      <x:c r="K454" t="n">
        <x:v>0</x:v>
      </x:c>
      <x:c r="L454" t="n">
        <x:v>0</x:v>
      </x:c>
      <x:c r="M454" t="n">
        <x:v>0</x:v>
      </x:c>
    </x:row>
    <x:row r="455">
      <x:c r="A455" t="str">
        <x:v>MI|Agressif|6</x:v>
      </x:c>
      <x:c r="B455" t="str">
        <x:v>Mineur</x:v>
      </x:c>
      <x:c r="C455" t="str">
        <x:v>Agressif</x:v>
      </x:c>
      <x:c r="D455" t="n">
        <x:v>6</x:v>
      </x:c>
      <x:c r="E455" t="n">
        <x:v>4</x:v>
      </x:c>
      <x:c r="F455" t="n">
        <x:v>0</x:v>
      </x:c>
      <x:c r="G455" t="n">
        <x:v>0</x:v>
      </x:c>
      <x:c r="H455" t="n">
        <x:v>0</x:v>
      </x:c>
      <x:c r="I455" t="n">
        <x:v>0</x:v>
      </x:c>
      <x:c r="J455" t="n">
        <x:v>2</x:v>
      </x:c>
      <x:c r="K455" t="n">
        <x:v>0</x:v>
      </x:c>
      <x:c r="L455" t="n">
        <x:v>0</x:v>
      </x:c>
      <x:c r="M455" t="n">
        <x:v>0</x:v>
      </x:c>
    </x:row>
    <x:row r="456">
      <x:c r="A456" t="str">
        <x:v>MI|Agressif|7</x:v>
      </x:c>
      <x:c r="B456" t="str">
        <x:v>Mineur</x:v>
      </x:c>
      <x:c r="C456" t="str">
        <x:v>Agressif</x:v>
      </x:c>
      <x:c r="D456" t="n">
        <x:v>7</x:v>
      </x:c>
      <x:c r="E456" t="n">
        <x:v>5</x:v>
      </x:c>
      <x:c r="F456" t="n">
        <x:v>0</x:v>
      </x:c>
      <x:c r="G456" t="n">
        <x:v>0</x:v>
      </x:c>
      <x:c r="H456" t="n">
        <x:v>0</x:v>
      </x:c>
      <x:c r="I456" t="n">
        <x:v>0</x:v>
      </x:c>
      <x:c r="J456" t="n">
        <x:v>2</x:v>
      </x:c>
      <x:c r="K456" t="n">
        <x:v>0</x:v>
      </x:c>
      <x:c r="L456" t="n">
        <x:v>0</x:v>
      </x:c>
      <x:c r="M456" t="n">
        <x:v>0</x:v>
      </x:c>
    </x:row>
    <x:row r="457">
      <x:c r="A457" t="str">
        <x:v>MI|Agressif|8</x:v>
      </x:c>
      <x:c r="B457" t="str">
        <x:v>Mineur</x:v>
      </x:c>
      <x:c r="C457" t="str">
        <x:v>Agressif</x:v>
      </x:c>
      <x:c r="D457" t="n">
        <x:v>8</x:v>
      </x:c>
      <x:c r="E457" t="n">
        <x:v>5</x:v>
      </x:c>
      <x:c r="F457" t="n">
        <x:v>0</x:v>
      </x:c>
      <x:c r="G457" t="n">
        <x:v>0</x:v>
      </x:c>
      <x:c r="H457" t="n">
        <x:v>0</x:v>
      </x:c>
      <x:c r="I457" t="n">
        <x:v>0</x:v>
      </x:c>
      <x:c r="J457" t="n">
        <x:v>3</x:v>
      </x:c>
      <x:c r="K457" t="n">
        <x:v>0</x:v>
      </x:c>
      <x:c r="L457" t="n">
        <x:v>0</x:v>
      </x:c>
      <x:c r="M457" t="n">
        <x:v>0</x:v>
      </x:c>
    </x:row>
    <x:row r="458">
      <x:c r="A458" t="str">
        <x:v>MI|Agressif|9</x:v>
      </x:c>
      <x:c r="B458" t="str">
        <x:v>Mineur</x:v>
      </x:c>
      <x:c r="C458" t="str">
        <x:v>Agressif</x:v>
      </x:c>
      <x:c r="D458" t="n">
        <x:v>9</x:v>
      </x:c>
      <x:c r="E458" t="n">
        <x:v>6</x:v>
      </x:c>
      <x:c r="F458" t="n">
        <x:v>0</x:v>
      </x:c>
      <x:c r="G458" t="n">
        <x:v>0</x:v>
      </x:c>
      <x:c r="H458" t="n">
        <x:v>0</x:v>
      </x:c>
      <x:c r="I458" t="n">
        <x:v>0</x:v>
      </x:c>
      <x:c r="J458" t="n">
        <x:v>3</x:v>
      </x:c>
      <x:c r="K458" t="n">
        <x:v>0</x:v>
      </x:c>
      <x:c r="L458" t="n">
        <x:v>0</x:v>
      </x:c>
      <x:c r="M458" t="n">
        <x:v>0</x:v>
      </x:c>
    </x:row>
    <x:row r="459">
      <x:c r="A459" t="str">
        <x:v>MI|Agressif|10</x:v>
      </x:c>
      <x:c r="B459" t="str">
        <x:v>Mineur</x:v>
      </x:c>
      <x:c r="C459" t="str">
        <x:v>Agressif</x:v>
      </x:c>
      <x:c r="D459" t="n">
        <x:v>10</x:v>
      </x:c>
      <x:c r="E459" t="n">
        <x:v>7</x:v>
      </x:c>
      <x:c r="F459" t="n">
        <x:v>0</x:v>
      </x:c>
      <x:c r="G459" t="n">
        <x:v>0</x:v>
      </x:c>
      <x:c r="H459" t="n">
        <x:v>0</x:v>
      </x:c>
      <x:c r="I459" t="n">
        <x:v>0</x:v>
      </x:c>
      <x:c r="J459" t="n">
        <x:v>3</x:v>
      </x:c>
      <x:c r="K459" t="n">
        <x:v>0</x:v>
      </x:c>
      <x:c r="L459" t="n">
        <x:v>0</x:v>
      </x:c>
      <x:c r="M459" t="n">
        <x:v>0</x:v>
      </x:c>
    </x:row>
    <x:row r="460">
      <x:c r="A460" t="str">
        <x:v>MI|Agressif|11</x:v>
      </x:c>
      <x:c r="B460" t="str">
        <x:v>Mineur</x:v>
      </x:c>
      <x:c r="C460" t="str">
        <x:v>Agressif</x:v>
      </x:c>
      <x:c r="D460" t="n">
        <x:v>11</x:v>
      </x:c>
      <x:c r="E460" t="n">
        <x:v>7</x:v>
      </x:c>
      <x:c r="F460" t="n">
        <x:v>0</x:v>
      </x:c>
      <x:c r="G460" t="n">
        <x:v>0</x:v>
      </x:c>
      <x:c r="H460" t="n">
        <x:v>0</x:v>
      </x:c>
      <x:c r="I460" t="n">
        <x:v>0</x:v>
      </x:c>
      <x:c r="J460" t="n">
        <x:v>4</x:v>
      </x:c>
      <x:c r="K460" t="n">
        <x:v>0</x:v>
      </x:c>
      <x:c r="L460" t="n">
        <x:v>0</x:v>
      </x:c>
      <x:c r="M460" t="n">
        <x:v>0</x:v>
      </x:c>
    </x:row>
    <x:row r="461">
      <x:c r="A461" t="str">
        <x:v>MI|Agressif|12</x:v>
      </x:c>
      <x:c r="B461" t="str">
        <x:v>Mineur</x:v>
      </x:c>
      <x:c r="C461" t="str">
        <x:v>Agressif</x:v>
      </x:c>
      <x:c r="D461" t="n">
        <x:v>12</x:v>
      </x:c>
      <x:c r="E461" t="n">
        <x:v>8</x:v>
      </x:c>
      <x:c r="F461" t="n">
        <x:v>0</x:v>
      </x:c>
      <x:c r="G461" t="n">
        <x:v>0</x:v>
      </x:c>
      <x:c r="H461" t="n">
        <x:v>0</x:v>
      </x:c>
      <x:c r="I461" t="n">
        <x:v>0</x:v>
      </x:c>
      <x:c r="J461" t="n">
        <x:v>4</x:v>
      </x:c>
      <x:c r="K461" t="n">
        <x:v>0</x:v>
      </x:c>
      <x:c r="L461" t="n">
        <x:v>0</x:v>
      </x:c>
      <x:c r="M461" t="n">
        <x:v>0</x:v>
      </x:c>
    </x:row>
    <x:row r="462">
      <x:c r="A462" t="str">
        <x:v>MI|Agressif|13</x:v>
      </x:c>
      <x:c r="B462" t="str">
        <x:v>Mineur</x:v>
      </x:c>
      <x:c r="C462" t="str">
        <x:v>Agressif</x:v>
      </x:c>
      <x:c r="D462" t="n">
        <x:v>13</x:v>
      </x:c>
      <x:c r="E462" t="n">
        <x:v>8</x:v>
      </x:c>
      <x:c r="F462" t="n">
        <x:v>0</x:v>
      </x:c>
      <x:c r="G462" t="n">
        <x:v>0</x:v>
      </x:c>
      <x:c r="H462" t="n">
        <x:v>0</x:v>
      </x:c>
      <x:c r="I462" t="n">
        <x:v>0</x:v>
      </x:c>
      <x:c r="J462" t="n">
        <x:v>5</x:v>
      </x:c>
      <x:c r="K462" t="n">
        <x:v>0</x:v>
      </x:c>
      <x:c r="L462" t="n">
        <x:v>0</x:v>
      </x:c>
      <x:c r="M462" t="n">
        <x:v>0</x:v>
      </x:c>
    </x:row>
    <x:row r="463">
      <x:c r="A463" t="str">
        <x:v>MI|Agressif|14</x:v>
      </x:c>
      <x:c r="B463" t="str">
        <x:v>Mineur</x:v>
      </x:c>
      <x:c r="C463" t="str">
        <x:v>Agressif</x:v>
      </x:c>
      <x:c r="D463" t="n">
        <x:v>14</x:v>
      </x:c>
      <x:c r="E463" t="n">
        <x:v>9</x:v>
      </x:c>
      <x:c r="F463" t="n">
        <x:v>0</x:v>
      </x:c>
      <x:c r="G463" t="n">
        <x:v>0</x:v>
      </x:c>
      <x:c r="H463" t="n">
        <x:v>0</x:v>
      </x:c>
      <x:c r="I463" t="n">
        <x:v>0</x:v>
      </x:c>
      <x:c r="J463" t="n">
        <x:v>5</x:v>
      </x:c>
      <x:c r="K463" t="n">
        <x:v>0</x:v>
      </x:c>
      <x:c r="L463" t="n">
        <x:v>0</x:v>
      </x:c>
      <x:c r="M463" t="n">
        <x:v>0</x:v>
      </x:c>
    </x:row>
    <x:row r="464">
      <x:c r="A464" t="str">
        <x:v>MI|Agressif|15</x:v>
      </x:c>
      <x:c r="B464" t="str">
        <x:v>Mineur</x:v>
      </x:c>
      <x:c r="C464" t="str">
        <x:v>Agressif</x:v>
      </x:c>
      <x:c r="D464" t="n">
        <x:v>15</x:v>
      </x:c>
      <x:c r="E464" t="n">
        <x:v>10</x:v>
      </x:c>
      <x:c r="F464" t="n">
        <x:v>0</x:v>
      </x:c>
      <x:c r="G464" t="n">
        <x:v>0</x:v>
      </x:c>
      <x:c r="H464" t="n">
        <x:v>0</x:v>
      </x:c>
      <x:c r="I464" t="n">
        <x:v>0</x:v>
      </x:c>
      <x:c r="J464" t="n">
        <x:v>5</x:v>
      </x:c>
      <x:c r="K464" t="n">
        <x:v>0</x:v>
      </x:c>
      <x:c r="L464" t="n">
        <x:v>0</x:v>
      </x:c>
      <x:c r="M464" t="n">
        <x:v>0</x:v>
      </x:c>
    </x:row>
    <x:row r="465">
      <x:c r="A465" t="str">
        <x:v>MI|Agressif|16</x:v>
      </x:c>
      <x:c r="B465" t="str">
        <x:v>Mineur</x:v>
      </x:c>
      <x:c r="C465" t="str">
        <x:v>Agressif</x:v>
      </x:c>
      <x:c r="D465" t="n">
        <x:v>16</x:v>
      </x:c>
      <x:c r="E465" t="n">
        <x:v>10</x:v>
      </x:c>
      <x:c r="F465" t="n">
        <x:v>0</x:v>
      </x:c>
      <x:c r="G465" t="n">
        <x:v>0</x:v>
      </x:c>
      <x:c r="H465" t="n">
        <x:v>0</x:v>
      </x:c>
      <x:c r="I465" t="n">
        <x:v>0</x:v>
      </x:c>
      <x:c r="J465" t="n">
        <x:v>6</x:v>
      </x:c>
      <x:c r="K465" t="n">
        <x:v>0</x:v>
      </x:c>
      <x:c r="L465" t="n">
        <x:v>0</x:v>
      </x:c>
      <x:c r="M465" t="n">
        <x:v>0</x:v>
      </x:c>
    </x:row>
    <x:row r="466">
      <x:c r="A466" t="str">
        <x:v>MI|Agressif|17</x:v>
      </x:c>
      <x:c r="B466" t="str">
        <x:v>Mineur</x:v>
      </x:c>
      <x:c r="C466" t="str">
        <x:v>Agressif</x:v>
      </x:c>
      <x:c r="D466" t="n">
        <x:v>17</x:v>
      </x:c>
      <x:c r="E466" t="n">
        <x:v>11</x:v>
      </x:c>
      <x:c r="F466" t="n">
        <x:v>0</x:v>
      </x:c>
      <x:c r="G466" t="n">
        <x:v>0</x:v>
      </x:c>
      <x:c r="H466" t="n">
        <x:v>0</x:v>
      </x:c>
      <x:c r="I466" t="n">
        <x:v>0</x:v>
      </x:c>
      <x:c r="J466" t="n">
        <x:v>6</x:v>
      </x:c>
      <x:c r="K466" t="n">
        <x:v>0</x:v>
      </x:c>
      <x:c r="L466" t="n">
        <x:v>0</x:v>
      </x:c>
      <x:c r="M466" t="n">
        <x:v>0</x:v>
      </x:c>
    </x:row>
    <x:row r="467">
      <x:c r="A467" t="str">
        <x:v>MI|Agressif|18</x:v>
      </x:c>
      <x:c r="B467" t="str">
        <x:v>Mineur</x:v>
      </x:c>
      <x:c r="C467" t="str">
        <x:v>Agressif</x:v>
      </x:c>
      <x:c r="D467" t="n">
        <x:v>18</x:v>
      </x:c>
      <x:c r="E467" t="n">
        <x:v>12</x:v>
      </x:c>
      <x:c r="F467" t="n">
        <x:v>0</x:v>
      </x:c>
      <x:c r="G467" t="n">
        <x:v>0</x:v>
      </x:c>
      <x:c r="H467" t="n">
        <x:v>0</x:v>
      </x:c>
      <x:c r="I467" t="n">
        <x:v>0</x:v>
      </x:c>
      <x:c r="J467" t="n">
        <x:v>6</x:v>
      </x:c>
      <x:c r="K467" t="n">
        <x:v>0</x:v>
      </x:c>
      <x:c r="L467" t="n">
        <x:v>0</x:v>
      </x:c>
      <x:c r="M467" t="n">
        <x:v>0</x:v>
      </x:c>
    </x:row>
    <x:row r="468">
      <x:c r="A468" t="str">
        <x:v>MI|Agressif|19</x:v>
      </x:c>
      <x:c r="B468" t="str">
        <x:v>Mineur</x:v>
      </x:c>
      <x:c r="C468" t="str">
        <x:v>Agressif</x:v>
      </x:c>
      <x:c r="D468" t="n">
        <x:v>19</x:v>
      </x:c>
      <x:c r="E468" t="n">
        <x:v>12</x:v>
      </x:c>
      <x:c r="F468" t="n">
        <x:v>0</x:v>
      </x:c>
      <x:c r="G468" t="n">
        <x:v>0</x:v>
      </x:c>
      <x:c r="H468" t="n">
        <x:v>0</x:v>
      </x:c>
      <x:c r="I468" t="n">
        <x:v>0</x:v>
      </x:c>
      <x:c r="J468" t="n">
        <x:v>7</x:v>
      </x:c>
      <x:c r="K468" t="n">
        <x:v>0</x:v>
      </x:c>
      <x:c r="L468" t="n">
        <x:v>0</x:v>
      </x:c>
      <x:c r="M468" t="n">
        <x:v>0</x:v>
      </x:c>
    </x:row>
    <x:row r="469">
      <x:c r="A469" t="str">
        <x:v>MI|Agressif|20</x:v>
      </x:c>
      <x:c r="B469" t="str">
        <x:v>Mineur</x:v>
      </x:c>
      <x:c r="C469" t="str">
        <x:v>Agressif</x:v>
      </x:c>
      <x:c r="D469" t="n">
        <x:v>20</x:v>
      </x:c>
      <x:c r="E469" t="n">
        <x:v>13</x:v>
      </x:c>
      <x:c r="F469" t="n">
        <x:v>0</x:v>
      </x:c>
      <x:c r="G469" t="n">
        <x:v>0</x:v>
      </x:c>
      <x:c r="H469" t="n">
        <x:v>0</x:v>
      </x:c>
      <x:c r="I469" t="n">
        <x:v>0</x:v>
      </x:c>
      <x:c r="J469" t="n">
        <x:v>7</x:v>
      </x:c>
      <x:c r="K469" t="n">
        <x:v>0</x:v>
      </x:c>
      <x:c r="L469" t="n">
        <x:v>0</x:v>
      </x:c>
      <x:c r="M469" t="n">
        <x:v>0</x:v>
      </x:c>
    </x:row>
    <x:row r="470">
      <x:c r="A470" t="str">
        <x:v>MI|Agressif|21</x:v>
      </x:c>
      <x:c r="B470" t="str">
        <x:v>Mineur</x:v>
      </x:c>
      <x:c r="C470" t="str">
        <x:v>Agressif</x:v>
      </x:c>
      <x:c r="D470" t="n">
        <x:v>21</x:v>
      </x:c>
      <x:c r="E470" t="n">
        <x:v>14</x:v>
      </x:c>
      <x:c r="F470" t="n">
        <x:v>0</x:v>
      </x:c>
      <x:c r="G470" t="n">
        <x:v>0</x:v>
      </x:c>
      <x:c r="H470" t="n">
        <x:v>0</x:v>
      </x:c>
      <x:c r="I470" t="n">
        <x:v>0</x:v>
      </x:c>
      <x:c r="J470" t="n">
        <x:v>7</x:v>
      </x:c>
      <x:c r="K470" t="n">
        <x:v>0</x:v>
      </x:c>
      <x:c r="L470" t="n">
        <x:v>0</x:v>
      </x:c>
      <x:c r="M470" t="n">
        <x:v>0</x:v>
      </x:c>
    </x:row>
    <x:row r="471">
      <x:c r="A471" t="str">
        <x:v>MI|Féroce|0</x:v>
      </x:c>
      <x:c r="B471" t="str">
        <x:v>Mineur</x:v>
      </x:c>
      <x:c r="C471" t="str">
        <x:v>Féroce</x:v>
      </x:c>
      <x:c r="D471" t="n">
        <x:v>0</x:v>
      </x:c>
      <x:c r="E471" t="n">
        <x:v>0</x:v>
      </x:c>
      <x:c r="F471" t="n">
        <x:v>0</x:v>
      </x:c>
      <x:c r="G471" t="n">
        <x:v>0</x:v>
      </x:c>
      <x:c r="H471" t="n">
        <x:v>0</x:v>
      </x:c>
      <x:c r="I471" t="n">
        <x:v>0</x:v>
      </x:c>
      <x:c r="J471" t="n">
        <x:v>0</x:v>
      </x:c>
      <x:c r="K471" t="n">
        <x:v>0</x:v>
      </x:c>
      <x:c r="L471" t="n">
        <x:v>0</x:v>
      </x:c>
      <x:c r="M471" t="n">
        <x:v>0</x:v>
      </x:c>
    </x:row>
    <x:row r="472">
      <x:c r="A472" t="str">
        <x:v>MI|Féroce|1</x:v>
      </x:c>
      <x:c r="B472" t="str">
        <x:v>Mineur</x:v>
      </x:c>
      <x:c r="C472" t="str">
        <x:v>Féroce</x:v>
      </x:c>
      <x:c r="D472" t="n">
        <x:v>1</x:v>
      </x:c>
      <x:c r="E472" t="n">
        <x:v>1</x:v>
      </x:c>
      <x:c r="F472" t="n">
        <x:v>0</x:v>
      </x:c>
      <x:c r="G472" t="n">
        <x:v>0</x:v>
      </x:c>
      <x:c r="H472" t="n">
        <x:v>0</x:v>
      </x:c>
      <x:c r="I472" t="n">
        <x:v>0</x:v>
      </x:c>
      <x:c r="J472" t="n">
        <x:v>0</x:v>
      </x:c>
      <x:c r="K472" t="n">
        <x:v>0</x:v>
      </x:c>
      <x:c r="L472" t="n">
        <x:v>0</x:v>
      </x:c>
      <x:c r="M472" t="n">
        <x:v>0</x:v>
      </x:c>
    </x:row>
    <x:row r="473">
      <x:c r="A473" t="str">
        <x:v>MI|Féroce|2</x:v>
      </x:c>
      <x:c r="B473" t="str">
        <x:v>Mineur</x:v>
      </x:c>
      <x:c r="C473" t="str">
        <x:v>Féroce</x:v>
      </x:c>
      <x:c r="D473" t="n">
        <x:v>2</x:v>
      </x:c>
      <x:c r="E473" t="n">
        <x:v>1</x:v>
      </x:c>
      <x:c r="F473" t="n">
        <x:v>0</x:v>
      </x:c>
      <x:c r="G473" t="n">
        <x:v>1</x:v>
      </x:c>
      <x:c r="H473" t="n">
        <x:v>0</x:v>
      </x:c>
      <x:c r="I473" t="n">
        <x:v>0</x:v>
      </x:c>
      <x:c r="J473" t="n">
        <x:v>0</x:v>
      </x:c>
      <x:c r="K473" t="n">
        <x:v>0</x:v>
      </x:c>
      <x:c r="L473" t="n">
        <x:v>0</x:v>
      </x:c>
      <x:c r="M473" t="n">
        <x:v>0</x:v>
      </x:c>
    </x:row>
    <x:row r="474">
      <x:c r="A474" t="str">
        <x:v>MI|Féroce|3</x:v>
      </x:c>
      <x:c r="B474" t="str">
        <x:v>Mineur</x:v>
      </x:c>
      <x:c r="C474" t="str">
        <x:v>Féroce</x:v>
      </x:c>
      <x:c r="D474" t="n">
        <x:v>3</x:v>
      </x:c>
      <x:c r="E474" t="n">
        <x:v>2</x:v>
      </x:c>
      <x:c r="F474" t="n">
        <x:v>0</x:v>
      </x:c>
      <x:c r="G474" t="n">
        <x:v>1</x:v>
      </x:c>
      <x:c r="H474" t="n">
        <x:v>0</x:v>
      </x:c>
      <x:c r="I474" t="n">
        <x:v>0</x:v>
      </x:c>
      <x:c r="J474" t="n">
        <x:v>0</x:v>
      </x:c>
      <x:c r="K474" t="n">
        <x:v>0</x:v>
      </x:c>
      <x:c r="L474" t="n">
        <x:v>0</x:v>
      </x:c>
      <x:c r="M474" t="n">
        <x:v>0</x:v>
      </x:c>
    </x:row>
    <x:row r="475">
      <x:c r="A475" t="str">
        <x:v>MI|Féroce|4</x:v>
      </x:c>
      <x:c r="B475" t="str">
        <x:v>Mineur</x:v>
      </x:c>
      <x:c r="C475" t="str">
        <x:v>Féroce</x:v>
      </x:c>
      <x:c r="D475" t="n">
        <x:v>4</x:v>
      </x:c>
      <x:c r="E475" t="n">
        <x:v>3</x:v>
      </x:c>
      <x:c r="F475" t="n">
        <x:v>0</x:v>
      </x:c>
      <x:c r="G475" t="n">
        <x:v>1</x:v>
      </x:c>
      <x:c r="H475" t="n">
        <x:v>0</x:v>
      </x:c>
      <x:c r="I475" t="n">
        <x:v>0</x:v>
      </x:c>
      <x:c r="J475" t="n">
        <x:v>0</x:v>
      </x:c>
      <x:c r="K475" t="n">
        <x:v>0</x:v>
      </x:c>
      <x:c r="L475" t="n">
        <x:v>0</x:v>
      </x:c>
      <x:c r="M475" t="n">
        <x:v>0</x:v>
      </x:c>
    </x:row>
    <x:row r="476">
      <x:c r="A476" t="str">
        <x:v>MI|Féroce|5</x:v>
      </x:c>
      <x:c r="B476" t="str">
        <x:v>Mineur</x:v>
      </x:c>
      <x:c r="C476" t="str">
        <x:v>Féroce</x:v>
      </x:c>
      <x:c r="D476" t="n">
        <x:v>5</x:v>
      </x:c>
      <x:c r="E476" t="n">
        <x:v>3</x:v>
      </x:c>
      <x:c r="F476" t="n">
        <x:v>0</x:v>
      </x:c>
      <x:c r="G476" t="n">
        <x:v>2</x:v>
      </x:c>
      <x:c r="H476" t="n">
        <x:v>0</x:v>
      </x:c>
      <x:c r="I476" t="n">
        <x:v>0</x:v>
      </x:c>
      <x:c r="J476" t="n">
        <x:v>0</x:v>
      </x:c>
      <x:c r="K476" t="n">
        <x:v>0</x:v>
      </x:c>
      <x:c r="L476" t="n">
        <x:v>0</x:v>
      </x:c>
      <x:c r="M476" t="n">
        <x:v>0</x:v>
      </x:c>
    </x:row>
    <x:row r="477">
      <x:c r="A477" t="str">
        <x:v>MI|Féroce|6</x:v>
      </x:c>
      <x:c r="B477" t="str">
        <x:v>Mineur</x:v>
      </x:c>
      <x:c r="C477" t="str">
        <x:v>Féroce</x:v>
      </x:c>
      <x:c r="D477" t="n">
        <x:v>6</x:v>
      </x:c>
      <x:c r="E477" t="n">
        <x:v>4</x:v>
      </x:c>
      <x:c r="F477" t="n">
        <x:v>0</x:v>
      </x:c>
      <x:c r="G477" t="n">
        <x:v>2</x:v>
      </x:c>
      <x:c r="H477" t="n">
        <x:v>0</x:v>
      </x:c>
      <x:c r="I477" t="n">
        <x:v>0</x:v>
      </x:c>
      <x:c r="J477" t="n">
        <x:v>0</x:v>
      </x:c>
      <x:c r="K477" t="n">
        <x:v>0</x:v>
      </x:c>
      <x:c r="L477" t="n">
        <x:v>0</x:v>
      </x:c>
      <x:c r="M477" t="n">
        <x:v>0</x:v>
      </x:c>
    </x:row>
    <x:row r="478">
      <x:c r="A478" t="str">
        <x:v>MI|Féroce|7</x:v>
      </x:c>
      <x:c r="B478" t="str">
        <x:v>Mineur</x:v>
      </x:c>
      <x:c r="C478" t="str">
        <x:v>Féroce</x:v>
      </x:c>
      <x:c r="D478" t="n">
        <x:v>7</x:v>
      </x:c>
      <x:c r="E478" t="n">
        <x:v>5</x:v>
      </x:c>
      <x:c r="F478" t="n">
        <x:v>0</x:v>
      </x:c>
      <x:c r="G478" t="n">
        <x:v>2</x:v>
      </x:c>
      <x:c r="H478" t="n">
        <x:v>0</x:v>
      </x:c>
      <x:c r="I478" t="n">
        <x:v>0</x:v>
      </x:c>
      <x:c r="J478" t="n">
        <x:v>0</x:v>
      </x:c>
      <x:c r="K478" t="n">
        <x:v>0</x:v>
      </x:c>
      <x:c r="L478" t="n">
        <x:v>0</x:v>
      </x:c>
      <x:c r="M478" t="n">
        <x:v>0</x:v>
      </x:c>
    </x:row>
    <x:row r="479">
      <x:c r="A479" t="str">
        <x:v>MI|Féroce|8</x:v>
      </x:c>
      <x:c r="B479" t="str">
        <x:v>Mineur</x:v>
      </x:c>
      <x:c r="C479" t="str">
        <x:v>Féroce</x:v>
      </x:c>
      <x:c r="D479" t="n">
        <x:v>8</x:v>
      </x:c>
      <x:c r="E479" t="n">
        <x:v>5</x:v>
      </x:c>
      <x:c r="F479" t="n">
        <x:v>0</x:v>
      </x:c>
      <x:c r="G479" t="n">
        <x:v>3</x:v>
      </x:c>
      <x:c r="H479" t="n">
        <x:v>0</x:v>
      </x:c>
      <x:c r="I479" t="n">
        <x:v>0</x:v>
      </x:c>
      <x:c r="J479" t="n">
        <x:v>0</x:v>
      </x:c>
      <x:c r="K479" t="n">
        <x:v>0</x:v>
      </x:c>
      <x:c r="L479" t="n">
        <x:v>0</x:v>
      </x:c>
      <x:c r="M479" t="n">
        <x:v>0</x:v>
      </x:c>
    </x:row>
    <x:row r="480">
      <x:c r="A480" t="str">
        <x:v>MI|Féroce|9</x:v>
      </x:c>
      <x:c r="B480" t="str">
        <x:v>Mineur</x:v>
      </x:c>
      <x:c r="C480" t="str">
        <x:v>Féroce</x:v>
      </x:c>
      <x:c r="D480" t="n">
        <x:v>9</x:v>
      </x:c>
      <x:c r="E480" t="n">
        <x:v>6</x:v>
      </x:c>
      <x:c r="F480" t="n">
        <x:v>0</x:v>
      </x:c>
      <x:c r="G480" t="n">
        <x:v>3</x:v>
      </x:c>
      <x:c r="H480" t="n">
        <x:v>0</x:v>
      </x:c>
      <x:c r="I480" t="n">
        <x:v>0</x:v>
      </x:c>
      <x:c r="J480" t="n">
        <x:v>0</x:v>
      </x:c>
      <x:c r="K480" t="n">
        <x:v>0</x:v>
      </x:c>
      <x:c r="L480" t="n">
        <x:v>0</x:v>
      </x:c>
      <x:c r="M480" t="n">
        <x:v>0</x:v>
      </x:c>
    </x:row>
    <x:row r="481">
      <x:c r="A481" t="str">
        <x:v>MI|Féroce|10</x:v>
      </x:c>
      <x:c r="B481" t="str">
        <x:v>Mineur</x:v>
      </x:c>
      <x:c r="C481" t="str">
        <x:v>Féroce</x:v>
      </x:c>
      <x:c r="D481" t="n">
        <x:v>10</x:v>
      </x:c>
      <x:c r="E481" t="n">
        <x:v>7</x:v>
      </x:c>
      <x:c r="F481" t="n">
        <x:v>0</x:v>
      </x:c>
      <x:c r="G481" t="n">
        <x:v>3</x:v>
      </x:c>
      <x:c r="H481" t="n">
        <x:v>0</x:v>
      </x:c>
      <x:c r="I481" t="n">
        <x:v>0</x:v>
      </x:c>
      <x:c r="J481" t="n">
        <x:v>0</x:v>
      </x:c>
      <x:c r="K481" t="n">
        <x:v>0</x:v>
      </x:c>
      <x:c r="L481" t="n">
        <x:v>0</x:v>
      </x:c>
      <x:c r="M481" t="n">
        <x:v>0</x:v>
      </x:c>
    </x:row>
    <x:row r="482">
      <x:c r="A482" t="str">
        <x:v>MI|Féroce|11</x:v>
      </x:c>
      <x:c r="B482" t="str">
        <x:v>Mineur</x:v>
      </x:c>
      <x:c r="C482" t="str">
        <x:v>Féroce</x:v>
      </x:c>
      <x:c r="D482" t="n">
        <x:v>11</x:v>
      </x:c>
      <x:c r="E482" t="n">
        <x:v>7</x:v>
      </x:c>
      <x:c r="F482" t="n">
        <x:v>0</x:v>
      </x:c>
      <x:c r="G482" t="n">
        <x:v>4</x:v>
      </x:c>
      <x:c r="H482" t="n">
        <x:v>0</x:v>
      </x:c>
      <x:c r="I482" t="n">
        <x:v>0</x:v>
      </x:c>
      <x:c r="J482" t="n">
        <x:v>0</x:v>
      </x:c>
      <x:c r="K482" t="n">
        <x:v>0</x:v>
      </x:c>
      <x:c r="L482" t="n">
        <x:v>0</x:v>
      </x:c>
      <x:c r="M482" t="n">
        <x:v>0</x:v>
      </x:c>
    </x:row>
    <x:row r="483">
      <x:c r="A483" t="str">
        <x:v>MI|Féroce|12</x:v>
      </x:c>
      <x:c r="B483" t="str">
        <x:v>Mineur</x:v>
      </x:c>
      <x:c r="C483" t="str">
        <x:v>Féroce</x:v>
      </x:c>
      <x:c r="D483" t="n">
        <x:v>12</x:v>
      </x:c>
      <x:c r="E483" t="n">
        <x:v>8</x:v>
      </x:c>
      <x:c r="F483" t="n">
        <x:v>0</x:v>
      </x:c>
      <x:c r="G483" t="n">
        <x:v>4</x:v>
      </x:c>
      <x:c r="H483" t="n">
        <x:v>0</x:v>
      </x:c>
      <x:c r="I483" t="n">
        <x:v>0</x:v>
      </x:c>
      <x:c r="J483" t="n">
        <x:v>0</x:v>
      </x:c>
      <x:c r="K483" t="n">
        <x:v>0</x:v>
      </x:c>
      <x:c r="L483" t="n">
        <x:v>0</x:v>
      </x:c>
      <x:c r="M483" t="n">
        <x:v>0</x:v>
      </x:c>
    </x:row>
    <x:row r="484">
      <x:c r="A484" t="str">
        <x:v>MI|Féroce|13</x:v>
      </x:c>
      <x:c r="B484" t="str">
        <x:v>Mineur</x:v>
      </x:c>
      <x:c r="C484" t="str">
        <x:v>Féroce</x:v>
      </x:c>
      <x:c r="D484" t="n">
        <x:v>13</x:v>
      </x:c>
      <x:c r="E484" t="n">
        <x:v>8</x:v>
      </x:c>
      <x:c r="F484" t="n">
        <x:v>0</x:v>
      </x:c>
      <x:c r="G484" t="n">
        <x:v>5</x:v>
      </x:c>
      <x:c r="H484" t="n">
        <x:v>0</x:v>
      </x:c>
      <x:c r="I484" t="n">
        <x:v>0</x:v>
      </x:c>
      <x:c r="J484" t="n">
        <x:v>0</x:v>
      </x:c>
      <x:c r="K484" t="n">
        <x:v>0</x:v>
      </x:c>
      <x:c r="L484" t="n">
        <x:v>0</x:v>
      </x:c>
      <x:c r="M484" t="n">
        <x:v>0</x:v>
      </x:c>
    </x:row>
    <x:row r="485">
      <x:c r="A485" t="str">
        <x:v>MI|Féroce|14</x:v>
      </x:c>
      <x:c r="B485" t="str">
        <x:v>Mineur</x:v>
      </x:c>
      <x:c r="C485" t="str">
        <x:v>Féroce</x:v>
      </x:c>
      <x:c r="D485" t="n">
        <x:v>14</x:v>
      </x:c>
      <x:c r="E485" t="n">
        <x:v>9</x:v>
      </x:c>
      <x:c r="F485" t="n">
        <x:v>0</x:v>
      </x:c>
      <x:c r="G485" t="n">
        <x:v>5</x:v>
      </x:c>
      <x:c r="H485" t="n">
        <x:v>0</x:v>
      </x:c>
      <x:c r="I485" t="n">
        <x:v>0</x:v>
      </x:c>
      <x:c r="J485" t="n">
        <x:v>0</x:v>
      </x:c>
      <x:c r="K485" t="n">
        <x:v>0</x:v>
      </x:c>
      <x:c r="L485" t="n">
        <x:v>0</x:v>
      </x:c>
      <x:c r="M485" t="n">
        <x:v>0</x:v>
      </x:c>
    </x:row>
    <x:row r="486">
      <x:c r="A486" t="str">
        <x:v>MI|Féroce|15</x:v>
      </x:c>
      <x:c r="B486" t="str">
        <x:v>Mineur</x:v>
      </x:c>
      <x:c r="C486" t="str">
        <x:v>Féroce</x:v>
      </x:c>
      <x:c r="D486" t="n">
        <x:v>15</x:v>
      </x:c>
      <x:c r="E486" t="n">
        <x:v>10</x:v>
      </x:c>
      <x:c r="F486" t="n">
        <x:v>0</x:v>
      </x:c>
      <x:c r="G486" t="n">
        <x:v>5</x:v>
      </x:c>
      <x:c r="H486" t="n">
        <x:v>0</x:v>
      </x:c>
      <x:c r="I486" t="n">
        <x:v>0</x:v>
      </x:c>
      <x:c r="J486" t="n">
        <x:v>0</x:v>
      </x:c>
      <x:c r="K486" t="n">
        <x:v>0</x:v>
      </x:c>
      <x:c r="L486" t="n">
        <x:v>0</x:v>
      </x:c>
      <x:c r="M486" t="n">
        <x:v>0</x:v>
      </x:c>
    </x:row>
    <x:row r="487">
      <x:c r="A487" t="str">
        <x:v>MI|Féroce|16</x:v>
      </x:c>
      <x:c r="B487" t="str">
        <x:v>Mineur</x:v>
      </x:c>
      <x:c r="C487" t="str">
        <x:v>Féroce</x:v>
      </x:c>
      <x:c r="D487" t="n">
        <x:v>16</x:v>
      </x:c>
      <x:c r="E487" t="n">
        <x:v>10</x:v>
      </x:c>
      <x:c r="F487" t="n">
        <x:v>0</x:v>
      </x:c>
      <x:c r="G487" t="n">
        <x:v>6</x:v>
      </x:c>
      <x:c r="H487" t="n">
        <x:v>0</x:v>
      </x:c>
      <x:c r="I487" t="n">
        <x:v>0</x:v>
      </x:c>
      <x:c r="J487" t="n">
        <x:v>0</x:v>
      </x:c>
      <x:c r="K487" t="n">
        <x:v>0</x:v>
      </x:c>
      <x:c r="L487" t="n">
        <x:v>0</x:v>
      </x:c>
      <x:c r="M487" t="n">
        <x:v>0</x:v>
      </x:c>
    </x:row>
    <x:row r="488">
      <x:c r="A488" t="str">
        <x:v>MI|Féroce|17</x:v>
      </x:c>
      <x:c r="B488" t="str">
        <x:v>Mineur</x:v>
      </x:c>
      <x:c r="C488" t="str">
        <x:v>Féroce</x:v>
      </x:c>
      <x:c r="D488" t="n">
        <x:v>17</x:v>
      </x:c>
      <x:c r="E488" t="n">
        <x:v>11</x:v>
      </x:c>
      <x:c r="F488" t="n">
        <x:v>0</x:v>
      </x:c>
      <x:c r="G488" t="n">
        <x:v>6</x:v>
      </x:c>
      <x:c r="H488" t="n">
        <x:v>0</x:v>
      </x:c>
      <x:c r="I488" t="n">
        <x:v>0</x:v>
      </x:c>
      <x:c r="J488" t="n">
        <x:v>0</x:v>
      </x:c>
      <x:c r="K488" t="n">
        <x:v>0</x:v>
      </x:c>
      <x:c r="L488" t="n">
        <x:v>0</x:v>
      </x:c>
      <x:c r="M488" t="n">
        <x:v>0</x:v>
      </x:c>
    </x:row>
    <x:row r="489">
      <x:c r="A489" t="str">
        <x:v>MI|Féroce|18</x:v>
      </x:c>
      <x:c r="B489" t="str">
        <x:v>Mineur</x:v>
      </x:c>
      <x:c r="C489" t="str">
        <x:v>Féroce</x:v>
      </x:c>
      <x:c r="D489" t="n">
        <x:v>18</x:v>
      </x:c>
      <x:c r="E489" t="n">
        <x:v>12</x:v>
      </x:c>
      <x:c r="F489" t="n">
        <x:v>0</x:v>
      </x:c>
      <x:c r="G489" t="n">
        <x:v>6</x:v>
      </x:c>
      <x:c r="H489" t="n">
        <x:v>0</x:v>
      </x:c>
      <x:c r="I489" t="n">
        <x:v>0</x:v>
      </x:c>
      <x:c r="J489" t="n">
        <x:v>0</x:v>
      </x:c>
      <x:c r="K489" t="n">
        <x:v>0</x:v>
      </x:c>
      <x:c r="L489" t="n">
        <x:v>0</x:v>
      </x:c>
      <x:c r="M489" t="n">
        <x:v>0</x:v>
      </x:c>
    </x:row>
    <x:row r="490">
      <x:c r="A490" t="str">
        <x:v>MI|Féroce|19</x:v>
      </x:c>
      <x:c r="B490" t="str">
        <x:v>Mineur</x:v>
      </x:c>
      <x:c r="C490" t="str">
        <x:v>Féroce</x:v>
      </x:c>
      <x:c r="D490" t="n">
        <x:v>19</x:v>
      </x:c>
      <x:c r="E490" t="n">
        <x:v>12</x:v>
      </x:c>
      <x:c r="F490" t="n">
        <x:v>0</x:v>
      </x:c>
      <x:c r="G490" t="n">
        <x:v>7</x:v>
      </x:c>
      <x:c r="H490" t="n">
        <x:v>0</x:v>
      </x:c>
      <x:c r="I490" t="n">
        <x:v>0</x:v>
      </x:c>
      <x:c r="J490" t="n">
        <x:v>0</x:v>
      </x:c>
      <x:c r="K490" t="n">
        <x:v>0</x:v>
      </x:c>
      <x:c r="L490" t="n">
        <x:v>0</x:v>
      </x:c>
      <x:c r="M490" t="n">
        <x:v>0</x:v>
      </x:c>
    </x:row>
    <x:row r="491">
      <x:c r="A491" t="str">
        <x:v>MI|Féroce|20</x:v>
      </x:c>
      <x:c r="B491" t="str">
        <x:v>Mineur</x:v>
      </x:c>
      <x:c r="C491" t="str">
        <x:v>Féroce</x:v>
      </x:c>
      <x:c r="D491" t="n">
        <x:v>20</x:v>
      </x:c>
      <x:c r="E491" t="n">
        <x:v>13</x:v>
      </x:c>
      <x:c r="F491" t="n">
        <x:v>0</x:v>
      </x:c>
      <x:c r="G491" t="n">
        <x:v>7</x:v>
      </x:c>
      <x:c r="H491" t="n">
        <x:v>0</x:v>
      </x:c>
      <x:c r="I491" t="n">
        <x:v>0</x:v>
      </x:c>
      <x:c r="J491" t="n">
        <x:v>0</x:v>
      </x:c>
      <x:c r="K491" t="n">
        <x:v>0</x:v>
      </x:c>
      <x:c r="L491" t="n">
        <x:v>0</x:v>
      </x:c>
      <x:c r="M491" t="n">
        <x:v>0</x:v>
      </x:c>
    </x:row>
    <x:row r="492">
      <x:c r="A492" t="str">
        <x:v>MI|Féroce|21</x:v>
      </x:c>
      <x:c r="B492" t="str">
        <x:v>Mineur</x:v>
      </x:c>
      <x:c r="C492" t="str">
        <x:v>Féroce</x:v>
      </x:c>
      <x:c r="D492" t="n">
        <x:v>21</x:v>
      </x:c>
      <x:c r="E492" t="n">
        <x:v>14</x:v>
      </x:c>
      <x:c r="F492" t="n">
        <x:v>0</x:v>
      </x:c>
      <x:c r="G492" t="n">
        <x:v>7</x:v>
      </x:c>
      <x:c r="H492" t="n">
        <x:v>0</x:v>
      </x:c>
      <x:c r="I492" t="n">
        <x:v>0</x:v>
      </x:c>
      <x:c r="J492" t="n">
        <x:v>0</x:v>
      </x:c>
      <x:c r="K492" t="n">
        <x:v>0</x:v>
      </x:c>
      <x:c r="L492" t="n">
        <x:v>0</x:v>
      </x:c>
      <x:c r="M492" t="n">
        <x:v>0</x:v>
      </x:c>
    </x:row>
    <x:row r="493">
      <x:c r="A493" t="str">
        <x:v>MI|Bousculeur|0</x:v>
      </x:c>
      <x:c r="B493" t="str">
        <x:v>Mineur</x:v>
      </x:c>
      <x:c r="C493" t="str">
        <x:v>Bousculeur</x:v>
      </x:c>
      <x:c r="D493" t="n">
        <x:v>0</x:v>
      </x:c>
      <x:c r="E493" t="n">
        <x:v>0</x:v>
      </x:c>
      <x:c r="F493" t="n">
        <x:v>0</x:v>
      </x:c>
      <x:c r="G493" t="n">
        <x:v>0</x:v>
      </x:c>
      <x:c r="H493" t="n">
        <x:v>0</x:v>
      </x:c>
      <x:c r="I493" t="n">
        <x:v>0</x:v>
      </x:c>
      <x:c r="J493" t="n">
        <x:v>0</x:v>
      </x:c>
      <x:c r="K493" t="n">
        <x:v>0</x:v>
      </x:c>
      <x:c r="L493" t="n">
        <x:v>0</x:v>
      </x:c>
      <x:c r="M493" t="n">
        <x:v>0</x:v>
      </x:c>
    </x:row>
    <x:row r="494">
      <x:c r="A494" t="str">
        <x:v>MI|Bousculeur|1</x:v>
      </x:c>
      <x:c r="B494" t="str">
        <x:v>Mineur</x:v>
      </x:c>
      <x:c r="C494" t="str">
        <x:v>Bousculeur</x:v>
      </x:c>
      <x:c r="D494" t="n">
        <x:v>1</x:v>
      </x:c>
      <x:c r="E494" t="n">
        <x:v>1</x:v>
      </x:c>
      <x:c r="F494" t="n">
        <x:v>0</x:v>
      </x:c>
      <x:c r="G494" t="n">
        <x:v>0</x:v>
      </x:c>
      <x:c r="H494" t="n">
        <x:v>0</x:v>
      </x:c>
      <x:c r="I494" t="n">
        <x:v>0</x:v>
      </x:c>
      <x:c r="J494" t="n">
        <x:v>0</x:v>
      </x:c>
      <x:c r="K494" t="n">
        <x:v>0</x:v>
      </x:c>
      <x:c r="L494" t="n">
        <x:v>0</x:v>
      </x:c>
      <x:c r="M494" t="n">
        <x:v>0</x:v>
      </x:c>
    </x:row>
    <x:row r="495">
      <x:c r="A495" t="str">
        <x:v>MI|Bousculeur|2</x:v>
      </x:c>
      <x:c r="B495" t="str">
        <x:v>Mineur</x:v>
      </x:c>
      <x:c r="C495" t="str">
        <x:v>Bousculeur</x:v>
      </x:c>
      <x:c r="D495" t="n">
        <x:v>2</x:v>
      </x:c>
      <x:c r="E495" t="n">
        <x:v>1</x:v>
      </x:c>
      <x:c r="F495" t="n">
        <x:v>1</x:v>
      </x:c>
      <x:c r="G495" t="n">
        <x:v>0</x:v>
      </x:c>
      <x:c r="H495" t="n">
        <x:v>0</x:v>
      </x:c>
      <x:c r="I495" t="n">
        <x:v>0</x:v>
      </x:c>
      <x:c r="J495" t="n">
        <x:v>0</x:v>
      </x:c>
      <x:c r="K495" t="n">
        <x:v>0</x:v>
      </x:c>
      <x:c r="L495" t="n">
        <x:v>0</x:v>
      </x:c>
      <x:c r="M495" t="n">
        <x:v>0</x:v>
      </x:c>
    </x:row>
    <x:row r="496">
      <x:c r="A496" t="str">
        <x:v>MI|Bousculeur|3</x:v>
      </x:c>
      <x:c r="B496" t="str">
        <x:v>Mineur</x:v>
      </x:c>
      <x:c r="C496" t="str">
        <x:v>Bousculeur</x:v>
      </x:c>
      <x:c r="D496" t="n">
        <x:v>3</x:v>
      </x:c>
      <x:c r="E496" t="n">
        <x:v>2</x:v>
      </x:c>
      <x:c r="F496" t="n">
        <x:v>1</x:v>
      </x:c>
      <x:c r="G496" t="n">
        <x:v>0</x:v>
      </x:c>
      <x:c r="H496" t="n">
        <x:v>0</x:v>
      </x:c>
      <x:c r="I496" t="n">
        <x:v>0</x:v>
      </x:c>
      <x:c r="J496" t="n">
        <x:v>0</x:v>
      </x:c>
      <x:c r="K496" t="n">
        <x:v>0</x:v>
      </x:c>
      <x:c r="L496" t="n">
        <x:v>0</x:v>
      </x:c>
      <x:c r="M496" t="n">
        <x:v>0</x:v>
      </x:c>
    </x:row>
    <x:row r="497">
      <x:c r="A497" t="str">
        <x:v>MI|Bousculeur|4</x:v>
      </x:c>
      <x:c r="B497" t="str">
        <x:v>Mineur</x:v>
      </x:c>
      <x:c r="C497" t="str">
        <x:v>Bousculeur</x:v>
      </x:c>
      <x:c r="D497" t="n">
        <x:v>4</x:v>
      </x:c>
      <x:c r="E497" t="n">
        <x:v>3</x:v>
      </x:c>
      <x:c r="F497" t="n">
        <x:v>1</x:v>
      </x:c>
      <x:c r="G497" t="n">
        <x:v>0</x:v>
      </x:c>
      <x:c r="H497" t="n">
        <x:v>0</x:v>
      </x:c>
      <x:c r="I497" t="n">
        <x:v>0</x:v>
      </x:c>
      <x:c r="J497" t="n">
        <x:v>0</x:v>
      </x:c>
      <x:c r="K497" t="n">
        <x:v>0</x:v>
      </x:c>
      <x:c r="L497" t="n">
        <x:v>0</x:v>
      </x:c>
      <x:c r="M497" t="n">
        <x:v>0</x:v>
      </x:c>
    </x:row>
    <x:row r="498">
      <x:c r="A498" t="str">
        <x:v>MI|Bousculeur|5</x:v>
      </x:c>
      <x:c r="B498" t="str">
        <x:v>Mineur</x:v>
      </x:c>
      <x:c r="C498" t="str">
        <x:v>Bousculeur</x:v>
      </x:c>
      <x:c r="D498" t="n">
        <x:v>5</x:v>
      </x:c>
      <x:c r="E498" t="n">
        <x:v>3</x:v>
      </x:c>
      <x:c r="F498" t="n">
        <x:v>2</x:v>
      </x:c>
      <x:c r="G498" t="n">
        <x:v>0</x:v>
      </x:c>
      <x:c r="H498" t="n">
        <x:v>0</x:v>
      </x:c>
      <x:c r="I498" t="n">
        <x:v>0</x:v>
      </x:c>
      <x:c r="J498" t="n">
        <x:v>0</x:v>
      </x:c>
      <x:c r="K498" t="n">
        <x:v>0</x:v>
      </x:c>
      <x:c r="L498" t="n">
        <x:v>0</x:v>
      </x:c>
      <x:c r="M498" t="n">
        <x:v>0</x:v>
      </x:c>
    </x:row>
    <x:row r="499">
      <x:c r="A499" t="str">
        <x:v>MI|Bousculeur|6</x:v>
      </x:c>
      <x:c r="B499" t="str">
        <x:v>Mineur</x:v>
      </x:c>
      <x:c r="C499" t="str">
        <x:v>Bousculeur</x:v>
      </x:c>
      <x:c r="D499" t="n">
        <x:v>6</x:v>
      </x:c>
      <x:c r="E499" t="n">
        <x:v>4</x:v>
      </x:c>
      <x:c r="F499" t="n">
        <x:v>2</x:v>
      </x:c>
      <x:c r="G499" t="n">
        <x:v>0</x:v>
      </x:c>
      <x:c r="H499" t="n">
        <x:v>0</x:v>
      </x:c>
      <x:c r="I499" t="n">
        <x:v>0</x:v>
      </x:c>
      <x:c r="J499" t="n">
        <x:v>0</x:v>
      </x:c>
      <x:c r="K499" t="n">
        <x:v>0</x:v>
      </x:c>
      <x:c r="L499" t="n">
        <x:v>0</x:v>
      </x:c>
      <x:c r="M499" t="n">
        <x:v>0</x:v>
      </x:c>
    </x:row>
    <x:row r="500">
      <x:c r="A500" t="str">
        <x:v>MI|Bousculeur|7</x:v>
      </x:c>
      <x:c r="B500" t="str">
        <x:v>Mineur</x:v>
      </x:c>
      <x:c r="C500" t="str">
        <x:v>Bousculeur</x:v>
      </x:c>
      <x:c r="D500" t="n">
        <x:v>7</x:v>
      </x:c>
      <x:c r="E500" t="n">
        <x:v>5</x:v>
      </x:c>
      <x:c r="F500" t="n">
        <x:v>2</x:v>
      </x:c>
      <x:c r="G500" t="n">
        <x:v>0</x:v>
      </x:c>
      <x:c r="H500" t="n">
        <x:v>0</x:v>
      </x:c>
      <x:c r="I500" t="n">
        <x:v>0</x:v>
      </x:c>
      <x:c r="J500" t="n">
        <x:v>0</x:v>
      </x:c>
      <x:c r="K500" t="n">
        <x:v>0</x:v>
      </x:c>
      <x:c r="L500" t="n">
        <x:v>0</x:v>
      </x:c>
      <x:c r="M500" t="n">
        <x:v>0</x:v>
      </x:c>
    </x:row>
    <x:row r="501">
      <x:c r="A501" t="str">
        <x:v>MI|Bousculeur|8</x:v>
      </x:c>
      <x:c r="B501" t="str">
        <x:v>Mineur</x:v>
      </x:c>
      <x:c r="C501" t="str">
        <x:v>Bousculeur</x:v>
      </x:c>
      <x:c r="D501" t="n">
        <x:v>8</x:v>
      </x:c>
      <x:c r="E501" t="n">
        <x:v>5</x:v>
      </x:c>
      <x:c r="F501" t="n">
        <x:v>3</x:v>
      </x:c>
      <x:c r="G501" t="n">
        <x:v>0</x:v>
      </x:c>
      <x:c r="H501" t="n">
        <x:v>0</x:v>
      </x:c>
      <x:c r="I501" t="n">
        <x:v>0</x:v>
      </x:c>
      <x:c r="J501" t="n">
        <x:v>0</x:v>
      </x:c>
      <x:c r="K501" t="n">
        <x:v>0</x:v>
      </x:c>
      <x:c r="L501" t="n">
        <x:v>0</x:v>
      </x:c>
      <x:c r="M501" t="n">
        <x:v>0</x:v>
      </x:c>
    </x:row>
    <x:row r="502">
      <x:c r="A502" t="str">
        <x:v>MI|Bousculeur|9</x:v>
      </x:c>
      <x:c r="B502" t="str">
        <x:v>Mineur</x:v>
      </x:c>
      <x:c r="C502" t="str">
        <x:v>Bousculeur</x:v>
      </x:c>
      <x:c r="D502" t="n">
        <x:v>9</x:v>
      </x:c>
      <x:c r="E502" t="n">
        <x:v>6</x:v>
      </x:c>
      <x:c r="F502" t="n">
        <x:v>3</x:v>
      </x:c>
      <x:c r="G502" t="n">
        <x:v>0</x:v>
      </x:c>
      <x:c r="H502" t="n">
        <x:v>0</x:v>
      </x:c>
      <x:c r="I502" t="n">
        <x:v>0</x:v>
      </x:c>
      <x:c r="J502" t="n">
        <x:v>0</x:v>
      </x:c>
      <x:c r="K502" t="n">
        <x:v>0</x:v>
      </x:c>
      <x:c r="L502" t="n">
        <x:v>0</x:v>
      </x:c>
      <x:c r="M502" t="n">
        <x:v>0</x:v>
      </x:c>
    </x:row>
    <x:row r="503">
      <x:c r="A503" t="str">
        <x:v>MI|Bousculeur|10</x:v>
      </x:c>
      <x:c r="B503" t="str">
        <x:v>Mineur</x:v>
      </x:c>
      <x:c r="C503" t="str">
        <x:v>Bousculeur</x:v>
      </x:c>
      <x:c r="D503" t="n">
        <x:v>10</x:v>
      </x:c>
      <x:c r="E503" t="n">
        <x:v>7</x:v>
      </x:c>
      <x:c r="F503" t="n">
        <x:v>3</x:v>
      </x:c>
      <x:c r="G503" t="n">
        <x:v>0</x:v>
      </x:c>
      <x:c r="H503" t="n">
        <x:v>0</x:v>
      </x:c>
      <x:c r="I503" t="n">
        <x:v>0</x:v>
      </x:c>
      <x:c r="J503" t="n">
        <x:v>0</x:v>
      </x:c>
      <x:c r="K503" t="n">
        <x:v>0</x:v>
      </x:c>
      <x:c r="L503" t="n">
        <x:v>0</x:v>
      </x:c>
      <x:c r="M503" t="n">
        <x:v>0</x:v>
      </x:c>
    </x:row>
    <x:row r="504">
      <x:c r="A504" t="str">
        <x:v>MI|Bousculeur|11</x:v>
      </x:c>
      <x:c r="B504" t="str">
        <x:v>Mineur</x:v>
      </x:c>
      <x:c r="C504" t="str">
        <x:v>Bousculeur</x:v>
      </x:c>
      <x:c r="D504" t="n">
        <x:v>11</x:v>
      </x:c>
      <x:c r="E504" t="n">
        <x:v>7</x:v>
      </x:c>
      <x:c r="F504" t="n">
        <x:v>4</x:v>
      </x:c>
      <x:c r="G504" t="n">
        <x:v>0</x:v>
      </x:c>
      <x:c r="H504" t="n">
        <x:v>0</x:v>
      </x:c>
      <x:c r="I504" t="n">
        <x:v>0</x:v>
      </x:c>
      <x:c r="J504" t="n">
        <x:v>0</x:v>
      </x:c>
      <x:c r="K504" t="n">
        <x:v>0</x:v>
      </x:c>
      <x:c r="L504" t="n">
        <x:v>0</x:v>
      </x:c>
      <x:c r="M504" t="n">
        <x:v>0</x:v>
      </x:c>
    </x:row>
    <x:row r="505">
      <x:c r="A505" t="str">
        <x:v>MI|Bousculeur|12</x:v>
      </x:c>
      <x:c r="B505" t="str">
        <x:v>Mineur</x:v>
      </x:c>
      <x:c r="C505" t="str">
        <x:v>Bousculeur</x:v>
      </x:c>
      <x:c r="D505" t="n">
        <x:v>12</x:v>
      </x:c>
      <x:c r="E505" t="n">
        <x:v>8</x:v>
      </x:c>
      <x:c r="F505" t="n">
        <x:v>4</x:v>
      </x:c>
      <x:c r="G505" t="n">
        <x:v>0</x:v>
      </x:c>
      <x:c r="H505" t="n">
        <x:v>0</x:v>
      </x:c>
      <x:c r="I505" t="n">
        <x:v>0</x:v>
      </x:c>
      <x:c r="J505" t="n">
        <x:v>0</x:v>
      </x:c>
      <x:c r="K505" t="n">
        <x:v>0</x:v>
      </x:c>
      <x:c r="L505" t="n">
        <x:v>0</x:v>
      </x:c>
      <x:c r="M505" t="n">
        <x:v>0</x:v>
      </x:c>
    </x:row>
    <x:row r="506">
      <x:c r="A506" t="str">
        <x:v>MI|Bousculeur|13</x:v>
      </x:c>
      <x:c r="B506" t="str">
        <x:v>Mineur</x:v>
      </x:c>
      <x:c r="C506" t="str">
        <x:v>Bousculeur</x:v>
      </x:c>
      <x:c r="D506" t="n">
        <x:v>13</x:v>
      </x:c>
      <x:c r="E506" t="n">
        <x:v>8</x:v>
      </x:c>
      <x:c r="F506" t="n">
        <x:v>5</x:v>
      </x:c>
      <x:c r="G506" t="n">
        <x:v>0</x:v>
      </x:c>
      <x:c r="H506" t="n">
        <x:v>0</x:v>
      </x:c>
      <x:c r="I506" t="n">
        <x:v>0</x:v>
      </x:c>
      <x:c r="J506" t="n">
        <x:v>0</x:v>
      </x:c>
      <x:c r="K506" t="n">
        <x:v>0</x:v>
      </x:c>
      <x:c r="L506" t="n">
        <x:v>0</x:v>
      </x:c>
      <x:c r="M506" t="n">
        <x:v>0</x:v>
      </x:c>
    </x:row>
    <x:row r="507">
      <x:c r="A507" t="str">
        <x:v>MI|Bousculeur|14</x:v>
      </x:c>
      <x:c r="B507" t="str">
        <x:v>Mineur</x:v>
      </x:c>
      <x:c r="C507" t="str">
        <x:v>Bousculeur</x:v>
      </x:c>
      <x:c r="D507" t="n">
        <x:v>14</x:v>
      </x:c>
      <x:c r="E507" t="n">
        <x:v>9</x:v>
      </x:c>
      <x:c r="F507" t="n">
        <x:v>5</x:v>
      </x:c>
      <x:c r="G507" t="n">
        <x:v>0</x:v>
      </x:c>
      <x:c r="H507" t="n">
        <x:v>0</x:v>
      </x:c>
      <x:c r="I507" t="n">
        <x:v>0</x:v>
      </x:c>
      <x:c r="J507" t="n">
        <x:v>0</x:v>
      </x:c>
      <x:c r="K507" t="n">
        <x:v>0</x:v>
      </x:c>
      <x:c r="L507" t="n">
        <x:v>0</x:v>
      </x:c>
      <x:c r="M507" t="n">
        <x:v>0</x:v>
      </x:c>
    </x:row>
    <x:row r="508">
      <x:c r="A508" t="str">
        <x:v>MI|Bousculeur|15</x:v>
      </x:c>
      <x:c r="B508" t="str">
        <x:v>Mineur</x:v>
      </x:c>
      <x:c r="C508" t="str">
        <x:v>Bousculeur</x:v>
      </x:c>
      <x:c r="D508" t="n">
        <x:v>15</x:v>
      </x:c>
      <x:c r="E508" t="n">
        <x:v>10</x:v>
      </x:c>
      <x:c r="F508" t="n">
        <x:v>5</x:v>
      </x:c>
      <x:c r="G508" t="n">
        <x:v>0</x:v>
      </x:c>
      <x:c r="H508" t="n">
        <x:v>0</x:v>
      </x:c>
      <x:c r="I508" t="n">
        <x:v>0</x:v>
      </x:c>
      <x:c r="J508" t="n">
        <x:v>0</x:v>
      </x:c>
      <x:c r="K508" t="n">
        <x:v>0</x:v>
      </x:c>
      <x:c r="L508" t="n">
        <x:v>0</x:v>
      </x:c>
      <x:c r="M508" t="n">
        <x:v>0</x:v>
      </x:c>
    </x:row>
    <x:row r="509">
      <x:c r="A509" t="str">
        <x:v>MI|Bousculeur|16</x:v>
      </x:c>
      <x:c r="B509" t="str">
        <x:v>Mineur</x:v>
      </x:c>
      <x:c r="C509" t="str">
        <x:v>Bousculeur</x:v>
      </x:c>
      <x:c r="D509" t="n">
        <x:v>16</x:v>
      </x:c>
      <x:c r="E509" t="n">
        <x:v>10</x:v>
      </x:c>
      <x:c r="F509" t="n">
        <x:v>6</x:v>
      </x:c>
      <x:c r="G509" t="n">
        <x:v>0</x:v>
      </x:c>
      <x:c r="H509" t="n">
        <x:v>0</x:v>
      </x:c>
      <x:c r="I509" t="n">
        <x:v>0</x:v>
      </x:c>
      <x:c r="J509" t="n">
        <x:v>0</x:v>
      </x:c>
      <x:c r="K509" t="n">
        <x:v>0</x:v>
      </x:c>
      <x:c r="L509" t="n">
        <x:v>0</x:v>
      </x:c>
      <x:c r="M509" t="n">
        <x:v>0</x:v>
      </x:c>
    </x:row>
    <x:row r="510">
      <x:c r="A510" t="str">
        <x:v>MI|Bousculeur|17</x:v>
      </x:c>
      <x:c r="B510" t="str">
        <x:v>Mineur</x:v>
      </x:c>
      <x:c r="C510" t="str">
        <x:v>Bousculeur</x:v>
      </x:c>
      <x:c r="D510" t="n">
        <x:v>17</x:v>
      </x:c>
      <x:c r="E510" t="n">
        <x:v>11</x:v>
      </x:c>
      <x:c r="F510" t="n">
        <x:v>6</x:v>
      </x:c>
      <x:c r="G510" t="n">
        <x:v>0</x:v>
      </x:c>
      <x:c r="H510" t="n">
        <x:v>0</x:v>
      </x:c>
      <x:c r="I510" t="n">
        <x:v>0</x:v>
      </x:c>
      <x:c r="J510" t="n">
        <x:v>0</x:v>
      </x:c>
      <x:c r="K510" t="n">
        <x:v>0</x:v>
      </x:c>
      <x:c r="L510" t="n">
        <x:v>0</x:v>
      </x:c>
      <x:c r="M510" t="n">
        <x:v>0</x:v>
      </x:c>
    </x:row>
    <x:row r="511">
      <x:c r="A511" t="str">
        <x:v>MI|Bousculeur|18</x:v>
      </x:c>
      <x:c r="B511" t="str">
        <x:v>Mineur</x:v>
      </x:c>
      <x:c r="C511" t="str">
        <x:v>Bousculeur</x:v>
      </x:c>
      <x:c r="D511" t="n">
        <x:v>18</x:v>
      </x:c>
      <x:c r="E511" t="n">
        <x:v>12</x:v>
      </x:c>
      <x:c r="F511" t="n">
        <x:v>6</x:v>
      </x:c>
      <x:c r="G511" t="n">
        <x:v>0</x:v>
      </x:c>
      <x:c r="H511" t="n">
        <x:v>0</x:v>
      </x:c>
      <x:c r="I511" t="n">
        <x:v>0</x:v>
      </x:c>
      <x:c r="J511" t="n">
        <x:v>0</x:v>
      </x:c>
      <x:c r="K511" t="n">
        <x:v>0</x:v>
      </x:c>
      <x:c r="L511" t="n">
        <x:v>0</x:v>
      </x:c>
      <x:c r="M511" t="n">
        <x:v>0</x:v>
      </x:c>
    </x:row>
    <x:row r="512">
      <x:c r="A512" t="str">
        <x:v>MI|Bousculeur|19</x:v>
      </x:c>
      <x:c r="B512" t="str">
        <x:v>Mineur</x:v>
      </x:c>
      <x:c r="C512" t="str">
        <x:v>Bousculeur</x:v>
      </x:c>
      <x:c r="D512" t="n">
        <x:v>19</x:v>
      </x:c>
      <x:c r="E512" t="n">
        <x:v>12</x:v>
      </x:c>
      <x:c r="F512" t="n">
        <x:v>7</x:v>
      </x:c>
      <x:c r="G512" t="n">
        <x:v>0</x:v>
      </x:c>
      <x:c r="H512" t="n">
        <x:v>0</x:v>
      </x:c>
      <x:c r="I512" t="n">
        <x:v>0</x:v>
      </x:c>
      <x:c r="J512" t="n">
        <x:v>0</x:v>
      </x:c>
      <x:c r="K512" t="n">
        <x:v>0</x:v>
      </x:c>
      <x:c r="L512" t="n">
        <x:v>0</x:v>
      </x:c>
      <x:c r="M512" t="n">
        <x:v>0</x:v>
      </x:c>
    </x:row>
    <x:row r="513">
      <x:c r="A513" t="str">
        <x:v>MI|Bousculeur|20</x:v>
      </x:c>
      <x:c r="B513" t="str">
        <x:v>Mineur</x:v>
      </x:c>
      <x:c r="C513" t="str">
        <x:v>Bousculeur</x:v>
      </x:c>
      <x:c r="D513" t="n">
        <x:v>20</x:v>
      </x:c>
      <x:c r="E513" t="n">
        <x:v>13</x:v>
      </x:c>
      <x:c r="F513" t="n">
        <x:v>7</x:v>
      </x:c>
      <x:c r="G513" t="n">
        <x:v>0</x:v>
      </x:c>
      <x:c r="H513" t="n">
        <x:v>0</x:v>
      </x:c>
      <x:c r="I513" t="n">
        <x:v>0</x:v>
      </x:c>
      <x:c r="J513" t="n">
        <x:v>0</x:v>
      </x:c>
      <x:c r="K513" t="n">
        <x:v>0</x:v>
      </x:c>
      <x:c r="L513" t="n">
        <x:v>0</x:v>
      </x:c>
      <x:c r="M513" t="n">
        <x:v>0</x:v>
      </x:c>
    </x:row>
    <x:row r="514">
      <x:c r="A514" t="str">
        <x:v>MI|Bousculeur|21</x:v>
      </x:c>
      <x:c r="B514" t="str">
        <x:v>Mineur</x:v>
      </x:c>
      <x:c r="C514" t="str">
        <x:v>Bousculeur</x:v>
      </x:c>
      <x:c r="D514" t="n">
        <x:v>21</x:v>
      </x:c>
      <x:c r="E514" t="n">
        <x:v>14</x:v>
      </x:c>
      <x:c r="F514" t="n">
        <x:v>7</x:v>
      </x:c>
      <x:c r="G514" t="n">
        <x:v>0</x:v>
      </x:c>
      <x:c r="H514" t="n">
        <x:v>0</x:v>
      </x:c>
      <x:c r="I514" t="n">
        <x:v>0</x:v>
      </x:c>
      <x:c r="J514" t="n">
        <x:v>0</x:v>
      </x:c>
      <x:c r="K514" t="n">
        <x:v>0</x:v>
      </x:c>
      <x:c r="L514" t="n">
        <x:v>0</x:v>
      </x:c>
      <x:c r="M514" t="n">
        <x:v>0</x:v>
      </x:c>
    </x:row>
    <x:row r="515">
      <x:c r="A515" t="str">
        <x:v>MI|Rapide|0</x:v>
      </x:c>
      <x:c r="B515" t="str">
        <x:v>Mineur</x:v>
      </x:c>
      <x:c r="C515" t="str">
        <x:v>Rapide</x:v>
      </x:c>
      <x:c r="D515" t="n">
        <x:v>0</x:v>
      </x:c>
      <x:c r="E515" t="n">
        <x:v>0</x:v>
      </x:c>
      <x:c r="F515" t="n">
        <x:v>0</x:v>
      </x:c>
      <x:c r="G515" t="n">
        <x:v>0</x:v>
      </x:c>
      <x:c r="H515" t="n">
        <x:v>0</x:v>
      </x:c>
      <x:c r="I515" t="n">
        <x:v>0</x:v>
      </x:c>
      <x:c r="J515" t="n">
        <x:v>0</x:v>
      </x:c>
      <x:c r="K515" t="n">
        <x:v>0</x:v>
      </x:c>
      <x:c r="L515" t="n">
        <x:v>0</x:v>
      </x:c>
      <x:c r="M515" t="n">
        <x:v>0</x:v>
      </x:c>
    </x:row>
    <x:row r="516">
      <x:c r="A516" t="str">
        <x:v>MI|Rapide|1</x:v>
      </x:c>
      <x:c r="B516" t="str">
        <x:v>Mineur</x:v>
      </x:c>
      <x:c r="C516" t="str">
        <x:v>Rapide</x:v>
      </x:c>
      <x:c r="D516" t="n">
        <x:v>1</x:v>
      </x:c>
      <x:c r="E516" t="n">
        <x:v>0</x:v>
      </x:c>
      <x:c r="F516" t="n">
        <x:v>1</x:v>
      </x:c>
      <x:c r="G516" t="n">
        <x:v>0</x:v>
      </x:c>
      <x:c r="H516" t="n">
        <x:v>0</x:v>
      </x:c>
      <x:c r="I516" t="n">
        <x:v>0</x:v>
      </x:c>
      <x:c r="J516" t="n">
        <x:v>0</x:v>
      </x:c>
      <x:c r="K516" t="n">
        <x:v>0</x:v>
      </x:c>
      <x:c r="L516" t="n">
        <x:v>0</x:v>
      </x:c>
      <x:c r="M516" t="n">
        <x:v>0</x:v>
      </x:c>
    </x:row>
    <x:row r="517">
      <x:c r="A517" t="str">
        <x:v>MI|Rapide|2</x:v>
      </x:c>
      <x:c r="B517" t="str">
        <x:v>Mineur</x:v>
      </x:c>
      <x:c r="C517" t="str">
        <x:v>Rapide</x:v>
      </x:c>
      <x:c r="D517" t="n">
        <x:v>2</x:v>
      </x:c>
      <x:c r="E517" t="n">
        <x:v>0</x:v>
      </x:c>
      <x:c r="F517" t="n">
        <x:v>1</x:v>
      </x:c>
      <x:c r="G517" t="n">
        <x:v>0</x:v>
      </x:c>
      <x:c r="H517" t="n">
        <x:v>0</x:v>
      </x:c>
      <x:c r="I517" t="n">
        <x:v>1</x:v>
      </x:c>
      <x:c r="J517" t="n">
        <x:v>0</x:v>
      </x:c>
      <x:c r="K517" t="n">
        <x:v>0</x:v>
      </x:c>
      <x:c r="L517" t="n">
        <x:v>0</x:v>
      </x:c>
      <x:c r="M517" t="n">
        <x:v>0</x:v>
      </x:c>
    </x:row>
    <x:row r="518">
      <x:c r="A518" t="str">
        <x:v>MI|Rapide|3</x:v>
      </x:c>
      <x:c r="B518" t="str">
        <x:v>Mineur</x:v>
      </x:c>
      <x:c r="C518" t="str">
        <x:v>Rapide</x:v>
      </x:c>
      <x:c r="D518" t="n">
        <x:v>3</x:v>
      </x:c>
      <x:c r="E518" t="n">
        <x:v>0</x:v>
      </x:c>
      <x:c r="F518" t="n">
        <x:v>2</x:v>
      </x:c>
      <x:c r="G518" t="n">
        <x:v>0</x:v>
      </x:c>
      <x:c r="H518" t="n">
        <x:v>0</x:v>
      </x:c>
      <x:c r="I518" t="n">
        <x:v>1</x:v>
      </x:c>
      <x:c r="J518" t="n">
        <x:v>0</x:v>
      </x:c>
      <x:c r="K518" t="n">
        <x:v>0</x:v>
      </x:c>
      <x:c r="L518" t="n">
        <x:v>0</x:v>
      </x:c>
      <x:c r="M518" t="n">
        <x:v>0</x:v>
      </x:c>
    </x:row>
    <x:row r="519">
      <x:c r="A519" t="str">
        <x:v>MI|Rapide|4</x:v>
      </x:c>
      <x:c r="B519" t="str">
        <x:v>Mineur</x:v>
      </x:c>
      <x:c r="C519" t="str">
        <x:v>Rapide</x:v>
      </x:c>
      <x:c r="D519" t="n">
        <x:v>4</x:v>
      </x:c>
      <x:c r="E519" t="n">
        <x:v>0</x:v>
      </x:c>
      <x:c r="F519" t="n">
        <x:v>3</x:v>
      </x:c>
      <x:c r="G519" t="n">
        <x:v>0</x:v>
      </x:c>
      <x:c r="H519" t="n">
        <x:v>0</x:v>
      </x:c>
      <x:c r="I519" t="n">
        <x:v>1</x:v>
      </x:c>
      <x:c r="J519" t="n">
        <x:v>0</x:v>
      </x:c>
      <x:c r="K519" t="n">
        <x:v>0</x:v>
      </x:c>
      <x:c r="L519" t="n">
        <x:v>0</x:v>
      </x:c>
      <x:c r="M519" t="n">
        <x:v>0</x:v>
      </x:c>
    </x:row>
    <x:row r="520">
      <x:c r="A520" t="str">
        <x:v>MI|Rapide|5</x:v>
      </x:c>
      <x:c r="B520" t="str">
        <x:v>Mineur</x:v>
      </x:c>
      <x:c r="C520" t="str">
        <x:v>Rapide</x:v>
      </x:c>
      <x:c r="D520" t="n">
        <x:v>5</x:v>
      </x:c>
      <x:c r="E520" t="n">
        <x:v>0</x:v>
      </x:c>
      <x:c r="F520" t="n">
        <x:v>3</x:v>
      </x:c>
      <x:c r="G520" t="n">
        <x:v>0</x:v>
      </x:c>
      <x:c r="H520" t="n">
        <x:v>0</x:v>
      </x:c>
      <x:c r="I520" t="n">
        <x:v>2</x:v>
      </x:c>
      <x:c r="J520" t="n">
        <x:v>0</x:v>
      </x:c>
      <x:c r="K520" t="n">
        <x:v>0</x:v>
      </x:c>
      <x:c r="L520" t="n">
        <x:v>0</x:v>
      </x:c>
      <x:c r="M520" t="n">
        <x:v>0</x:v>
      </x:c>
    </x:row>
    <x:row r="521">
      <x:c r="A521" t="str">
        <x:v>MI|Rapide|6</x:v>
      </x:c>
      <x:c r="B521" t="str">
        <x:v>Mineur</x:v>
      </x:c>
      <x:c r="C521" t="str">
        <x:v>Rapide</x:v>
      </x:c>
      <x:c r="D521" t="n">
        <x:v>6</x:v>
      </x:c>
      <x:c r="E521" t="n">
        <x:v>0</x:v>
      </x:c>
      <x:c r="F521" t="n">
        <x:v>4</x:v>
      </x:c>
      <x:c r="G521" t="n">
        <x:v>0</x:v>
      </x:c>
      <x:c r="H521" t="n">
        <x:v>0</x:v>
      </x:c>
      <x:c r="I521" t="n">
        <x:v>2</x:v>
      </x:c>
      <x:c r="J521" t="n">
        <x:v>0</x:v>
      </x:c>
      <x:c r="K521" t="n">
        <x:v>0</x:v>
      </x:c>
      <x:c r="L521" t="n">
        <x:v>0</x:v>
      </x:c>
      <x:c r="M521" t="n">
        <x:v>0</x:v>
      </x:c>
    </x:row>
    <x:row r="522">
      <x:c r="A522" t="str">
        <x:v>MI|Rapide|7</x:v>
      </x:c>
      <x:c r="B522" t="str">
        <x:v>Mineur</x:v>
      </x:c>
      <x:c r="C522" t="str">
        <x:v>Rapide</x:v>
      </x:c>
      <x:c r="D522" t="n">
        <x:v>7</x:v>
      </x:c>
      <x:c r="E522" t="n">
        <x:v>0</x:v>
      </x:c>
      <x:c r="F522" t="n">
        <x:v>5</x:v>
      </x:c>
      <x:c r="G522" t="n">
        <x:v>0</x:v>
      </x:c>
      <x:c r="H522" t="n">
        <x:v>0</x:v>
      </x:c>
      <x:c r="I522" t="n">
        <x:v>2</x:v>
      </x:c>
      <x:c r="J522" t="n">
        <x:v>0</x:v>
      </x:c>
      <x:c r="K522" t="n">
        <x:v>0</x:v>
      </x:c>
      <x:c r="L522" t="n">
        <x:v>0</x:v>
      </x:c>
      <x:c r="M522" t="n">
        <x:v>0</x:v>
      </x:c>
    </x:row>
    <x:row r="523">
      <x:c r="A523" t="str">
        <x:v>MI|Rapide|8</x:v>
      </x:c>
      <x:c r="B523" t="str">
        <x:v>Mineur</x:v>
      </x:c>
      <x:c r="C523" t="str">
        <x:v>Rapide</x:v>
      </x:c>
      <x:c r="D523" t="n">
        <x:v>8</x:v>
      </x:c>
      <x:c r="E523" t="n">
        <x:v>0</x:v>
      </x:c>
      <x:c r="F523" t="n">
        <x:v>5</x:v>
      </x:c>
      <x:c r="G523" t="n">
        <x:v>0</x:v>
      </x:c>
      <x:c r="H523" t="n">
        <x:v>0</x:v>
      </x:c>
      <x:c r="I523" t="n">
        <x:v>3</x:v>
      </x:c>
      <x:c r="J523" t="n">
        <x:v>0</x:v>
      </x:c>
      <x:c r="K523" t="n">
        <x:v>0</x:v>
      </x:c>
      <x:c r="L523" t="n">
        <x:v>0</x:v>
      </x:c>
      <x:c r="M523" t="n">
        <x:v>0</x:v>
      </x:c>
    </x:row>
    <x:row r="524">
      <x:c r="A524" t="str">
        <x:v>MI|Rapide|9</x:v>
      </x:c>
      <x:c r="B524" t="str">
        <x:v>Mineur</x:v>
      </x:c>
      <x:c r="C524" t="str">
        <x:v>Rapide</x:v>
      </x:c>
      <x:c r="D524" t="n">
        <x:v>9</x:v>
      </x:c>
      <x:c r="E524" t="n">
        <x:v>0</x:v>
      </x:c>
      <x:c r="F524" t="n">
        <x:v>6</x:v>
      </x:c>
      <x:c r="G524" t="n">
        <x:v>0</x:v>
      </x:c>
      <x:c r="H524" t="n">
        <x:v>0</x:v>
      </x:c>
      <x:c r="I524" t="n">
        <x:v>3</x:v>
      </x:c>
      <x:c r="J524" t="n">
        <x:v>0</x:v>
      </x:c>
      <x:c r="K524" t="n">
        <x:v>0</x:v>
      </x:c>
      <x:c r="L524" t="n">
        <x:v>0</x:v>
      </x:c>
      <x:c r="M524" t="n">
        <x:v>0</x:v>
      </x:c>
    </x:row>
    <x:row r="525">
      <x:c r="A525" t="str">
        <x:v>MI|Rapide|10</x:v>
      </x:c>
      <x:c r="B525" t="str">
        <x:v>Mineur</x:v>
      </x:c>
      <x:c r="C525" t="str">
        <x:v>Rapide</x:v>
      </x:c>
      <x:c r="D525" t="n">
        <x:v>10</x:v>
      </x:c>
      <x:c r="E525" t="n">
        <x:v>0</x:v>
      </x:c>
      <x:c r="F525" t="n">
        <x:v>7</x:v>
      </x:c>
      <x:c r="G525" t="n">
        <x:v>0</x:v>
      </x:c>
      <x:c r="H525" t="n">
        <x:v>0</x:v>
      </x:c>
      <x:c r="I525" t="n">
        <x:v>3</x:v>
      </x:c>
      <x:c r="J525" t="n">
        <x:v>0</x:v>
      </x:c>
      <x:c r="K525" t="n">
        <x:v>0</x:v>
      </x:c>
      <x:c r="L525" t="n">
        <x:v>0</x:v>
      </x:c>
      <x:c r="M525" t="n">
        <x:v>0</x:v>
      </x:c>
    </x:row>
    <x:row r="526">
      <x:c r="A526" t="str">
        <x:v>MI|Rapide|11</x:v>
      </x:c>
      <x:c r="B526" t="str">
        <x:v>Mineur</x:v>
      </x:c>
      <x:c r="C526" t="str">
        <x:v>Rapide</x:v>
      </x:c>
      <x:c r="D526" t="n">
        <x:v>11</x:v>
      </x:c>
      <x:c r="E526" t="n">
        <x:v>0</x:v>
      </x:c>
      <x:c r="F526" t="n">
        <x:v>7</x:v>
      </x:c>
      <x:c r="G526" t="n">
        <x:v>0</x:v>
      </x:c>
      <x:c r="H526" t="n">
        <x:v>0</x:v>
      </x:c>
      <x:c r="I526" t="n">
        <x:v>4</x:v>
      </x:c>
      <x:c r="J526" t="n">
        <x:v>0</x:v>
      </x:c>
      <x:c r="K526" t="n">
        <x:v>0</x:v>
      </x:c>
      <x:c r="L526" t="n">
        <x:v>0</x:v>
      </x:c>
      <x:c r="M526" t="n">
        <x:v>0</x:v>
      </x:c>
    </x:row>
    <x:row r="527">
      <x:c r="A527" t="str">
        <x:v>MI|Rapide|12</x:v>
      </x:c>
      <x:c r="B527" t="str">
        <x:v>Mineur</x:v>
      </x:c>
      <x:c r="C527" t="str">
        <x:v>Rapide</x:v>
      </x:c>
      <x:c r="D527" t="n">
        <x:v>12</x:v>
      </x:c>
      <x:c r="E527" t="n">
        <x:v>0</x:v>
      </x:c>
      <x:c r="F527" t="n">
        <x:v>8</x:v>
      </x:c>
      <x:c r="G527" t="n">
        <x:v>0</x:v>
      </x:c>
      <x:c r="H527" t="n">
        <x:v>0</x:v>
      </x:c>
      <x:c r="I527" t="n">
        <x:v>4</x:v>
      </x:c>
      <x:c r="J527" t="n">
        <x:v>0</x:v>
      </x:c>
      <x:c r="K527" t="n">
        <x:v>0</x:v>
      </x:c>
      <x:c r="L527" t="n">
        <x:v>0</x:v>
      </x:c>
      <x:c r="M527" t="n">
        <x:v>0</x:v>
      </x:c>
    </x:row>
    <x:row r="528">
      <x:c r="A528" t="str">
        <x:v>MI|Rapide|13</x:v>
      </x:c>
      <x:c r="B528" t="str">
        <x:v>Mineur</x:v>
      </x:c>
      <x:c r="C528" t="str">
        <x:v>Rapide</x:v>
      </x:c>
      <x:c r="D528" t="n">
        <x:v>13</x:v>
      </x:c>
      <x:c r="E528" t="n">
        <x:v>0</x:v>
      </x:c>
      <x:c r="F528" t="n">
        <x:v>8</x:v>
      </x:c>
      <x:c r="G528" t="n">
        <x:v>0</x:v>
      </x:c>
      <x:c r="H528" t="n">
        <x:v>0</x:v>
      </x:c>
      <x:c r="I528" t="n">
        <x:v>5</x:v>
      </x:c>
      <x:c r="J528" t="n">
        <x:v>0</x:v>
      </x:c>
      <x:c r="K528" t="n">
        <x:v>0</x:v>
      </x:c>
      <x:c r="L528" t="n">
        <x:v>0</x:v>
      </x:c>
      <x:c r="M528" t="n">
        <x:v>0</x:v>
      </x:c>
    </x:row>
    <x:row r="529">
      <x:c r="A529" t="str">
        <x:v>MI|Rapide|14</x:v>
      </x:c>
      <x:c r="B529" t="str">
        <x:v>Mineur</x:v>
      </x:c>
      <x:c r="C529" t="str">
        <x:v>Rapide</x:v>
      </x:c>
      <x:c r="D529" t="n">
        <x:v>14</x:v>
      </x:c>
      <x:c r="E529" t="n">
        <x:v>0</x:v>
      </x:c>
      <x:c r="F529" t="n">
        <x:v>9</x:v>
      </x:c>
      <x:c r="G529" t="n">
        <x:v>0</x:v>
      </x:c>
      <x:c r="H529" t="n">
        <x:v>0</x:v>
      </x:c>
      <x:c r="I529" t="n">
        <x:v>5</x:v>
      </x:c>
      <x:c r="J529" t="n">
        <x:v>0</x:v>
      </x:c>
      <x:c r="K529" t="n">
        <x:v>0</x:v>
      </x:c>
      <x:c r="L529" t="n">
        <x:v>0</x:v>
      </x:c>
      <x:c r="M529" t="n">
        <x:v>0</x:v>
      </x:c>
    </x:row>
    <x:row r="530">
      <x:c r="A530" t="str">
        <x:v>MI|Rapide|15</x:v>
      </x:c>
      <x:c r="B530" t="str">
        <x:v>Mineur</x:v>
      </x:c>
      <x:c r="C530" t="str">
        <x:v>Rapide</x:v>
      </x:c>
      <x:c r="D530" t="n">
        <x:v>15</x:v>
      </x:c>
      <x:c r="E530" t="n">
        <x:v>0</x:v>
      </x:c>
      <x:c r="F530" t="n">
        <x:v>10</x:v>
      </x:c>
      <x:c r="G530" t="n">
        <x:v>0</x:v>
      </x:c>
      <x:c r="H530" t="n">
        <x:v>0</x:v>
      </x:c>
      <x:c r="I530" t="n">
        <x:v>5</x:v>
      </x:c>
      <x:c r="J530" t="n">
        <x:v>0</x:v>
      </x:c>
      <x:c r="K530" t="n">
        <x:v>0</x:v>
      </x:c>
      <x:c r="L530" t="n">
        <x:v>0</x:v>
      </x:c>
      <x:c r="M530" t="n">
        <x:v>0</x:v>
      </x:c>
    </x:row>
    <x:row r="531">
      <x:c r="A531" t="str">
        <x:v>MI|Rapide|16</x:v>
      </x:c>
      <x:c r="B531" t="str">
        <x:v>Mineur</x:v>
      </x:c>
      <x:c r="C531" t="str">
        <x:v>Rapide</x:v>
      </x:c>
      <x:c r="D531" t="n">
        <x:v>16</x:v>
      </x:c>
      <x:c r="E531" t="n">
        <x:v>0</x:v>
      </x:c>
      <x:c r="F531" t="n">
        <x:v>10</x:v>
      </x:c>
      <x:c r="G531" t="n">
        <x:v>0</x:v>
      </x:c>
      <x:c r="H531" t="n">
        <x:v>0</x:v>
      </x:c>
      <x:c r="I531" t="n">
        <x:v>6</x:v>
      </x:c>
      <x:c r="J531" t="n">
        <x:v>0</x:v>
      </x:c>
      <x:c r="K531" t="n">
        <x:v>0</x:v>
      </x:c>
      <x:c r="L531" t="n">
        <x:v>0</x:v>
      </x:c>
      <x:c r="M531" t="n">
        <x:v>0</x:v>
      </x:c>
    </x:row>
    <x:row r="532">
      <x:c r="A532" t="str">
        <x:v>MI|Rapide|17</x:v>
      </x:c>
      <x:c r="B532" t="str">
        <x:v>Mineur</x:v>
      </x:c>
      <x:c r="C532" t="str">
        <x:v>Rapide</x:v>
      </x:c>
      <x:c r="D532" t="n">
        <x:v>17</x:v>
      </x:c>
      <x:c r="E532" t="n">
        <x:v>0</x:v>
      </x:c>
      <x:c r="F532" t="n">
        <x:v>11</x:v>
      </x:c>
      <x:c r="G532" t="n">
        <x:v>0</x:v>
      </x:c>
      <x:c r="H532" t="n">
        <x:v>0</x:v>
      </x:c>
      <x:c r="I532" t="n">
        <x:v>6</x:v>
      </x:c>
      <x:c r="J532" t="n">
        <x:v>0</x:v>
      </x:c>
      <x:c r="K532" t="n">
        <x:v>0</x:v>
      </x:c>
      <x:c r="L532" t="n">
        <x:v>0</x:v>
      </x:c>
      <x:c r="M532" t="n">
        <x:v>0</x:v>
      </x:c>
    </x:row>
    <x:row r="533">
      <x:c r="A533" t="str">
        <x:v>MI|Rapide|18</x:v>
      </x:c>
      <x:c r="B533" t="str">
        <x:v>Mineur</x:v>
      </x:c>
      <x:c r="C533" t="str">
        <x:v>Rapide</x:v>
      </x:c>
      <x:c r="D533" t="n">
        <x:v>18</x:v>
      </x:c>
      <x:c r="E533" t="n">
        <x:v>0</x:v>
      </x:c>
      <x:c r="F533" t="n">
        <x:v>12</x:v>
      </x:c>
      <x:c r="G533" t="n">
        <x:v>0</x:v>
      </x:c>
      <x:c r="H533" t="n">
        <x:v>0</x:v>
      </x:c>
      <x:c r="I533" t="n">
        <x:v>6</x:v>
      </x:c>
      <x:c r="J533" t="n">
        <x:v>0</x:v>
      </x:c>
      <x:c r="K533" t="n">
        <x:v>0</x:v>
      </x:c>
      <x:c r="L533" t="n">
        <x:v>0</x:v>
      </x:c>
      <x:c r="M533" t="n">
        <x:v>0</x:v>
      </x:c>
    </x:row>
    <x:row r="534">
      <x:c r="A534" t="str">
        <x:v>MI|Rapide|19</x:v>
      </x:c>
      <x:c r="B534" t="str">
        <x:v>Mineur</x:v>
      </x:c>
      <x:c r="C534" t="str">
        <x:v>Rapide</x:v>
      </x:c>
      <x:c r="D534" t="n">
        <x:v>19</x:v>
      </x:c>
      <x:c r="E534" t="n">
        <x:v>0</x:v>
      </x:c>
      <x:c r="F534" t="n">
        <x:v>12</x:v>
      </x:c>
      <x:c r="G534" t="n">
        <x:v>0</x:v>
      </x:c>
      <x:c r="H534" t="n">
        <x:v>0</x:v>
      </x:c>
      <x:c r="I534" t="n">
        <x:v>7</x:v>
      </x:c>
      <x:c r="J534" t="n">
        <x:v>0</x:v>
      </x:c>
      <x:c r="K534" t="n">
        <x:v>0</x:v>
      </x:c>
      <x:c r="L534" t="n">
        <x:v>0</x:v>
      </x:c>
      <x:c r="M534" t="n">
        <x:v>0</x:v>
      </x:c>
    </x:row>
    <x:row r="535">
      <x:c r="A535" t="str">
        <x:v>MI|Rapide|20</x:v>
      </x:c>
      <x:c r="B535" t="str">
        <x:v>Mineur</x:v>
      </x:c>
      <x:c r="C535" t="str">
        <x:v>Rapide</x:v>
      </x:c>
      <x:c r="D535" t="n">
        <x:v>20</x:v>
      </x:c>
      <x:c r="E535" t="n">
        <x:v>0</x:v>
      </x:c>
      <x:c r="F535" t="n">
        <x:v>13</x:v>
      </x:c>
      <x:c r="G535" t="n">
        <x:v>0</x:v>
      </x:c>
      <x:c r="H535" t="n">
        <x:v>0</x:v>
      </x:c>
      <x:c r="I535" t="n">
        <x:v>7</x:v>
      </x:c>
      <x:c r="J535" t="n">
        <x:v>0</x:v>
      </x:c>
      <x:c r="K535" t="n">
        <x:v>0</x:v>
      </x:c>
      <x:c r="L535" t="n">
        <x:v>0</x:v>
      </x:c>
      <x:c r="M535" t="n">
        <x:v>0</x:v>
      </x:c>
    </x:row>
    <x:row r="536">
      <x:c r="A536" t="str">
        <x:v>MI|Rapide|21</x:v>
      </x:c>
      <x:c r="B536" t="str">
        <x:v>Mineur</x:v>
      </x:c>
      <x:c r="C536" t="str">
        <x:v>Rapide</x:v>
      </x:c>
      <x:c r="D536" t="n">
        <x:v>21</x:v>
      </x:c>
      <x:c r="E536" t="n">
        <x:v>0</x:v>
      </x:c>
      <x:c r="F536" t="n">
        <x:v>14</x:v>
      </x:c>
      <x:c r="G536" t="n">
        <x:v>0</x:v>
      </x:c>
      <x:c r="H536" t="n">
        <x:v>0</x:v>
      </x:c>
      <x:c r="I536" t="n">
        <x:v>7</x:v>
      </x:c>
      <x:c r="J536" t="n">
        <x:v>0</x:v>
      </x:c>
      <x:c r="K536" t="n">
        <x:v>0</x:v>
      </x:c>
      <x:c r="L536" t="n">
        <x:v>0</x:v>
      </x:c>
      <x:c r="M536" t="n">
        <x:v>0</x:v>
      </x:c>
    </x:row>
    <x:row r="537">
      <x:c r="A537" t="str">
        <x:v>MI|Souple|0</x:v>
      </x:c>
      <x:c r="B537" t="str">
        <x:v>Mineur</x:v>
      </x:c>
      <x:c r="C537" t="str">
        <x:v>Souple</x:v>
      </x:c>
      <x:c r="D537" t="n">
        <x:v>0</x:v>
      </x:c>
      <x:c r="E537" t="n">
        <x:v>0</x:v>
      </x:c>
      <x:c r="F537" t="n">
        <x:v>0</x:v>
      </x:c>
      <x:c r="G537" t="n">
        <x:v>0</x:v>
      </x:c>
      <x:c r="H537" t="n">
        <x:v>0</x:v>
      </x:c>
      <x:c r="I537" t="n">
        <x:v>0</x:v>
      </x:c>
      <x:c r="J537" t="n">
        <x:v>0</x:v>
      </x:c>
      <x:c r="K537" t="n">
        <x:v>0</x:v>
      </x:c>
      <x:c r="L537" t="n">
        <x:v>0</x:v>
      </x:c>
      <x:c r="M537" t="n">
        <x:v>0</x:v>
      </x:c>
    </x:row>
    <x:row r="538">
      <x:c r="A538" t="str">
        <x:v>MI|Souple|1</x:v>
      </x:c>
      <x:c r="B538" t="str">
        <x:v>Mineur</x:v>
      </x:c>
      <x:c r="C538" t="str">
        <x:v>Souple</x:v>
      </x:c>
      <x:c r="D538" t="n">
        <x:v>1</x:v>
      </x:c>
      <x:c r="E538" t="n">
        <x:v>0</x:v>
      </x:c>
      <x:c r="F538" t="n">
        <x:v>1</x:v>
      </x:c>
      <x:c r="G538" t="n">
        <x:v>0</x:v>
      </x:c>
      <x:c r="H538" t="n">
        <x:v>0</x:v>
      </x:c>
      <x:c r="I538" t="n">
        <x:v>0</x:v>
      </x:c>
      <x:c r="J538" t="n">
        <x:v>0</x:v>
      </x:c>
      <x:c r="K538" t="n">
        <x:v>0</x:v>
      </x:c>
      <x:c r="L538" t="n">
        <x:v>0</x:v>
      </x:c>
      <x:c r="M538" t="n">
        <x:v>0</x:v>
      </x:c>
    </x:row>
    <x:row r="539">
      <x:c r="A539" t="str">
        <x:v>MI|Souple|2</x:v>
      </x:c>
      <x:c r="B539" t="str">
        <x:v>Mineur</x:v>
      </x:c>
      <x:c r="C539" t="str">
        <x:v>Souple</x:v>
      </x:c>
      <x:c r="D539" t="n">
        <x:v>2</x:v>
      </x:c>
      <x:c r="E539" t="n">
        <x:v>0</x:v>
      </x:c>
      <x:c r="F539" t="n">
        <x:v>1</x:v>
      </x:c>
      <x:c r="G539" t="n">
        <x:v>1</x:v>
      </x:c>
      <x:c r="H539" t="n">
        <x:v>0</x:v>
      </x:c>
      <x:c r="I539" t="n">
        <x:v>0</x:v>
      </x:c>
      <x:c r="J539" t="n">
        <x:v>0</x:v>
      </x:c>
      <x:c r="K539" t="n">
        <x:v>0</x:v>
      </x:c>
      <x:c r="L539" t="n">
        <x:v>0</x:v>
      </x:c>
      <x:c r="M539" t="n">
        <x:v>0</x:v>
      </x:c>
    </x:row>
    <x:row r="540">
      <x:c r="A540" t="str">
        <x:v>MI|Souple|3</x:v>
      </x:c>
      <x:c r="B540" t="str">
        <x:v>Mineur</x:v>
      </x:c>
      <x:c r="C540" t="str">
        <x:v>Souple</x:v>
      </x:c>
      <x:c r="D540" t="n">
        <x:v>3</x:v>
      </x:c>
      <x:c r="E540" t="n">
        <x:v>0</x:v>
      </x:c>
      <x:c r="F540" t="n">
        <x:v>2</x:v>
      </x:c>
      <x:c r="G540" t="n">
        <x:v>1</x:v>
      </x:c>
      <x:c r="H540" t="n">
        <x:v>0</x:v>
      </x:c>
      <x:c r="I540" t="n">
        <x:v>0</x:v>
      </x:c>
      <x:c r="J540" t="n">
        <x:v>0</x:v>
      </x:c>
      <x:c r="K540" t="n">
        <x:v>0</x:v>
      </x:c>
      <x:c r="L540" t="n">
        <x:v>0</x:v>
      </x:c>
      <x:c r="M540" t="n">
        <x:v>0</x:v>
      </x:c>
    </x:row>
    <x:row r="541">
      <x:c r="A541" t="str">
        <x:v>MI|Souple|4</x:v>
      </x:c>
      <x:c r="B541" t="str">
        <x:v>Mineur</x:v>
      </x:c>
      <x:c r="C541" t="str">
        <x:v>Souple</x:v>
      </x:c>
      <x:c r="D541" t="n">
        <x:v>4</x:v>
      </x:c>
      <x:c r="E541" t="n">
        <x:v>0</x:v>
      </x:c>
      <x:c r="F541" t="n">
        <x:v>3</x:v>
      </x:c>
      <x:c r="G541" t="n">
        <x:v>1</x:v>
      </x:c>
      <x:c r="H541" t="n">
        <x:v>0</x:v>
      </x:c>
      <x:c r="I541" t="n">
        <x:v>0</x:v>
      </x:c>
      <x:c r="J541" t="n">
        <x:v>0</x:v>
      </x:c>
      <x:c r="K541" t="n">
        <x:v>0</x:v>
      </x:c>
      <x:c r="L541" t="n">
        <x:v>0</x:v>
      </x:c>
      <x:c r="M541" t="n">
        <x:v>0</x:v>
      </x:c>
    </x:row>
    <x:row r="542">
      <x:c r="A542" t="str">
        <x:v>MI|Souple|5</x:v>
      </x:c>
      <x:c r="B542" t="str">
        <x:v>Mineur</x:v>
      </x:c>
      <x:c r="C542" t="str">
        <x:v>Souple</x:v>
      </x:c>
      <x:c r="D542" t="n">
        <x:v>5</x:v>
      </x:c>
      <x:c r="E542" t="n">
        <x:v>0</x:v>
      </x:c>
      <x:c r="F542" t="n">
        <x:v>3</x:v>
      </x:c>
      <x:c r="G542" t="n">
        <x:v>2</x:v>
      </x:c>
      <x:c r="H542" t="n">
        <x:v>0</x:v>
      </x:c>
      <x:c r="I542" t="n">
        <x:v>0</x:v>
      </x:c>
      <x:c r="J542" t="n">
        <x:v>0</x:v>
      </x:c>
      <x:c r="K542" t="n">
        <x:v>0</x:v>
      </x:c>
      <x:c r="L542" t="n">
        <x:v>0</x:v>
      </x:c>
      <x:c r="M542" t="n">
        <x:v>0</x:v>
      </x:c>
    </x:row>
    <x:row r="543">
      <x:c r="A543" t="str">
        <x:v>MI|Souple|6</x:v>
      </x:c>
      <x:c r="B543" t="str">
        <x:v>Mineur</x:v>
      </x:c>
      <x:c r="C543" t="str">
        <x:v>Souple</x:v>
      </x:c>
      <x:c r="D543" t="n">
        <x:v>6</x:v>
      </x:c>
      <x:c r="E543" t="n">
        <x:v>0</x:v>
      </x:c>
      <x:c r="F543" t="n">
        <x:v>4</x:v>
      </x:c>
      <x:c r="G543" t="n">
        <x:v>2</x:v>
      </x:c>
      <x:c r="H543" t="n">
        <x:v>0</x:v>
      </x:c>
      <x:c r="I543" t="n">
        <x:v>0</x:v>
      </x:c>
      <x:c r="J543" t="n">
        <x:v>0</x:v>
      </x:c>
      <x:c r="K543" t="n">
        <x:v>0</x:v>
      </x:c>
      <x:c r="L543" t="n">
        <x:v>0</x:v>
      </x:c>
      <x:c r="M543" t="n">
        <x:v>0</x:v>
      </x:c>
    </x:row>
    <x:row r="544">
      <x:c r="A544" t="str">
        <x:v>MI|Souple|7</x:v>
      </x:c>
      <x:c r="B544" t="str">
        <x:v>Mineur</x:v>
      </x:c>
      <x:c r="C544" t="str">
        <x:v>Souple</x:v>
      </x:c>
      <x:c r="D544" t="n">
        <x:v>7</x:v>
      </x:c>
      <x:c r="E544" t="n">
        <x:v>0</x:v>
      </x:c>
      <x:c r="F544" t="n">
        <x:v>5</x:v>
      </x:c>
      <x:c r="G544" t="n">
        <x:v>2</x:v>
      </x:c>
      <x:c r="H544" t="n">
        <x:v>0</x:v>
      </x:c>
      <x:c r="I544" t="n">
        <x:v>0</x:v>
      </x:c>
      <x:c r="J544" t="n">
        <x:v>0</x:v>
      </x:c>
      <x:c r="K544" t="n">
        <x:v>0</x:v>
      </x:c>
      <x:c r="L544" t="n">
        <x:v>0</x:v>
      </x:c>
      <x:c r="M544" t="n">
        <x:v>0</x:v>
      </x:c>
    </x:row>
    <x:row r="545">
      <x:c r="A545" t="str">
        <x:v>MI|Souple|8</x:v>
      </x:c>
      <x:c r="B545" t="str">
        <x:v>Mineur</x:v>
      </x:c>
      <x:c r="C545" t="str">
        <x:v>Souple</x:v>
      </x:c>
      <x:c r="D545" t="n">
        <x:v>8</x:v>
      </x:c>
      <x:c r="E545" t="n">
        <x:v>0</x:v>
      </x:c>
      <x:c r="F545" t="n">
        <x:v>5</x:v>
      </x:c>
      <x:c r="G545" t="n">
        <x:v>3</x:v>
      </x:c>
      <x:c r="H545" t="n">
        <x:v>0</x:v>
      </x:c>
      <x:c r="I545" t="n">
        <x:v>0</x:v>
      </x:c>
      <x:c r="J545" t="n">
        <x:v>0</x:v>
      </x:c>
      <x:c r="K545" t="n">
        <x:v>0</x:v>
      </x:c>
      <x:c r="L545" t="n">
        <x:v>0</x:v>
      </x:c>
      <x:c r="M545" t="n">
        <x:v>0</x:v>
      </x:c>
    </x:row>
    <x:row r="546">
      <x:c r="A546" t="str">
        <x:v>MI|Souple|9</x:v>
      </x:c>
      <x:c r="B546" t="str">
        <x:v>Mineur</x:v>
      </x:c>
      <x:c r="C546" t="str">
        <x:v>Souple</x:v>
      </x:c>
      <x:c r="D546" t="n">
        <x:v>9</x:v>
      </x:c>
      <x:c r="E546" t="n">
        <x:v>0</x:v>
      </x:c>
      <x:c r="F546" t="n">
        <x:v>6</x:v>
      </x:c>
      <x:c r="G546" t="n">
        <x:v>3</x:v>
      </x:c>
      <x:c r="H546" t="n">
        <x:v>0</x:v>
      </x:c>
      <x:c r="I546" t="n">
        <x:v>0</x:v>
      </x:c>
      <x:c r="J546" t="n">
        <x:v>0</x:v>
      </x:c>
      <x:c r="K546" t="n">
        <x:v>0</x:v>
      </x:c>
      <x:c r="L546" t="n">
        <x:v>0</x:v>
      </x:c>
      <x:c r="M546" t="n">
        <x:v>0</x:v>
      </x:c>
    </x:row>
    <x:row r="547">
      <x:c r="A547" t="str">
        <x:v>MI|Souple|10</x:v>
      </x:c>
      <x:c r="B547" t="str">
        <x:v>Mineur</x:v>
      </x:c>
      <x:c r="C547" t="str">
        <x:v>Souple</x:v>
      </x:c>
      <x:c r="D547" t="n">
        <x:v>10</x:v>
      </x:c>
      <x:c r="E547" t="n">
        <x:v>0</x:v>
      </x:c>
      <x:c r="F547" t="n">
        <x:v>7</x:v>
      </x:c>
      <x:c r="G547" t="n">
        <x:v>3</x:v>
      </x:c>
      <x:c r="H547" t="n">
        <x:v>0</x:v>
      </x:c>
      <x:c r="I547" t="n">
        <x:v>0</x:v>
      </x:c>
      <x:c r="J547" t="n">
        <x:v>0</x:v>
      </x:c>
      <x:c r="K547" t="n">
        <x:v>0</x:v>
      </x:c>
      <x:c r="L547" t="n">
        <x:v>0</x:v>
      </x:c>
      <x:c r="M547" t="n">
        <x:v>0</x:v>
      </x:c>
    </x:row>
    <x:row r="548">
      <x:c r="A548" t="str">
        <x:v>MI|Souple|11</x:v>
      </x:c>
      <x:c r="B548" t="str">
        <x:v>Mineur</x:v>
      </x:c>
      <x:c r="C548" t="str">
        <x:v>Souple</x:v>
      </x:c>
      <x:c r="D548" t="n">
        <x:v>11</x:v>
      </x:c>
      <x:c r="E548" t="n">
        <x:v>0</x:v>
      </x:c>
      <x:c r="F548" t="n">
        <x:v>7</x:v>
      </x:c>
      <x:c r="G548" t="n">
        <x:v>4</x:v>
      </x:c>
      <x:c r="H548" t="n">
        <x:v>0</x:v>
      </x:c>
      <x:c r="I548" t="n">
        <x:v>0</x:v>
      </x:c>
      <x:c r="J548" t="n">
        <x:v>0</x:v>
      </x:c>
      <x:c r="K548" t="n">
        <x:v>0</x:v>
      </x:c>
      <x:c r="L548" t="n">
        <x:v>0</x:v>
      </x:c>
      <x:c r="M548" t="n">
        <x:v>0</x:v>
      </x:c>
    </x:row>
    <x:row r="549">
      <x:c r="A549" t="str">
        <x:v>MI|Souple|12</x:v>
      </x:c>
      <x:c r="B549" t="str">
        <x:v>Mineur</x:v>
      </x:c>
      <x:c r="C549" t="str">
        <x:v>Souple</x:v>
      </x:c>
      <x:c r="D549" t="n">
        <x:v>12</x:v>
      </x:c>
      <x:c r="E549" t="n">
        <x:v>0</x:v>
      </x:c>
      <x:c r="F549" t="n">
        <x:v>8</x:v>
      </x:c>
      <x:c r="G549" t="n">
        <x:v>4</x:v>
      </x:c>
      <x:c r="H549" t="n">
        <x:v>0</x:v>
      </x:c>
      <x:c r="I549" t="n">
        <x:v>0</x:v>
      </x:c>
      <x:c r="J549" t="n">
        <x:v>0</x:v>
      </x:c>
      <x:c r="K549" t="n">
        <x:v>0</x:v>
      </x:c>
      <x:c r="L549" t="n">
        <x:v>0</x:v>
      </x:c>
      <x:c r="M549" t="n">
        <x:v>0</x:v>
      </x:c>
    </x:row>
    <x:row r="550">
      <x:c r="A550" t="str">
        <x:v>MI|Souple|13</x:v>
      </x:c>
      <x:c r="B550" t="str">
        <x:v>Mineur</x:v>
      </x:c>
      <x:c r="C550" t="str">
        <x:v>Souple</x:v>
      </x:c>
      <x:c r="D550" t="n">
        <x:v>13</x:v>
      </x:c>
      <x:c r="E550" t="n">
        <x:v>0</x:v>
      </x:c>
      <x:c r="F550" t="n">
        <x:v>8</x:v>
      </x:c>
      <x:c r="G550" t="n">
        <x:v>5</x:v>
      </x:c>
      <x:c r="H550" t="n">
        <x:v>0</x:v>
      </x:c>
      <x:c r="I550" t="n">
        <x:v>0</x:v>
      </x:c>
      <x:c r="J550" t="n">
        <x:v>0</x:v>
      </x:c>
      <x:c r="K550" t="n">
        <x:v>0</x:v>
      </x:c>
      <x:c r="L550" t="n">
        <x:v>0</x:v>
      </x:c>
      <x:c r="M550" t="n">
        <x:v>0</x:v>
      </x:c>
    </x:row>
    <x:row r="551">
      <x:c r="A551" t="str">
        <x:v>MI|Souple|14</x:v>
      </x:c>
      <x:c r="B551" t="str">
        <x:v>Mineur</x:v>
      </x:c>
      <x:c r="C551" t="str">
        <x:v>Souple</x:v>
      </x:c>
      <x:c r="D551" t="n">
        <x:v>14</x:v>
      </x:c>
      <x:c r="E551" t="n">
        <x:v>0</x:v>
      </x:c>
      <x:c r="F551" t="n">
        <x:v>9</x:v>
      </x:c>
      <x:c r="G551" t="n">
        <x:v>5</x:v>
      </x:c>
      <x:c r="H551" t="n">
        <x:v>0</x:v>
      </x:c>
      <x:c r="I551" t="n">
        <x:v>0</x:v>
      </x:c>
      <x:c r="J551" t="n">
        <x:v>0</x:v>
      </x:c>
      <x:c r="K551" t="n">
        <x:v>0</x:v>
      </x:c>
      <x:c r="L551" t="n">
        <x:v>0</x:v>
      </x:c>
      <x:c r="M551" t="n">
        <x:v>0</x:v>
      </x:c>
    </x:row>
    <x:row r="552">
      <x:c r="A552" t="str">
        <x:v>MI|Souple|15</x:v>
      </x:c>
      <x:c r="B552" t="str">
        <x:v>Mineur</x:v>
      </x:c>
      <x:c r="C552" t="str">
        <x:v>Souple</x:v>
      </x:c>
      <x:c r="D552" t="n">
        <x:v>15</x:v>
      </x:c>
      <x:c r="E552" t="n">
        <x:v>0</x:v>
      </x:c>
      <x:c r="F552" t="n">
        <x:v>10</x:v>
      </x:c>
      <x:c r="G552" t="n">
        <x:v>5</x:v>
      </x:c>
      <x:c r="H552" t="n">
        <x:v>0</x:v>
      </x:c>
      <x:c r="I552" t="n">
        <x:v>0</x:v>
      </x:c>
      <x:c r="J552" t="n">
        <x:v>0</x:v>
      </x:c>
      <x:c r="K552" t="n">
        <x:v>0</x:v>
      </x:c>
      <x:c r="L552" t="n">
        <x:v>0</x:v>
      </x:c>
      <x:c r="M552" t="n">
        <x:v>0</x:v>
      </x:c>
    </x:row>
    <x:row r="553">
      <x:c r="A553" t="str">
        <x:v>MI|Souple|16</x:v>
      </x:c>
      <x:c r="B553" t="str">
        <x:v>Mineur</x:v>
      </x:c>
      <x:c r="C553" t="str">
        <x:v>Souple</x:v>
      </x:c>
      <x:c r="D553" t="n">
        <x:v>16</x:v>
      </x:c>
      <x:c r="E553" t="n">
        <x:v>0</x:v>
      </x:c>
      <x:c r="F553" t="n">
        <x:v>10</x:v>
      </x:c>
      <x:c r="G553" t="n">
        <x:v>6</x:v>
      </x:c>
      <x:c r="H553" t="n">
        <x:v>0</x:v>
      </x:c>
      <x:c r="I553" t="n">
        <x:v>0</x:v>
      </x:c>
      <x:c r="J553" t="n">
        <x:v>0</x:v>
      </x:c>
      <x:c r="K553" t="n">
        <x:v>0</x:v>
      </x:c>
      <x:c r="L553" t="n">
        <x:v>0</x:v>
      </x:c>
      <x:c r="M553" t="n">
        <x:v>0</x:v>
      </x:c>
    </x:row>
    <x:row r="554">
      <x:c r="A554" t="str">
        <x:v>MI|Souple|17</x:v>
      </x:c>
      <x:c r="B554" t="str">
        <x:v>Mineur</x:v>
      </x:c>
      <x:c r="C554" t="str">
        <x:v>Souple</x:v>
      </x:c>
      <x:c r="D554" t="n">
        <x:v>17</x:v>
      </x:c>
      <x:c r="E554" t="n">
        <x:v>0</x:v>
      </x:c>
      <x:c r="F554" t="n">
        <x:v>11</x:v>
      </x:c>
      <x:c r="G554" t="n">
        <x:v>6</x:v>
      </x:c>
      <x:c r="H554" t="n">
        <x:v>0</x:v>
      </x:c>
      <x:c r="I554" t="n">
        <x:v>0</x:v>
      </x:c>
      <x:c r="J554" t="n">
        <x:v>0</x:v>
      </x:c>
      <x:c r="K554" t="n">
        <x:v>0</x:v>
      </x:c>
      <x:c r="L554" t="n">
        <x:v>0</x:v>
      </x:c>
      <x:c r="M554" t="n">
        <x:v>0</x:v>
      </x:c>
    </x:row>
    <x:row r="555">
      <x:c r="A555" t="str">
        <x:v>MI|Souple|18</x:v>
      </x:c>
      <x:c r="B555" t="str">
        <x:v>Mineur</x:v>
      </x:c>
      <x:c r="C555" t="str">
        <x:v>Souple</x:v>
      </x:c>
      <x:c r="D555" t="n">
        <x:v>18</x:v>
      </x:c>
      <x:c r="E555" t="n">
        <x:v>0</x:v>
      </x:c>
      <x:c r="F555" t="n">
        <x:v>12</x:v>
      </x:c>
      <x:c r="G555" t="n">
        <x:v>6</x:v>
      </x:c>
      <x:c r="H555" t="n">
        <x:v>0</x:v>
      </x:c>
      <x:c r="I555" t="n">
        <x:v>0</x:v>
      </x:c>
      <x:c r="J555" t="n">
        <x:v>0</x:v>
      </x:c>
      <x:c r="K555" t="n">
        <x:v>0</x:v>
      </x:c>
      <x:c r="L555" t="n">
        <x:v>0</x:v>
      </x:c>
      <x:c r="M555" t="n">
        <x:v>0</x:v>
      </x:c>
    </x:row>
    <x:row r="556">
      <x:c r="A556" t="str">
        <x:v>MI|Souple|19</x:v>
      </x:c>
      <x:c r="B556" t="str">
        <x:v>Mineur</x:v>
      </x:c>
      <x:c r="C556" t="str">
        <x:v>Souple</x:v>
      </x:c>
      <x:c r="D556" t="n">
        <x:v>19</x:v>
      </x:c>
      <x:c r="E556" t="n">
        <x:v>0</x:v>
      </x:c>
      <x:c r="F556" t="n">
        <x:v>12</x:v>
      </x:c>
      <x:c r="G556" t="n">
        <x:v>7</x:v>
      </x:c>
      <x:c r="H556" t="n">
        <x:v>0</x:v>
      </x:c>
      <x:c r="I556" t="n">
        <x:v>0</x:v>
      </x:c>
      <x:c r="J556" t="n">
        <x:v>0</x:v>
      </x:c>
      <x:c r="K556" t="n">
        <x:v>0</x:v>
      </x:c>
      <x:c r="L556" t="n">
        <x:v>0</x:v>
      </x:c>
      <x:c r="M556" t="n">
        <x:v>0</x:v>
      </x:c>
    </x:row>
    <x:row r="557">
      <x:c r="A557" t="str">
        <x:v>MI|Souple|20</x:v>
      </x:c>
      <x:c r="B557" t="str">
        <x:v>Mineur</x:v>
      </x:c>
      <x:c r="C557" t="str">
        <x:v>Souple</x:v>
      </x:c>
      <x:c r="D557" t="n">
        <x:v>20</x:v>
      </x:c>
      <x:c r="E557" t="n">
        <x:v>0</x:v>
      </x:c>
      <x:c r="F557" t="n">
        <x:v>13</x:v>
      </x:c>
      <x:c r="G557" t="n">
        <x:v>7</x:v>
      </x:c>
      <x:c r="H557" t="n">
        <x:v>0</x:v>
      </x:c>
      <x:c r="I557" t="n">
        <x:v>0</x:v>
      </x:c>
      <x:c r="J557" t="n">
        <x:v>0</x:v>
      </x:c>
      <x:c r="K557" t="n">
        <x:v>0</x:v>
      </x:c>
      <x:c r="L557" t="n">
        <x:v>0</x:v>
      </x:c>
      <x:c r="M557" t="n">
        <x:v>0</x:v>
      </x:c>
    </x:row>
    <x:row r="558">
      <x:c r="A558" t="str">
        <x:v>MI|Souple|21</x:v>
      </x:c>
      <x:c r="B558" t="str">
        <x:v>Mineur</x:v>
      </x:c>
      <x:c r="C558" t="str">
        <x:v>Souple</x:v>
      </x:c>
      <x:c r="D558" t="n">
        <x:v>21</x:v>
      </x:c>
      <x:c r="E558" t="n">
        <x:v>0</x:v>
      </x:c>
      <x:c r="F558" t="n">
        <x:v>14</x:v>
      </x:c>
      <x:c r="G558" t="n">
        <x:v>7</x:v>
      </x:c>
      <x:c r="H558" t="n">
        <x:v>0</x:v>
      </x:c>
      <x:c r="I558" t="n">
        <x:v>0</x:v>
      </x:c>
      <x:c r="J558" t="n">
        <x:v>0</x:v>
      </x:c>
      <x:c r="K558" t="n">
        <x:v>0</x:v>
      </x:c>
      <x:c r="L558" t="n">
        <x:v>0</x:v>
      </x:c>
      <x:c r="M558" t="n">
        <x:v>0</x:v>
      </x:c>
    </x:row>
    <x:row r="559">
      <x:c r="A559" t="str">
        <x:v>MI|Rusé|0</x:v>
      </x:c>
      <x:c r="B559" t="str">
        <x:v>Mineur</x:v>
      </x:c>
      <x:c r="C559" t="str">
        <x:v>Rusé</x:v>
      </x:c>
      <x:c r="D559" t="n">
        <x:v>0</x:v>
      </x:c>
      <x:c r="E559" t="n">
        <x:v>0</x:v>
      </x:c>
      <x:c r="F559" t="n">
        <x:v>0</x:v>
      </x:c>
      <x:c r="G559" t="n">
        <x:v>0</x:v>
      </x:c>
      <x:c r="H559" t="n">
        <x:v>0</x:v>
      </x:c>
      <x:c r="I559" t="n">
        <x:v>0</x:v>
      </x:c>
      <x:c r="J559" t="n">
        <x:v>0</x:v>
      </x:c>
      <x:c r="K559" t="n">
        <x:v>0</x:v>
      </x:c>
      <x:c r="L559" t="n">
        <x:v>0</x:v>
      </x:c>
      <x:c r="M559" t="n">
        <x:v>0</x:v>
      </x:c>
    </x:row>
    <x:row r="560">
      <x:c r="A560" t="str">
        <x:v>MI|Rusé|1</x:v>
      </x:c>
      <x:c r="B560" t="str">
        <x:v>Mineur</x:v>
      </x:c>
      <x:c r="C560" t="str">
        <x:v>Rusé</x:v>
      </x:c>
      <x:c r="D560" t="n">
        <x:v>1</x:v>
      </x:c>
      <x:c r="E560" t="n">
        <x:v>0</x:v>
      </x:c>
      <x:c r="F560" t="n">
        <x:v>0</x:v>
      </x:c>
      <x:c r="G560" t="n">
        <x:v>0</x:v>
      </x:c>
      <x:c r="H560" t="n">
        <x:v>1</x:v>
      </x:c>
      <x:c r="I560" t="n">
        <x:v>0</x:v>
      </x:c>
      <x:c r="J560" t="n">
        <x:v>0</x:v>
      </x:c>
      <x:c r="K560" t="n">
        <x:v>0</x:v>
      </x:c>
      <x:c r="L560" t="n">
        <x:v>0</x:v>
      </x:c>
      <x:c r="M560" t="n">
        <x:v>0</x:v>
      </x:c>
    </x:row>
    <x:row r="561">
      <x:c r="A561" t="str">
        <x:v>MI|Rusé|2</x:v>
      </x:c>
      <x:c r="B561" t="str">
        <x:v>Mineur</x:v>
      </x:c>
      <x:c r="C561" t="str">
        <x:v>Rusé</x:v>
      </x:c>
      <x:c r="D561" t="n">
        <x:v>2</x:v>
      </x:c>
      <x:c r="E561" t="n">
        <x:v>0</x:v>
      </x:c>
      <x:c r="F561" t="n">
        <x:v>0</x:v>
      </x:c>
      <x:c r="G561" t="n">
        <x:v>0</x:v>
      </x:c>
      <x:c r="H561" t="n">
        <x:v>1</x:v>
      </x:c>
      <x:c r="I561" t="n">
        <x:v>0</x:v>
      </x:c>
      <x:c r="J561" t="n">
        <x:v>1</x:v>
      </x:c>
      <x:c r="K561" t="n">
        <x:v>0</x:v>
      </x:c>
      <x:c r="L561" t="n">
        <x:v>0</x:v>
      </x:c>
      <x:c r="M561" t="n">
        <x:v>0</x:v>
      </x:c>
    </x:row>
    <x:row r="562">
      <x:c r="A562" t="str">
        <x:v>MI|Rusé|3</x:v>
      </x:c>
      <x:c r="B562" t="str">
        <x:v>Mineur</x:v>
      </x:c>
      <x:c r="C562" t="str">
        <x:v>Rusé</x:v>
      </x:c>
      <x:c r="D562" t="n">
        <x:v>3</x:v>
      </x:c>
      <x:c r="E562" t="n">
        <x:v>0</x:v>
      </x:c>
      <x:c r="F562" t="n">
        <x:v>0</x:v>
      </x:c>
      <x:c r="G562" t="n">
        <x:v>0</x:v>
      </x:c>
      <x:c r="H562" t="n">
        <x:v>2</x:v>
      </x:c>
      <x:c r="I562" t="n">
        <x:v>0</x:v>
      </x:c>
      <x:c r="J562" t="n">
        <x:v>1</x:v>
      </x:c>
      <x:c r="K562" t="n">
        <x:v>0</x:v>
      </x:c>
      <x:c r="L562" t="n">
        <x:v>0</x:v>
      </x:c>
      <x:c r="M562" t="n">
        <x:v>0</x:v>
      </x:c>
    </x:row>
    <x:row r="563">
      <x:c r="A563" t="str">
        <x:v>MI|Rusé|4</x:v>
      </x:c>
      <x:c r="B563" t="str">
        <x:v>Mineur</x:v>
      </x:c>
      <x:c r="C563" t="str">
        <x:v>Rusé</x:v>
      </x:c>
      <x:c r="D563" t="n">
        <x:v>4</x:v>
      </x:c>
      <x:c r="E563" t="n">
        <x:v>0</x:v>
      </x:c>
      <x:c r="F563" t="n">
        <x:v>0</x:v>
      </x:c>
      <x:c r="G563" t="n">
        <x:v>0</x:v>
      </x:c>
      <x:c r="H563" t="n">
        <x:v>3</x:v>
      </x:c>
      <x:c r="I563" t="n">
        <x:v>0</x:v>
      </x:c>
      <x:c r="J563" t="n">
        <x:v>1</x:v>
      </x:c>
      <x:c r="K563" t="n">
        <x:v>0</x:v>
      </x:c>
      <x:c r="L563" t="n">
        <x:v>0</x:v>
      </x:c>
      <x:c r="M563" t="n">
        <x:v>0</x:v>
      </x:c>
    </x:row>
    <x:row r="564">
      <x:c r="A564" t="str">
        <x:v>MI|Rusé|5</x:v>
      </x:c>
      <x:c r="B564" t="str">
        <x:v>Mineur</x:v>
      </x:c>
      <x:c r="C564" t="str">
        <x:v>Rusé</x:v>
      </x:c>
      <x:c r="D564" t="n">
        <x:v>5</x:v>
      </x:c>
      <x:c r="E564" t="n">
        <x:v>0</x:v>
      </x:c>
      <x:c r="F564" t="n">
        <x:v>0</x:v>
      </x:c>
      <x:c r="G564" t="n">
        <x:v>0</x:v>
      </x:c>
      <x:c r="H564" t="n">
        <x:v>3</x:v>
      </x:c>
      <x:c r="I564" t="n">
        <x:v>0</x:v>
      </x:c>
      <x:c r="J564" t="n">
        <x:v>2</x:v>
      </x:c>
      <x:c r="K564" t="n">
        <x:v>0</x:v>
      </x:c>
      <x:c r="L564" t="n">
        <x:v>0</x:v>
      </x:c>
      <x:c r="M564" t="n">
        <x:v>0</x:v>
      </x:c>
    </x:row>
    <x:row r="565">
      <x:c r="A565" t="str">
        <x:v>MI|Rusé|6</x:v>
      </x:c>
      <x:c r="B565" t="str">
        <x:v>Mineur</x:v>
      </x:c>
      <x:c r="C565" t="str">
        <x:v>Rusé</x:v>
      </x:c>
      <x:c r="D565" t="n">
        <x:v>6</x:v>
      </x:c>
      <x:c r="E565" t="n">
        <x:v>0</x:v>
      </x:c>
      <x:c r="F565" t="n">
        <x:v>0</x:v>
      </x:c>
      <x:c r="G565" t="n">
        <x:v>0</x:v>
      </x:c>
      <x:c r="H565" t="n">
        <x:v>4</x:v>
      </x:c>
      <x:c r="I565" t="n">
        <x:v>0</x:v>
      </x:c>
      <x:c r="J565" t="n">
        <x:v>2</x:v>
      </x:c>
      <x:c r="K565" t="n">
        <x:v>0</x:v>
      </x:c>
      <x:c r="L565" t="n">
        <x:v>0</x:v>
      </x:c>
      <x:c r="M565" t="n">
        <x:v>0</x:v>
      </x:c>
    </x:row>
    <x:row r="566">
      <x:c r="A566" t="str">
        <x:v>MI|Rusé|7</x:v>
      </x:c>
      <x:c r="B566" t="str">
        <x:v>Mineur</x:v>
      </x:c>
      <x:c r="C566" t="str">
        <x:v>Rusé</x:v>
      </x:c>
      <x:c r="D566" t="n">
        <x:v>7</x:v>
      </x:c>
      <x:c r="E566" t="n">
        <x:v>0</x:v>
      </x:c>
      <x:c r="F566" t="n">
        <x:v>0</x:v>
      </x:c>
      <x:c r="G566" t="n">
        <x:v>0</x:v>
      </x:c>
      <x:c r="H566" t="n">
        <x:v>5</x:v>
      </x:c>
      <x:c r="I566" t="n">
        <x:v>0</x:v>
      </x:c>
      <x:c r="J566" t="n">
        <x:v>2</x:v>
      </x:c>
      <x:c r="K566" t="n">
        <x:v>0</x:v>
      </x:c>
      <x:c r="L566" t="n">
        <x:v>0</x:v>
      </x:c>
      <x:c r="M566" t="n">
        <x:v>0</x:v>
      </x:c>
    </x:row>
    <x:row r="567">
      <x:c r="A567" t="str">
        <x:v>MI|Rusé|8</x:v>
      </x:c>
      <x:c r="B567" t="str">
        <x:v>Mineur</x:v>
      </x:c>
      <x:c r="C567" t="str">
        <x:v>Rusé</x:v>
      </x:c>
      <x:c r="D567" t="n">
        <x:v>8</x:v>
      </x:c>
      <x:c r="E567" t="n">
        <x:v>0</x:v>
      </x:c>
      <x:c r="F567" t="n">
        <x:v>0</x:v>
      </x:c>
      <x:c r="G567" t="n">
        <x:v>0</x:v>
      </x:c>
      <x:c r="H567" t="n">
        <x:v>5</x:v>
      </x:c>
      <x:c r="I567" t="n">
        <x:v>0</x:v>
      </x:c>
      <x:c r="J567" t="n">
        <x:v>3</x:v>
      </x:c>
      <x:c r="K567" t="n">
        <x:v>0</x:v>
      </x:c>
      <x:c r="L567" t="n">
        <x:v>0</x:v>
      </x:c>
      <x:c r="M567" t="n">
        <x:v>0</x:v>
      </x:c>
    </x:row>
    <x:row r="568">
      <x:c r="A568" t="str">
        <x:v>MI|Rusé|9</x:v>
      </x:c>
      <x:c r="B568" t="str">
        <x:v>Mineur</x:v>
      </x:c>
      <x:c r="C568" t="str">
        <x:v>Rusé</x:v>
      </x:c>
      <x:c r="D568" t="n">
        <x:v>9</x:v>
      </x:c>
      <x:c r="E568" t="n">
        <x:v>0</x:v>
      </x:c>
      <x:c r="F568" t="n">
        <x:v>0</x:v>
      </x:c>
      <x:c r="G568" t="n">
        <x:v>0</x:v>
      </x:c>
      <x:c r="H568" t="n">
        <x:v>6</x:v>
      </x:c>
      <x:c r="I568" t="n">
        <x:v>0</x:v>
      </x:c>
      <x:c r="J568" t="n">
        <x:v>3</x:v>
      </x:c>
      <x:c r="K568" t="n">
        <x:v>0</x:v>
      </x:c>
      <x:c r="L568" t="n">
        <x:v>0</x:v>
      </x:c>
      <x:c r="M568" t="n">
        <x:v>0</x:v>
      </x:c>
    </x:row>
    <x:row r="569">
      <x:c r="A569" t="str">
        <x:v>MI|Rusé|10</x:v>
      </x:c>
      <x:c r="B569" t="str">
        <x:v>Mineur</x:v>
      </x:c>
      <x:c r="C569" t="str">
        <x:v>Rusé</x:v>
      </x:c>
      <x:c r="D569" t="n">
        <x:v>10</x:v>
      </x:c>
      <x:c r="E569" t="n">
        <x:v>0</x:v>
      </x:c>
      <x:c r="F569" t="n">
        <x:v>0</x:v>
      </x:c>
      <x:c r="G569" t="n">
        <x:v>0</x:v>
      </x:c>
      <x:c r="H569" t="n">
        <x:v>7</x:v>
      </x:c>
      <x:c r="I569" t="n">
        <x:v>0</x:v>
      </x:c>
      <x:c r="J569" t="n">
        <x:v>3</x:v>
      </x:c>
      <x:c r="K569" t="n">
        <x:v>0</x:v>
      </x:c>
      <x:c r="L569" t="n">
        <x:v>0</x:v>
      </x:c>
      <x:c r="M569" t="n">
        <x:v>0</x:v>
      </x:c>
    </x:row>
    <x:row r="570">
      <x:c r="A570" t="str">
        <x:v>MI|Rusé|11</x:v>
      </x:c>
      <x:c r="B570" t="str">
        <x:v>Mineur</x:v>
      </x:c>
      <x:c r="C570" t="str">
        <x:v>Rusé</x:v>
      </x:c>
      <x:c r="D570" t="n">
        <x:v>11</x:v>
      </x:c>
      <x:c r="E570" t="n">
        <x:v>0</x:v>
      </x:c>
      <x:c r="F570" t="n">
        <x:v>0</x:v>
      </x:c>
      <x:c r="G570" t="n">
        <x:v>0</x:v>
      </x:c>
      <x:c r="H570" t="n">
        <x:v>7</x:v>
      </x:c>
      <x:c r="I570" t="n">
        <x:v>0</x:v>
      </x:c>
      <x:c r="J570" t="n">
        <x:v>4</x:v>
      </x:c>
      <x:c r="K570" t="n">
        <x:v>0</x:v>
      </x:c>
      <x:c r="L570" t="n">
        <x:v>0</x:v>
      </x:c>
      <x:c r="M570" t="n">
        <x:v>0</x:v>
      </x:c>
    </x:row>
    <x:row r="571">
      <x:c r="A571" t="str">
        <x:v>MI|Rusé|12</x:v>
      </x:c>
      <x:c r="B571" t="str">
        <x:v>Mineur</x:v>
      </x:c>
      <x:c r="C571" t="str">
        <x:v>Rusé</x:v>
      </x:c>
      <x:c r="D571" t="n">
        <x:v>12</x:v>
      </x:c>
      <x:c r="E571" t="n">
        <x:v>0</x:v>
      </x:c>
      <x:c r="F571" t="n">
        <x:v>0</x:v>
      </x:c>
      <x:c r="G571" t="n">
        <x:v>0</x:v>
      </x:c>
      <x:c r="H571" t="n">
        <x:v>8</x:v>
      </x:c>
      <x:c r="I571" t="n">
        <x:v>0</x:v>
      </x:c>
      <x:c r="J571" t="n">
        <x:v>4</x:v>
      </x:c>
      <x:c r="K571" t="n">
        <x:v>0</x:v>
      </x:c>
      <x:c r="L571" t="n">
        <x:v>0</x:v>
      </x:c>
      <x:c r="M571" t="n">
        <x:v>0</x:v>
      </x:c>
    </x:row>
    <x:row r="572">
      <x:c r="A572" t="str">
        <x:v>MI|Rusé|13</x:v>
      </x:c>
      <x:c r="B572" t="str">
        <x:v>Mineur</x:v>
      </x:c>
      <x:c r="C572" t="str">
        <x:v>Rusé</x:v>
      </x:c>
      <x:c r="D572" t="n">
        <x:v>13</x:v>
      </x:c>
      <x:c r="E572" t="n">
        <x:v>0</x:v>
      </x:c>
      <x:c r="F572" t="n">
        <x:v>0</x:v>
      </x:c>
      <x:c r="G572" t="n">
        <x:v>0</x:v>
      </x:c>
      <x:c r="H572" t="n">
        <x:v>8</x:v>
      </x:c>
      <x:c r="I572" t="n">
        <x:v>0</x:v>
      </x:c>
      <x:c r="J572" t="n">
        <x:v>5</x:v>
      </x:c>
      <x:c r="K572" t="n">
        <x:v>0</x:v>
      </x:c>
      <x:c r="L572" t="n">
        <x:v>0</x:v>
      </x:c>
      <x:c r="M572" t="n">
        <x:v>0</x:v>
      </x:c>
    </x:row>
    <x:row r="573">
      <x:c r="A573" t="str">
        <x:v>MI|Rusé|14</x:v>
      </x:c>
      <x:c r="B573" t="str">
        <x:v>Mineur</x:v>
      </x:c>
      <x:c r="C573" t="str">
        <x:v>Rusé</x:v>
      </x:c>
      <x:c r="D573" t="n">
        <x:v>14</x:v>
      </x:c>
      <x:c r="E573" t="n">
        <x:v>0</x:v>
      </x:c>
      <x:c r="F573" t="n">
        <x:v>0</x:v>
      </x:c>
      <x:c r="G573" t="n">
        <x:v>0</x:v>
      </x:c>
      <x:c r="H573" t="n">
        <x:v>9</x:v>
      </x:c>
      <x:c r="I573" t="n">
        <x:v>0</x:v>
      </x:c>
      <x:c r="J573" t="n">
        <x:v>5</x:v>
      </x:c>
      <x:c r="K573" t="n">
        <x:v>0</x:v>
      </x:c>
      <x:c r="L573" t="n">
        <x:v>0</x:v>
      </x:c>
      <x:c r="M573" t="n">
        <x:v>0</x:v>
      </x:c>
    </x:row>
    <x:row r="574">
      <x:c r="A574" t="str">
        <x:v>MI|Rusé|15</x:v>
      </x:c>
      <x:c r="B574" t="str">
        <x:v>Mineur</x:v>
      </x:c>
      <x:c r="C574" t="str">
        <x:v>Rusé</x:v>
      </x:c>
      <x:c r="D574" t="n">
        <x:v>15</x:v>
      </x:c>
      <x:c r="E574" t="n">
        <x:v>0</x:v>
      </x:c>
      <x:c r="F574" t="n">
        <x:v>0</x:v>
      </x:c>
      <x:c r="G574" t="n">
        <x:v>0</x:v>
      </x:c>
      <x:c r="H574" t="n">
        <x:v>10</x:v>
      </x:c>
      <x:c r="I574" t="n">
        <x:v>0</x:v>
      </x:c>
      <x:c r="J574" t="n">
        <x:v>5</x:v>
      </x:c>
      <x:c r="K574" t="n">
        <x:v>0</x:v>
      </x:c>
      <x:c r="L574" t="n">
        <x:v>0</x:v>
      </x:c>
      <x:c r="M574" t="n">
        <x:v>0</x:v>
      </x:c>
    </x:row>
    <x:row r="575">
      <x:c r="A575" t="str">
        <x:v>MI|Rusé|16</x:v>
      </x:c>
      <x:c r="B575" t="str">
        <x:v>Mineur</x:v>
      </x:c>
      <x:c r="C575" t="str">
        <x:v>Rusé</x:v>
      </x:c>
      <x:c r="D575" t="n">
        <x:v>16</x:v>
      </x:c>
      <x:c r="E575" t="n">
        <x:v>0</x:v>
      </x:c>
      <x:c r="F575" t="n">
        <x:v>0</x:v>
      </x:c>
      <x:c r="G575" t="n">
        <x:v>0</x:v>
      </x:c>
      <x:c r="H575" t="n">
        <x:v>10</x:v>
      </x:c>
      <x:c r="I575" t="n">
        <x:v>0</x:v>
      </x:c>
      <x:c r="J575" t="n">
        <x:v>6</x:v>
      </x:c>
      <x:c r="K575" t="n">
        <x:v>0</x:v>
      </x:c>
      <x:c r="L575" t="n">
        <x:v>0</x:v>
      </x:c>
      <x:c r="M575" t="n">
        <x:v>0</x:v>
      </x:c>
    </x:row>
    <x:row r="576">
      <x:c r="A576" t="str">
        <x:v>MI|Rusé|17</x:v>
      </x:c>
      <x:c r="B576" t="str">
        <x:v>Mineur</x:v>
      </x:c>
      <x:c r="C576" t="str">
        <x:v>Rusé</x:v>
      </x:c>
      <x:c r="D576" t="n">
        <x:v>17</x:v>
      </x:c>
      <x:c r="E576" t="n">
        <x:v>0</x:v>
      </x:c>
      <x:c r="F576" t="n">
        <x:v>0</x:v>
      </x:c>
      <x:c r="G576" t="n">
        <x:v>0</x:v>
      </x:c>
      <x:c r="H576" t="n">
        <x:v>11</x:v>
      </x:c>
      <x:c r="I576" t="n">
        <x:v>0</x:v>
      </x:c>
      <x:c r="J576" t="n">
        <x:v>6</x:v>
      </x:c>
      <x:c r="K576" t="n">
        <x:v>0</x:v>
      </x:c>
      <x:c r="L576" t="n">
        <x:v>0</x:v>
      </x:c>
      <x:c r="M576" t="n">
        <x:v>0</x:v>
      </x:c>
    </x:row>
    <x:row r="577">
      <x:c r="A577" t="str">
        <x:v>MI|Rusé|18</x:v>
      </x:c>
      <x:c r="B577" t="str">
        <x:v>Mineur</x:v>
      </x:c>
      <x:c r="C577" t="str">
        <x:v>Rusé</x:v>
      </x:c>
      <x:c r="D577" t="n">
        <x:v>18</x:v>
      </x:c>
      <x:c r="E577" t="n">
        <x:v>0</x:v>
      </x:c>
      <x:c r="F577" t="n">
        <x:v>0</x:v>
      </x:c>
      <x:c r="G577" t="n">
        <x:v>0</x:v>
      </x:c>
      <x:c r="H577" t="n">
        <x:v>12</x:v>
      </x:c>
      <x:c r="I577" t="n">
        <x:v>0</x:v>
      </x:c>
      <x:c r="J577" t="n">
        <x:v>6</x:v>
      </x:c>
      <x:c r="K577" t="n">
        <x:v>0</x:v>
      </x:c>
      <x:c r="L577" t="n">
        <x:v>0</x:v>
      </x:c>
      <x:c r="M577" t="n">
        <x:v>0</x:v>
      </x:c>
    </x:row>
    <x:row r="578">
      <x:c r="A578" t="str">
        <x:v>MI|Rusé|19</x:v>
      </x:c>
      <x:c r="B578" t="str">
        <x:v>Mineur</x:v>
      </x:c>
      <x:c r="C578" t="str">
        <x:v>Rusé</x:v>
      </x:c>
      <x:c r="D578" t="n">
        <x:v>19</x:v>
      </x:c>
      <x:c r="E578" t="n">
        <x:v>0</x:v>
      </x:c>
      <x:c r="F578" t="n">
        <x:v>0</x:v>
      </x:c>
      <x:c r="G578" t="n">
        <x:v>0</x:v>
      </x:c>
      <x:c r="H578" t="n">
        <x:v>12</x:v>
      </x:c>
      <x:c r="I578" t="n">
        <x:v>0</x:v>
      </x:c>
      <x:c r="J578" t="n">
        <x:v>7</x:v>
      </x:c>
      <x:c r="K578" t="n">
        <x:v>0</x:v>
      </x:c>
      <x:c r="L578" t="n">
        <x:v>0</x:v>
      </x:c>
      <x:c r="M578" t="n">
        <x:v>0</x:v>
      </x:c>
    </x:row>
    <x:row r="579">
      <x:c r="A579" t="str">
        <x:v>MI|Rusé|20</x:v>
      </x:c>
      <x:c r="B579" t="str">
        <x:v>Mineur</x:v>
      </x:c>
      <x:c r="C579" t="str">
        <x:v>Rusé</x:v>
      </x:c>
      <x:c r="D579" t="n">
        <x:v>20</x:v>
      </x:c>
      <x:c r="E579" t="n">
        <x:v>0</x:v>
      </x:c>
      <x:c r="F579" t="n">
        <x:v>0</x:v>
      </x:c>
      <x:c r="G579" t="n">
        <x:v>0</x:v>
      </x:c>
      <x:c r="H579" t="n">
        <x:v>13</x:v>
      </x:c>
      <x:c r="I579" t="n">
        <x:v>0</x:v>
      </x:c>
      <x:c r="J579" t="n">
        <x:v>7</x:v>
      </x:c>
      <x:c r="K579" t="n">
        <x:v>0</x:v>
      </x:c>
      <x:c r="L579" t="n">
        <x:v>0</x:v>
      </x:c>
      <x:c r="M579" t="n">
        <x:v>0</x:v>
      </x:c>
    </x:row>
    <x:row r="580">
      <x:c r="A580" t="str">
        <x:v>MI|Rusé|21</x:v>
      </x:c>
      <x:c r="B580" t="str">
        <x:v>Mineur</x:v>
      </x:c>
      <x:c r="C580" t="str">
        <x:v>Rusé</x:v>
      </x:c>
      <x:c r="D580" t="n">
        <x:v>21</x:v>
      </x:c>
      <x:c r="E580" t="n">
        <x:v>0</x:v>
      </x:c>
      <x:c r="F580" t="n">
        <x:v>0</x:v>
      </x:c>
      <x:c r="G580" t="n">
        <x:v>0</x:v>
      </x:c>
      <x:c r="H580" t="n">
        <x:v>14</x:v>
      </x:c>
      <x:c r="I580" t="n">
        <x:v>0</x:v>
      </x:c>
      <x:c r="J580" t="n">
        <x:v>7</x:v>
      </x:c>
      <x:c r="K580" t="n">
        <x:v>0</x:v>
      </x:c>
      <x:c r="L580" t="n">
        <x:v>0</x:v>
      </x:c>
      <x:c r="M580" t="n">
        <x:v>0</x:v>
      </x:c>
    </x:row>
    <x:row r="581">
      <x:c r="A581" t="str">
        <x:v>MI|Calculateur|0</x:v>
      </x:c>
      <x:c r="B581" t="str">
        <x:v>Mineur</x:v>
      </x:c>
      <x:c r="C581" t="str">
        <x:v>Calculateur</x:v>
      </x:c>
      <x:c r="D581" t="n">
        <x:v>0</x:v>
      </x:c>
      <x:c r="E581" t="n">
        <x:v>0</x:v>
      </x:c>
      <x:c r="F581" t="n">
        <x:v>0</x:v>
      </x:c>
      <x:c r="G581" t="n">
        <x:v>0</x:v>
      </x:c>
      <x:c r="H581" t="n">
        <x:v>0</x:v>
      </x:c>
      <x:c r="I581" t="n">
        <x:v>0</x:v>
      </x:c>
      <x:c r="J581" t="n">
        <x:v>0</x:v>
      </x:c>
      <x:c r="K581" t="n">
        <x:v>0</x:v>
      </x:c>
      <x:c r="L581" t="n">
        <x:v>0</x:v>
      </x:c>
      <x:c r="M581" t="n">
        <x:v>0</x:v>
      </x:c>
    </x:row>
    <x:row r="582">
      <x:c r="A582" t="str">
        <x:v>MI|Calculateur|1</x:v>
      </x:c>
      <x:c r="B582" t="str">
        <x:v>Mineur</x:v>
      </x:c>
      <x:c r="C582" t="str">
        <x:v>Calculateur</x:v>
      </x:c>
      <x:c r="D582" t="n">
        <x:v>1</x:v>
      </x:c>
      <x:c r="E582" t="n">
        <x:v>0</x:v>
      </x:c>
      <x:c r="F582" t="n">
        <x:v>0</x:v>
      </x:c>
      <x:c r="G582" t="n">
        <x:v>0</x:v>
      </x:c>
      <x:c r="H582" t="n">
        <x:v>1</x:v>
      </x:c>
      <x:c r="I582" t="n">
        <x:v>0</x:v>
      </x:c>
      <x:c r="J582" t="n">
        <x:v>0</x:v>
      </x:c>
      <x:c r="K582" t="n">
        <x:v>0</x:v>
      </x:c>
      <x:c r="L582" t="n">
        <x:v>0</x:v>
      </x:c>
      <x:c r="M582" t="n">
        <x:v>0</x:v>
      </x:c>
    </x:row>
    <x:row r="583">
      <x:c r="A583" t="str">
        <x:v>MI|Calculateur|2</x:v>
      </x:c>
      <x:c r="B583" t="str">
        <x:v>Mineur</x:v>
      </x:c>
      <x:c r="C583" t="str">
        <x:v>Calculateur</x:v>
      </x:c>
      <x:c r="D583" t="n">
        <x:v>2</x:v>
      </x:c>
      <x:c r="E583" t="n">
        <x:v>0</x:v>
      </x:c>
      <x:c r="F583" t="n">
        <x:v>0</x:v>
      </x:c>
      <x:c r="G583" t="n">
        <x:v>0</x:v>
      </x:c>
      <x:c r="H583" t="n">
        <x:v>1</x:v>
      </x:c>
      <x:c r="I583" t="n">
        <x:v>1</x:v>
      </x:c>
      <x:c r="J583" t="n">
        <x:v>0</x:v>
      </x:c>
      <x:c r="K583" t="n">
        <x:v>0</x:v>
      </x:c>
      <x:c r="L583" t="n">
        <x:v>0</x:v>
      </x:c>
      <x:c r="M583" t="n">
        <x:v>0</x:v>
      </x:c>
    </x:row>
    <x:row r="584">
      <x:c r="A584" t="str">
        <x:v>MI|Calculateur|3</x:v>
      </x:c>
      <x:c r="B584" t="str">
        <x:v>Mineur</x:v>
      </x:c>
      <x:c r="C584" t="str">
        <x:v>Calculateur</x:v>
      </x:c>
      <x:c r="D584" t="n">
        <x:v>3</x:v>
      </x:c>
      <x:c r="E584" t="n">
        <x:v>0</x:v>
      </x:c>
      <x:c r="F584" t="n">
        <x:v>0</x:v>
      </x:c>
      <x:c r="G584" t="n">
        <x:v>0</x:v>
      </x:c>
      <x:c r="H584" t="n">
        <x:v>2</x:v>
      </x:c>
      <x:c r="I584" t="n">
        <x:v>1</x:v>
      </x:c>
      <x:c r="J584" t="n">
        <x:v>0</x:v>
      </x:c>
      <x:c r="K584" t="n">
        <x:v>0</x:v>
      </x:c>
      <x:c r="L584" t="n">
        <x:v>0</x:v>
      </x:c>
      <x:c r="M584" t="n">
        <x:v>0</x:v>
      </x:c>
    </x:row>
    <x:row r="585">
      <x:c r="A585" t="str">
        <x:v>MI|Calculateur|4</x:v>
      </x:c>
      <x:c r="B585" t="str">
        <x:v>Mineur</x:v>
      </x:c>
      <x:c r="C585" t="str">
        <x:v>Calculateur</x:v>
      </x:c>
      <x:c r="D585" t="n">
        <x:v>4</x:v>
      </x:c>
      <x:c r="E585" t="n">
        <x:v>0</x:v>
      </x:c>
      <x:c r="F585" t="n">
        <x:v>0</x:v>
      </x:c>
      <x:c r="G585" t="n">
        <x:v>0</x:v>
      </x:c>
      <x:c r="H585" t="n">
        <x:v>3</x:v>
      </x:c>
      <x:c r="I585" t="n">
        <x:v>1</x:v>
      </x:c>
      <x:c r="J585" t="n">
        <x:v>0</x:v>
      </x:c>
      <x:c r="K585" t="n">
        <x:v>0</x:v>
      </x:c>
      <x:c r="L585" t="n">
        <x:v>0</x:v>
      </x:c>
      <x:c r="M585" t="n">
        <x:v>0</x:v>
      </x:c>
    </x:row>
    <x:row r="586">
      <x:c r="A586" t="str">
        <x:v>MI|Calculateur|5</x:v>
      </x:c>
      <x:c r="B586" t="str">
        <x:v>Mineur</x:v>
      </x:c>
      <x:c r="C586" t="str">
        <x:v>Calculateur</x:v>
      </x:c>
      <x:c r="D586" t="n">
        <x:v>5</x:v>
      </x:c>
      <x:c r="E586" t="n">
        <x:v>0</x:v>
      </x:c>
      <x:c r="F586" t="n">
        <x:v>0</x:v>
      </x:c>
      <x:c r="G586" t="n">
        <x:v>0</x:v>
      </x:c>
      <x:c r="H586" t="n">
        <x:v>3</x:v>
      </x:c>
      <x:c r="I586" t="n">
        <x:v>2</x:v>
      </x:c>
      <x:c r="J586" t="n">
        <x:v>0</x:v>
      </x:c>
      <x:c r="K586" t="n">
        <x:v>0</x:v>
      </x:c>
      <x:c r="L586" t="n">
        <x:v>0</x:v>
      </x:c>
      <x:c r="M586" t="n">
        <x:v>0</x:v>
      </x:c>
    </x:row>
    <x:row r="587">
      <x:c r="A587" t="str">
        <x:v>MI|Calculateur|6</x:v>
      </x:c>
      <x:c r="B587" t="str">
        <x:v>Mineur</x:v>
      </x:c>
      <x:c r="C587" t="str">
        <x:v>Calculateur</x:v>
      </x:c>
      <x:c r="D587" t="n">
        <x:v>6</x:v>
      </x:c>
      <x:c r="E587" t="n">
        <x:v>0</x:v>
      </x:c>
      <x:c r="F587" t="n">
        <x:v>0</x:v>
      </x:c>
      <x:c r="G587" t="n">
        <x:v>0</x:v>
      </x:c>
      <x:c r="H587" t="n">
        <x:v>4</x:v>
      </x:c>
      <x:c r="I587" t="n">
        <x:v>2</x:v>
      </x:c>
      <x:c r="J587" t="n">
        <x:v>0</x:v>
      </x:c>
      <x:c r="K587" t="n">
        <x:v>0</x:v>
      </x:c>
      <x:c r="L587" t="n">
        <x:v>0</x:v>
      </x:c>
      <x:c r="M587" t="n">
        <x:v>0</x:v>
      </x:c>
    </x:row>
    <x:row r="588">
      <x:c r="A588" t="str">
        <x:v>MI|Calculateur|7</x:v>
      </x:c>
      <x:c r="B588" t="str">
        <x:v>Mineur</x:v>
      </x:c>
      <x:c r="C588" t="str">
        <x:v>Calculateur</x:v>
      </x:c>
      <x:c r="D588" t="n">
        <x:v>7</x:v>
      </x:c>
      <x:c r="E588" t="n">
        <x:v>0</x:v>
      </x:c>
      <x:c r="F588" t="n">
        <x:v>0</x:v>
      </x:c>
      <x:c r="G588" t="n">
        <x:v>0</x:v>
      </x:c>
      <x:c r="H588" t="n">
        <x:v>5</x:v>
      </x:c>
      <x:c r="I588" t="n">
        <x:v>2</x:v>
      </x:c>
      <x:c r="J588" t="n">
        <x:v>0</x:v>
      </x:c>
      <x:c r="K588" t="n">
        <x:v>0</x:v>
      </x:c>
      <x:c r="L588" t="n">
        <x:v>0</x:v>
      </x:c>
      <x:c r="M588" t="n">
        <x:v>0</x:v>
      </x:c>
    </x:row>
    <x:row r="589">
      <x:c r="A589" t="str">
        <x:v>MI|Calculateur|8</x:v>
      </x:c>
      <x:c r="B589" t="str">
        <x:v>Mineur</x:v>
      </x:c>
      <x:c r="C589" t="str">
        <x:v>Calculateur</x:v>
      </x:c>
      <x:c r="D589" t="n">
        <x:v>8</x:v>
      </x:c>
      <x:c r="E589" t="n">
        <x:v>0</x:v>
      </x:c>
      <x:c r="F589" t="n">
        <x:v>0</x:v>
      </x:c>
      <x:c r="G589" t="n">
        <x:v>0</x:v>
      </x:c>
      <x:c r="H589" t="n">
        <x:v>5</x:v>
      </x:c>
      <x:c r="I589" t="n">
        <x:v>3</x:v>
      </x:c>
      <x:c r="J589" t="n">
        <x:v>0</x:v>
      </x:c>
      <x:c r="K589" t="n">
        <x:v>0</x:v>
      </x:c>
      <x:c r="L589" t="n">
        <x:v>0</x:v>
      </x:c>
      <x:c r="M589" t="n">
        <x:v>0</x:v>
      </x:c>
    </x:row>
    <x:row r="590">
      <x:c r="A590" t="str">
        <x:v>MI|Calculateur|9</x:v>
      </x:c>
      <x:c r="B590" t="str">
        <x:v>Mineur</x:v>
      </x:c>
      <x:c r="C590" t="str">
        <x:v>Calculateur</x:v>
      </x:c>
      <x:c r="D590" t="n">
        <x:v>9</x:v>
      </x:c>
      <x:c r="E590" t="n">
        <x:v>0</x:v>
      </x:c>
      <x:c r="F590" t="n">
        <x:v>0</x:v>
      </x:c>
      <x:c r="G590" t="n">
        <x:v>0</x:v>
      </x:c>
      <x:c r="H590" t="n">
        <x:v>6</x:v>
      </x:c>
      <x:c r="I590" t="n">
        <x:v>3</x:v>
      </x:c>
      <x:c r="J590" t="n">
        <x:v>0</x:v>
      </x:c>
      <x:c r="K590" t="n">
        <x:v>0</x:v>
      </x:c>
      <x:c r="L590" t="n">
        <x:v>0</x:v>
      </x:c>
      <x:c r="M590" t="n">
        <x:v>0</x:v>
      </x:c>
    </x:row>
    <x:row r="591">
      <x:c r="A591" t="str">
        <x:v>MI|Calculateur|10</x:v>
      </x:c>
      <x:c r="B591" t="str">
        <x:v>Mineur</x:v>
      </x:c>
      <x:c r="C591" t="str">
        <x:v>Calculateur</x:v>
      </x:c>
      <x:c r="D591" t="n">
        <x:v>10</x:v>
      </x:c>
      <x:c r="E591" t="n">
        <x:v>0</x:v>
      </x:c>
      <x:c r="F591" t="n">
        <x:v>0</x:v>
      </x:c>
      <x:c r="G591" t="n">
        <x:v>0</x:v>
      </x:c>
      <x:c r="H591" t="n">
        <x:v>7</x:v>
      </x:c>
      <x:c r="I591" t="n">
        <x:v>3</x:v>
      </x:c>
      <x:c r="J591" t="n">
        <x:v>0</x:v>
      </x:c>
      <x:c r="K591" t="n">
        <x:v>0</x:v>
      </x:c>
      <x:c r="L591" t="n">
        <x:v>0</x:v>
      </x:c>
      <x:c r="M591" t="n">
        <x:v>0</x:v>
      </x:c>
    </x:row>
    <x:row r="592">
      <x:c r="A592" t="str">
        <x:v>MI|Calculateur|11</x:v>
      </x:c>
      <x:c r="B592" t="str">
        <x:v>Mineur</x:v>
      </x:c>
      <x:c r="C592" t="str">
        <x:v>Calculateur</x:v>
      </x:c>
      <x:c r="D592" t="n">
        <x:v>11</x:v>
      </x:c>
      <x:c r="E592" t="n">
        <x:v>0</x:v>
      </x:c>
      <x:c r="F592" t="n">
        <x:v>0</x:v>
      </x:c>
      <x:c r="G592" t="n">
        <x:v>0</x:v>
      </x:c>
      <x:c r="H592" t="n">
        <x:v>7</x:v>
      </x:c>
      <x:c r="I592" t="n">
        <x:v>4</x:v>
      </x:c>
      <x:c r="J592" t="n">
        <x:v>0</x:v>
      </x:c>
      <x:c r="K592" t="n">
        <x:v>0</x:v>
      </x:c>
      <x:c r="L592" t="n">
        <x:v>0</x:v>
      </x:c>
      <x:c r="M592" t="n">
        <x:v>0</x:v>
      </x:c>
    </x:row>
    <x:row r="593">
      <x:c r="A593" t="str">
        <x:v>MI|Calculateur|12</x:v>
      </x:c>
      <x:c r="B593" t="str">
        <x:v>Mineur</x:v>
      </x:c>
      <x:c r="C593" t="str">
        <x:v>Calculateur</x:v>
      </x:c>
      <x:c r="D593" t="n">
        <x:v>12</x:v>
      </x:c>
      <x:c r="E593" t="n">
        <x:v>0</x:v>
      </x:c>
      <x:c r="F593" t="n">
        <x:v>0</x:v>
      </x:c>
      <x:c r="G593" t="n">
        <x:v>0</x:v>
      </x:c>
      <x:c r="H593" t="n">
        <x:v>8</x:v>
      </x:c>
      <x:c r="I593" t="n">
        <x:v>4</x:v>
      </x:c>
      <x:c r="J593" t="n">
        <x:v>0</x:v>
      </x:c>
      <x:c r="K593" t="n">
        <x:v>0</x:v>
      </x:c>
      <x:c r="L593" t="n">
        <x:v>0</x:v>
      </x:c>
      <x:c r="M593" t="n">
        <x:v>0</x:v>
      </x:c>
    </x:row>
    <x:row r="594">
      <x:c r="A594" t="str">
        <x:v>MI|Calculateur|13</x:v>
      </x:c>
      <x:c r="B594" t="str">
        <x:v>Mineur</x:v>
      </x:c>
      <x:c r="C594" t="str">
        <x:v>Calculateur</x:v>
      </x:c>
      <x:c r="D594" t="n">
        <x:v>13</x:v>
      </x:c>
      <x:c r="E594" t="n">
        <x:v>0</x:v>
      </x:c>
      <x:c r="F594" t="n">
        <x:v>0</x:v>
      </x:c>
      <x:c r="G594" t="n">
        <x:v>0</x:v>
      </x:c>
      <x:c r="H594" t="n">
        <x:v>8</x:v>
      </x:c>
      <x:c r="I594" t="n">
        <x:v>5</x:v>
      </x:c>
      <x:c r="J594" t="n">
        <x:v>0</x:v>
      </x:c>
      <x:c r="K594" t="n">
        <x:v>0</x:v>
      </x:c>
      <x:c r="L594" t="n">
        <x:v>0</x:v>
      </x:c>
      <x:c r="M594" t="n">
        <x:v>0</x:v>
      </x:c>
    </x:row>
    <x:row r="595">
      <x:c r="A595" t="str">
        <x:v>MI|Calculateur|14</x:v>
      </x:c>
      <x:c r="B595" t="str">
        <x:v>Mineur</x:v>
      </x:c>
      <x:c r="C595" t="str">
        <x:v>Calculateur</x:v>
      </x:c>
      <x:c r="D595" t="n">
        <x:v>14</x:v>
      </x:c>
      <x:c r="E595" t="n">
        <x:v>0</x:v>
      </x:c>
      <x:c r="F595" t="n">
        <x:v>0</x:v>
      </x:c>
      <x:c r="G595" t="n">
        <x:v>0</x:v>
      </x:c>
      <x:c r="H595" t="n">
        <x:v>9</x:v>
      </x:c>
      <x:c r="I595" t="n">
        <x:v>5</x:v>
      </x:c>
      <x:c r="J595" t="n">
        <x:v>0</x:v>
      </x:c>
      <x:c r="K595" t="n">
        <x:v>0</x:v>
      </x:c>
      <x:c r="L595" t="n">
        <x:v>0</x:v>
      </x:c>
      <x:c r="M595" t="n">
        <x:v>0</x:v>
      </x:c>
    </x:row>
    <x:row r="596">
      <x:c r="A596" t="str">
        <x:v>MI|Calculateur|15</x:v>
      </x:c>
      <x:c r="B596" t="str">
        <x:v>Mineur</x:v>
      </x:c>
      <x:c r="C596" t="str">
        <x:v>Calculateur</x:v>
      </x:c>
      <x:c r="D596" t="n">
        <x:v>15</x:v>
      </x:c>
      <x:c r="E596" t="n">
        <x:v>0</x:v>
      </x:c>
      <x:c r="F596" t="n">
        <x:v>0</x:v>
      </x:c>
      <x:c r="G596" t="n">
        <x:v>0</x:v>
      </x:c>
      <x:c r="H596" t="n">
        <x:v>10</x:v>
      </x:c>
      <x:c r="I596" t="n">
        <x:v>5</x:v>
      </x:c>
      <x:c r="J596" t="n">
        <x:v>0</x:v>
      </x:c>
      <x:c r="K596" t="n">
        <x:v>0</x:v>
      </x:c>
      <x:c r="L596" t="n">
        <x:v>0</x:v>
      </x:c>
      <x:c r="M596" t="n">
        <x:v>0</x:v>
      </x:c>
    </x:row>
    <x:row r="597">
      <x:c r="A597" t="str">
        <x:v>MI|Calculateur|16</x:v>
      </x:c>
      <x:c r="B597" t="str">
        <x:v>Mineur</x:v>
      </x:c>
      <x:c r="C597" t="str">
        <x:v>Calculateur</x:v>
      </x:c>
      <x:c r="D597" t="n">
        <x:v>16</x:v>
      </x:c>
      <x:c r="E597" t="n">
        <x:v>0</x:v>
      </x:c>
      <x:c r="F597" t="n">
        <x:v>0</x:v>
      </x:c>
      <x:c r="G597" t="n">
        <x:v>0</x:v>
      </x:c>
      <x:c r="H597" t="n">
        <x:v>10</x:v>
      </x:c>
      <x:c r="I597" t="n">
        <x:v>6</x:v>
      </x:c>
      <x:c r="J597" t="n">
        <x:v>0</x:v>
      </x:c>
      <x:c r="K597" t="n">
        <x:v>0</x:v>
      </x:c>
      <x:c r="L597" t="n">
        <x:v>0</x:v>
      </x:c>
      <x:c r="M597" t="n">
        <x:v>0</x:v>
      </x:c>
    </x:row>
    <x:row r="598">
      <x:c r="A598" t="str">
        <x:v>MI|Calculateur|17</x:v>
      </x:c>
      <x:c r="B598" t="str">
        <x:v>Mineur</x:v>
      </x:c>
      <x:c r="C598" t="str">
        <x:v>Calculateur</x:v>
      </x:c>
      <x:c r="D598" t="n">
        <x:v>17</x:v>
      </x:c>
      <x:c r="E598" t="n">
        <x:v>0</x:v>
      </x:c>
      <x:c r="F598" t="n">
        <x:v>0</x:v>
      </x:c>
      <x:c r="G598" t="n">
        <x:v>0</x:v>
      </x:c>
      <x:c r="H598" t="n">
        <x:v>11</x:v>
      </x:c>
      <x:c r="I598" t="n">
        <x:v>6</x:v>
      </x:c>
      <x:c r="J598" t="n">
        <x:v>0</x:v>
      </x:c>
      <x:c r="K598" t="n">
        <x:v>0</x:v>
      </x:c>
      <x:c r="L598" t="n">
        <x:v>0</x:v>
      </x:c>
      <x:c r="M598" t="n">
        <x:v>0</x:v>
      </x:c>
    </x:row>
    <x:row r="599">
      <x:c r="A599" t="str">
        <x:v>MI|Calculateur|18</x:v>
      </x:c>
      <x:c r="B599" t="str">
        <x:v>Mineur</x:v>
      </x:c>
      <x:c r="C599" t="str">
        <x:v>Calculateur</x:v>
      </x:c>
      <x:c r="D599" t="n">
        <x:v>18</x:v>
      </x:c>
      <x:c r="E599" t="n">
        <x:v>0</x:v>
      </x:c>
      <x:c r="F599" t="n">
        <x:v>0</x:v>
      </x:c>
      <x:c r="G599" t="n">
        <x:v>0</x:v>
      </x:c>
      <x:c r="H599" t="n">
        <x:v>12</x:v>
      </x:c>
      <x:c r="I599" t="n">
        <x:v>6</x:v>
      </x:c>
      <x:c r="J599" t="n">
        <x:v>0</x:v>
      </x:c>
      <x:c r="K599" t="n">
        <x:v>0</x:v>
      </x:c>
      <x:c r="L599" t="n">
        <x:v>0</x:v>
      </x:c>
      <x:c r="M599" t="n">
        <x:v>0</x:v>
      </x:c>
    </x:row>
    <x:row r="600">
      <x:c r="A600" t="str">
        <x:v>MI|Calculateur|19</x:v>
      </x:c>
      <x:c r="B600" t="str">
        <x:v>Mineur</x:v>
      </x:c>
      <x:c r="C600" t="str">
        <x:v>Calculateur</x:v>
      </x:c>
      <x:c r="D600" t="n">
        <x:v>19</x:v>
      </x:c>
      <x:c r="E600" t="n">
        <x:v>0</x:v>
      </x:c>
      <x:c r="F600" t="n">
        <x:v>0</x:v>
      </x:c>
      <x:c r="G600" t="n">
        <x:v>0</x:v>
      </x:c>
      <x:c r="H600" t="n">
        <x:v>12</x:v>
      </x:c>
      <x:c r="I600" t="n">
        <x:v>7</x:v>
      </x:c>
      <x:c r="J600" t="n">
        <x:v>0</x:v>
      </x:c>
      <x:c r="K600" t="n">
        <x:v>0</x:v>
      </x:c>
      <x:c r="L600" t="n">
        <x:v>0</x:v>
      </x:c>
      <x:c r="M600" t="n">
        <x:v>0</x:v>
      </x:c>
    </x:row>
    <x:row r="601">
      <x:c r="A601" t="str">
        <x:v>MI|Calculateur|20</x:v>
      </x:c>
      <x:c r="B601" t="str">
        <x:v>Mineur</x:v>
      </x:c>
      <x:c r="C601" t="str">
        <x:v>Calculateur</x:v>
      </x:c>
      <x:c r="D601" t="n">
        <x:v>20</x:v>
      </x:c>
      <x:c r="E601" t="n">
        <x:v>0</x:v>
      </x:c>
      <x:c r="F601" t="n">
        <x:v>0</x:v>
      </x:c>
      <x:c r="G601" t="n">
        <x:v>0</x:v>
      </x:c>
      <x:c r="H601" t="n">
        <x:v>13</x:v>
      </x:c>
      <x:c r="I601" t="n">
        <x:v>7</x:v>
      </x:c>
      <x:c r="J601" t="n">
        <x:v>0</x:v>
      </x:c>
      <x:c r="K601" t="n">
        <x:v>0</x:v>
      </x:c>
      <x:c r="L601" t="n">
        <x:v>0</x:v>
      </x:c>
      <x:c r="M601" t="n">
        <x:v>0</x:v>
      </x:c>
    </x:row>
    <x:row r="602">
      <x:c r="A602" t="str">
        <x:v>MI|Calculateur|21</x:v>
      </x:c>
      <x:c r="B602" t="str">
        <x:v>Mineur</x:v>
      </x:c>
      <x:c r="C602" t="str">
        <x:v>Calculateur</x:v>
      </x:c>
      <x:c r="D602" t="n">
        <x:v>21</x:v>
      </x:c>
      <x:c r="E602" t="n">
        <x:v>0</x:v>
      </x:c>
      <x:c r="F602" t="n">
        <x:v>0</x:v>
      </x:c>
      <x:c r="G602" t="n">
        <x:v>0</x:v>
      </x:c>
      <x:c r="H602" t="n">
        <x:v>14</x:v>
      </x:c>
      <x:c r="I602" t="n">
        <x:v>7</x:v>
      </x:c>
      <x:c r="J602" t="n">
        <x:v>0</x:v>
      </x:c>
      <x:c r="K602" t="n">
        <x:v>0</x:v>
      </x:c>
      <x:c r="L602" t="n">
        <x:v>0</x:v>
      </x:c>
      <x:c r="M602" t="n">
        <x:v>0</x:v>
      </x:c>
    </x:row>
    <x:row r="603">
      <x:c r="A603" t="str">
        <x:v>MI|Vigilant|0</x:v>
      </x:c>
      <x:c r="B603" t="str">
        <x:v>Mineur</x:v>
      </x:c>
      <x:c r="C603" t="str">
        <x:v>Vigilant</x:v>
      </x:c>
      <x:c r="D603" t="n">
        <x:v>0</x:v>
      </x:c>
      <x:c r="E603" t="n">
        <x:v>0</x:v>
      </x:c>
      <x:c r="F603" t="n">
        <x:v>0</x:v>
      </x:c>
      <x:c r="G603" t="n">
        <x:v>0</x:v>
      </x:c>
      <x:c r="H603" t="n">
        <x:v>0</x:v>
      </x:c>
      <x:c r="I603" t="n">
        <x:v>0</x:v>
      </x:c>
      <x:c r="J603" t="n">
        <x:v>0</x:v>
      </x:c>
      <x:c r="K603" t="n">
        <x:v>0</x:v>
      </x:c>
      <x:c r="L603" t="n">
        <x:v>0</x:v>
      </x:c>
      <x:c r="M603" t="n">
        <x:v>0</x:v>
      </x:c>
    </x:row>
    <x:row r="604">
      <x:c r="A604" t="str">
        <x:v>MI|Vigilant|1</x:v>
      </x:c>
      <x:c r="B604" t="str">
        <x:v>Mineur</x:v>
      </x:c>
      <x:c r="C604" t="str">
        <x:v>Vigilant</x:v>
      </x:c>
      <x:c r="D604" t="n">
        <x:v>1</x:v>
      </x:c>
      <x:c r="E604" t="n">
        <x:v>0</x:v>
      </x:c>
      <x:c r="F604" t="n">
        <x:v>0</x:v>
      </x:c>
      <x:c r="G604" t="n">
        <x:v>0</x:v>
      </x:c>
      <x:c r="H604" t="n">
        <x:v>0</x:v>
      </x:c>
      <x:c r="I604" t="n">
        <x:v>1</x:v>
      </x:c>
      <x:c r="J604" t="n">
        <x:v>0</x:v>
      </x:c>
      <x:c r="K604" t="n">
        <x:v>0</x:v>
      </x:c>
      <x:c r="L604" t="n">
        <x:v>0</x:v>
      </x:c>
      <x:c r="M604" t="n">
        <x:v>0</x:v>
      </x:c>
    </x:row>
    <x:row r="605">
      <x:c r="A605" t="str">
        <x:v>MI|Vigilant|2</x:v>
      </x:c>
      <x:c r="B605" t="str">
        <x:v>Mineur</x:v>
      </x:c>
      <x:c r="C605" t="str">
        <x:v>Vigilant</x:v>
      </x:c>
      <x:c r="D605" t="n">
        <x:v>2</x:v>
      </x:c>
      <x:c r="E605" t="n">
        <x:v>0</x:v>
      </x:c>
      <x:c r="F605" t="n">
        <x:v>1</x:v>
      </x:c>
      <x:c r="G605" t="n">
        <x:v>0</x:v>
      </x:c>
      <x:c r="H605" t="n">
        <x:v>0</x:v>
      </x:c>
      <x:c r="I605" t="n">
        <x:v>1</x:v>
      </x:c>
      <x:c r="J605" t="n">
        <x:v>0</x:v>
      </x:c>
      <x:c r="K605" t="n">
        <x:v>0</x:v>
      </x:c>
      <x:c r="L605" t="n">
        <x:v>0</x:v>
      </x:c>
      <x:c r="M605" t="n">
        <x:v>0</x:v>
      </x:c>
    </x:row>
    <x:row r="606">
      <x:c r="A606" t="str">
        <x:v>MI|Vigilant|3</x:v>
      </x:c>
      <x:c r="B606" t="str">
        <x:v>Mineur</x:v>
      </x:c>
      <x:c r="C606" t="str">
        <x:v>Vigilant</x:v>
      </x:c>
      <x:c r="D606" t="n">
        <x:v>3</x:v>
      </x:c>
      <x:c r="E606" t="n">
        <x:v>0</x:v>
      </x:c>
      <x:c r="F606" t="n">
        <x:v>1</x:v>
      </x:c>
      <x:c r="G606" t="n">
        <x:v>0</x:v>
      </x:c>
      <x:c r="H606" t="n">
        <x:v>0</x:v>
      </x:c>
      <x:c r="I606" t="n">
        <x:v>2</x:v>
      </x:c>
      <x:c r="J606" t="n">
        <x:v>0</x:v>
      </x:c>
      <x:c r="K606" t="n">
        <x:v>0</x:v>
      </x:c>
      <x:c r="L606" t="n">
        <x:v>0</x:v>
      </x:c>
      <x:c r="M606" t="n">
        <x:v>0</x:v>
      </x:c>
    </x:row>
    <x:row r="607">
      <x:c r="A607" t="str">
        <x:v>MI|Vigilant|4</x:v>
      </x:c>
      <x:c r="B607" t="str">
        <x:v>Mineur</x:v>
      </x:c>
      <x:c r="C607" t="str">
        <x:v>Vigilant</x:v>
      </x:c>
      <x:c r="D607" t="n">
        <x:v>4</x:v>
      </x:c>
      <x:c r="E607" t="n">
        <x:v>0</x:v>
      </x:c>
      <x:c r="F607" t="n">
        <x:v>1</x:v>
      </x:c>
      <x:c r="G607" t="n">
        <x:v>0</x:v>
      </x:c>
      <x:c r="H607" t="n">
        <x:v>0</x:v>
      </x:c>
      <x:c r="I607" t="n">
        <x:v>3</x:v>
      </x:c>
      <x:c r="J607" t="n">
        <x:v>0</x:v>
      </x:c>
      <x:c r="K607" t="n">
        <x:v>0</x:v>
      </x:c>
      <x:c r="L607" t="n">
        <x:v>0</x:v>
      </x:c>
      <x:c r="M607" t="n">
        <x:v>0</x:v>
      </x:c>
    </x:row>
    <x:row r="608">
      <x:c r="A608" t="str">
        <x:v>MI|Vigilant|5</x:v>
      </x:c>
      <x:c r="B608" t="str">
        <x:v>Mineur</x:v>
      </x:c>
      <x:c r="C608" t="str">
        <x:v>Vigilant</x:v>
      </x:c>
      <x:c r="D608" t="n">
        <x:v>5</x:v>
      </x:c>
      <x:c r="E608" t="n">
        <x:v>0</x:v>
      </x:c>
      <x:c r="F608" t="n">
        <x:v>2</x:v>
      </x:c>
      <x:c r="G608" t="n">
        <x:v>0</x:v>
      </x:c>
      <x:c r="H608" t="n">
        <x:v>0</x:v>
      </x:c>
      <x:c r="I608" t="n">
        <x:v>3</x:v>
      </x:c>
      <x:c r="J608" t="n">
        <x:v>0</x:v>
      </x:c>
      <x:c r="K608" t="n">
        <x:v>0</x:v>
      </x:c>
      <x:c r="L608" t="n">
        <x:v>0</x:v>
      </x:c>
      <x:c r="M608" t="n">
        <x:v>0</x:v>
      </x:c>
    </x:row>
    <x:row r="609">
      <x:c r="A609" t="str">
        <x:v>MI|Vigilant|6</x:v>
      </x:c>
      <x:c r="B609" t="str">
        <x:v>Mineur</x:v>
      </x:c>
      <x:c r="C609" t="str">
        <x:v>Vigilant</x:v>
      </x:c>
      <x:c r="D609" t="n">
        <x:v>6</x:v>
      </x:c>
      <x:c r="E609" t="n">
        <x:v>0</x:v>
      </x:c>
      <x:c r="F609" t="n">
        <x:v>2</x:v>
      </x:c>
      <x:c r="G609" t="n">
        <x:v>0</x:v>
      </x:c>
      <x:c r="H609" t="n">
        <x:v>0</x:v>
      </x:c>
      <x:c r="I609" t="n">
        <x:v>4</x:v>
      </x:c>
      <x:c r="J609" t="n">
        <x:v>0</x:v>
      </x:c>
      <x:c r="K609" t="n">
        <x:v>0</x:v>
      </x:c>
      <x:c r="L609" t="n">
        <x:v>0</x:v>
      </x:c>
      <x:c r="M609" t="n">
        <x:v>0</x:v>
      </x:c>
    </x:row>
    <x:row r="610">
      <x:c r="A610" t="str">
        <x:v>MI|Vigilant|7</x:v>
      </x:c>
      <x:c r="B610" t="str">
        <x:v>Mineur</x:v>
      </x:c>
      <x:c r="C610" t="str">
        <x:v>Vigilant</x:v>
      </x:c>
      <x:c r="D610" t="n">
        <x:v>7</x:v>
      </x:c>
      <x:c r="E610" t="n">
        <x:v>0</x:v>
      </x:c>
      <x:c r="F610" t="n">
        <x:v>2</x:v>
      </x:c>
      <x:c r="G610" t="n">
        <x:v>0</x:v>
      </x:c>
      <x:c r="H610" t="n">
        <x:v>0</x:v>
      </x:c>
      <x:c r="I610" t="n">
        <x:v>5</x:v>
      </x:c>
      <x:c r="J610" t="n">
        <x:v>0</x:v>
      </x:c>
      <x:c r="K610" t="n">
        <x:v>0</x:v>
      </x:c>
      <x:c r="L610" t="n">
        <x:v>0</x:v>
      </x:c>
      <x:c r="M610" t="n">
        <x:v>0</x:v>
      </x:c>
    </x:row>
    <x:row r="611">
      <x:c r="A611" t="str">
        <x:v>MI|Vigilant|8</x:v>
      </x:c>
      <x:c r="B611" t="str">
        <x:v>Mineur</x:v>
      </x:c>
      <x:c r="C611" t="str">
        <x:v>Vigilant</x:v>
      </x:c>
      <x:c r="D611" t="n">
        <x:v>8</x:v>
      </x:c>
      <x:c r="E611" t="n">
        <x:v>0</x:v>
      </x:c>
      <x:c r="F611" t="n">
        <x:v>3</x:v>
      </x:c>
      <x:c r="G611" t="n">
        <x:v>0</x:v>
      </x:c>
      <x:c r="H611" t="n">
        <x:v>0</x:v>
      </x:c>
      <x:c r="I611" t="n">
        <x:v>5</x:v>
      </x:c>
      <x:c r="J611" t="n">
        <x:v>0</x:v>
      </x:c>
      <x:c r="K611" t="n">
        <x:v>0</x:v>
      </x:c>
      <x:c r="L611" t="n">
        <x:v>0</x:v>
      </x:c>
      <x:c r="M611" t="n">
        <x:v>0</x:v>
      </x:c>
    </x:row>
    <x:row r="612">
      <x:c r="A612" t="str">
        <x:v>MI|Vigilant|9</x:v>
      </x:c>
      <x:c r="B612" t="str">
        <x:v>Mineur</x:v>
      </x:c>
      <x:c r="C612" t="str">
        <x:v>Vigilant</x:v>
      </x:c>
      <x:c r="D612" t="n">
        <x:v>9</x:v>
      </x:c>
      <x:c r="E612" t="n">
        <x:v>0</x:v>
      </x:c>
      <x:c r="F612" t="n">
        <x:v>3</x:v>
      </x:c>
      <x:c r="G612" t="n">
        <x:v>0</x:v>
      </x:c>
      <x:c r="H612" t="n">
        <x:v>0</x:v>
      </x:c>
      <x:c r="I612" t="n">
        <x:v>6</x:v>
      </x:c>
      <x:c r="J612" t="n">
        <x:v>0</x:v>
      </x:c>
      <x:c r="K612" t="n">
        <x:v>0</x:v>
      </x:c>
      <x:c r="L612" t="n">
        <x:v>0</x:v>
      </x:c>
      <x:c r="M612" t="n">
        <x:v>0</x:v>
      </x:c>
    </x:row>
    <x:row r="613">
      <x:c r="A613" t="str">
        <x:v>MI|Vigilant|10</x:v>
      </x:c>
      <x:c r="B613" t="str">
        <x:v>Mineur</x:v>
      </x:c>
      <x:c r="C613" t="str">
        <x:v>Vigilant</x:v>
      </x:c>
      <x:c r="D613" t="n">
        <x:v>10</x:v>
      </x:c>
      <x:c r="E613" t="n">
        <x:v>0</x:v>
      </x:c>
      <x:c r="F613" t="n">
        <x:v>4</x:v>
      </x:c>
      <x:c r="G613" t="n">
        <x:v>0</x:v>
      </x:c>
      <x:c r="H613" t="n">
        <x:v>0</x:v>
      </x:c>
      <x:c r="I613" t="n">
        <x:v>6</x:v>
      </x:c>
      <x:c r="J613" t="n">
        <x:v>0</x:v>
      </x:c>
      <x:c r="K613" t="n">
        <x:v>0</x:v>
      </x:c>
      <x:c r="L613" t="n">
        <x:v>0</x:v>
      </x:c>
      <x:c r="M613" t="n">
        <x:v>0</x:v>
      </x:c>
    </x:row>
    <x:row r="614">
      <x:c r="A614" t="str">
        <x:v>MI|Vigilant|11</x:v>
      </x:c>
      <x:c r="B614" t="str">
        <x:v>Mineur</x:v>
      </x:c>
      <x:c r="C614" t="str">
        <x:v>Vigilant</x:v>
      </x:c>
      <x:c r="D614" t="n">
        <x:v>11</x:v>
      </x:c>
      <x:c r="E614" t="n">
        <x:v>0</x:v>
      </x:c>
      <x:c r="F614" t="n">
        <x:v>4</x:v>
      </x:c>
      <x:c r="G614" t="n">
        <x:v>0</x:v>
      </x:c>
      <x:c r="H614" t="n">
        <x:v>0</x:v>
      </x:c>
      <x:c r="I614" t="n">
        <x:v>7</x:v>
      </x:c>
      <x:c r="J614" t="n">
        <x:v>0</x:v>
      </x:c>
      <x:c r="K614" t="n">
        <x:v>0</x:v>
      </x:c>
      <x:c r="L614" t="n">
        <x:v>0</x:v>
      </x:c>
      <x:c r="M614" t="n">
        <x:v>0</x:v>
      </x:c>
    </x:row>
    <x:row r="615">
      <x:c r="A615" t="str">
        <x:v>MI|Vigilant|12</x:v>
      </x:c>
      <x:c r="B615" t="str">
        <x:v>Mineur</x:v>
      </x:c>
      <x:c r="C615" t="str">
        <x:v>Vigilant</x:v>
      </x:c>
      <x:c r="D615" t="n">
        <x:v>12</x:v>
      </x:c>
      <x:c r="E615" t="n">
        <x:v>0</x:v>
      </x:c>
      <x:c r="F615" t="n">
        <x:v>4</x:v>
      </x:c>
      <x:c r="G615" t="n">
        <x:v>0</x:v>
      </x:c>
      <x:c r="H615" t="n">
        <x:v>0</x:v>
      </x:c>
      <x:c r="I615" t="n">
        <x:v>8</x:v>
      </x:c>
      <x:c r="J615" t="n">
        <x:v>0</x:v>
      </x:c>
      <x:c r="K615" t="n">
        <x:v>0</x:v>
      </x:c>
      <x:c r="L615" t="n">
        <x:v>0</x:v>
      </x:c>
      <x:c r="M615" t="n">
        <x:v>0</x:v>
      </x:c>
    </x:row>
    <x:row r="616">
      <x:c r="A616" t="str">
        <x:v>MI|Vigilant|13</x:v>
      </x:c>
      <x:c r="B616" t="str">
        <x:v>Mineur</x:v>
      </x:c>
      <x:c r="C616" t="str">
        <x:v>Vigilant</x:v>
      </x:c>
      <x:c r="D616" t="n">
        <x:v>13</x:v>
      </x:c>
      <x:c r="E616" t="n">
        <x:v>0</x:v>
      </x:c>
      <x:c r="F616" t="n">
        <x:v>5</x:v>
      </x:c>
      <x:c r="G616" t="n">
        <x:v>0</x:v>
      </x:c>
      <x:c r="H616" t="n">
        <x:v>0</x:v>
      </x:c>
      <x:c r="I616" t="n">
        <x:v>8</x:v>
      </x:c>
      <x:c r="J616" t="n">
        <x:v>0</x:v>
      </x:c>
      <x:c r="K616" t="n">
        <x:v>0</x:v>
      </x:c>
      <x:c r="L616" t="n">
        <x:v>0</x:v>
      </x:c>
      <x:c r="M616" t="n">
        <x:v>0</x:v>
      </x:c>
    </x:row>
    <x:row r="617">
      <x:c r="A617" t="str">
        <x:v>MI|Vigilant|14</x:v>
      </x:c>
      <x:c r="B617" t="str">
        <x:v>Mineur</x:v>
      </x:c>
      <x:c r="C617" t="str">
        <x:v>Vigilant</x:v>
      </x:c>
      <x:c r="D617" t="n">
        <x:v>14</x:v>
      </x:c>
      <x:c r="E617" t="n">
        <x:v>0</x:v>
      </x:c>
      <x:c r="F617" t="n">
        <x:v>5</x:v>
      </x:c>
      <x:c r="G617" t="n">
        <x:v>0</x:v>
      </x:c>
      <x:c r="H617" t="n">
        <x:v>0</x:v>
      </x:c>
      <x:c r="I617" t="n">
        <x:v>9</x:v>
      </x:c>
      <x:c r="J617" t="n">
        <x:v>0</x:v>
      </x:c>
      <x:c r="K617" t="n">
        <x:v>0</x:v>
      </x:c>
      <x:c r="L617" t="n">
        <x:v>0</x:v>
      </x:c>
      <x:c r="M617" t="n">
        <x:v>0</x:v>
      </x:c>
    </x:row>
    <x:row r="618">
      <x:c r="A618" t="str">
        <x:v>MI|Vigilant|15</x:v>
      </x:c>
      <x:c r="B618" t="str">
        <x:v>Mineur</x:v>
      </x:c>
      <x:c r="C618" t="str">
        <x:v>Vigilant</x:v>
      </x:c>
      <x:c r="D618" t="n">
        <x:v>15</x:v>
      </x:c>
      <x:c r="E618" t="n">
        <x:v>0</x:v>
      </x:c>
      <x:c r="F618" t="n">
        <x:v>5</x:v>
      </x:c>
      <x:c r="G618" t="n">
        <x:v>0</x:v>
      </x:c>
      <x:c r="H618" t="n">
        <x:v>0</x:v>
      </x:c>
      <x:c r="I618" t="n">
        <x:v>10</x:v>
      </x:c>
      <x:c r="J618" t="n">
        <x:v>0</x:v>
      </x:c>
      <x:c r="K618" t="n">
        <x:v>0</x:v>
      </x:c>
      <x:c r="L618" t="n">
        <x:v>0</x:v>
      </x:c>
      <x:c r="M618" t="n">
        <x:v>0</x:v>
      </x:c>
    </x:row>
    <x:row r="619">
      <x:c r="A619" t="str">
        <x:v>MI|Vigilant|16</x:v>
      </x:c>
      <x:c r="B619" t="str">
        <x:v>Mineur</x:v>
      </x:c>
      <x:c r="C619" t="str">
        <x:v>Vigilant</x:v>
      </x:c>
      <x:c r="D619" t="n">
        <x:v>16</x:v>
      </x:c>
      <x:c r="E619" t="n">
        <x:v>0</x:v>
      </x:c>
      <x:c r="F619" t="n">
        <x:v>6</x:v>
      </x:c>
      <x:c r="G619" t="n">
        <x:v>0</x:v>
      </x:c>
      <x:c r="H619" t="n">
        <x:v>0</x:v>
      </x:c>
      <x:c r="I619" t="n">
        <x:v>10</x:v>
      </x:c>
      <x:c r="J619" t="n">
        <x:v>0</x:v>
      </x:c>
      <x:c r="K619" t="n">
        <x:v>0</x:v>
      </x:c>
      <x:c r="L619" t="n">
        <x:v>0</x:v>
      </x:c>
      <x:c r="M619" t="n">
        <x:v>0</x:v>
      </x:c>
    </x:row>
    <x:row r="620">
      <x:c r="A620" t="str">
        <x:v>MI|Vigilant|17</x:v>
      </x:c>
      <x:c r="B620" t="str">
        <x:v>Mineur</x:v>
      </x:c>
      <x:c r="C620" t="str">
        <x:v>Vigilant</x:v>
      </x:c>
      <x:c r="D620" t="n">
        <x:v>17</x:v>
      </x:c>
      <x:c r="E620" t="n">
        <x:v>0</x:v>
      </x:c>
      <x:c r="F620" t="n">
        <x:v>6</x:v>
      </x:c>
      <x:c r="G620" t="n">
        <x:v>0</x:v>
      </x:c>
      <x:c r="H620" t="n">
        <x:v>0</x:v>
      </x:c>
      <x:c r="I620" t="n">
        <x:v>11</x:v>
      </x:c>
      <x:c r="J620" t="n">
        <x:v>0</x:v>
      </x:c>
      <x:c r="K620" t="n">
        <x:v>0</x:v>
      </x:c>
      <x:c r="L620" t="n">
        <x:v>0</x:v>
      </x:c>
      <x:c r="M620" t="n">
        <x:v>0</x:v>
      </x:c>
    </x:row>
    <x:row r="621">
      <x:c r="A621" t="str">
        <x:v>MI|Vigilant|18</x:v>
      </x:c>
      <x:c r="B621" t="str">
        <x:v>Mineur</x:v>
      </x:c>
      <x:c r="C621" t="str">
        <x:v>Vigilant</x:v>
      </x:c>
      <x:c r="D621" t="n">
        <x:v>18</x:v>
      </x:c>
      <x:c r="E621" t="n">
        <x:v>0</x:v>
      </x:c>
      <x:c r="F621" t="n">
        <x:v>6</x:v>
      </x:c>
      <x:c r="G621" t="n">
        <x:v>0</x:v>
      </x:c>
      <x:c r="H621" t="n">
        <x:v>0</x:v>
      </x:c>
      <x:c r="I621" t="n">
        <x:v>12</x:v>
      </x:c>
      <x:c r="J621" t="n">
        <x:v>0</x:v>
      </x:c>
      <x:c r="K621" t="n">
        <x:v>0</x:v>
      </x:c>
      <x:c r="L621" t="n">
        <x:v>0</x:v>
      </x:c>
      <x:c r="M621" t="n">
        <x:v>0</x:v>
      </x:c>
    </x:row>
    <x:row r="622">
      <x:c r="A622" t="str">
        <x:v>MI|Vigilant|19</x:v>
      </x:c>
      <x:c r="B622" t="str">
        <x:v>Mineur</x:v>
      </x:c>
      <x:c r="C622" t="str">
        <x:v>Vigilant</x:v>
      </x:c>
      <x:c r="D622" t="n">
        <x:v>19</x:v>
      </x:c>
      <x:c r="E622" t="n">
        <x:v>0</x:v>
      </x:c>
      <x:c r="F622" t="n">
        <x:v>7</x:v>
      </x:c>
      <x:c r="G622" t="n">
        <x:v>0</x:v>
      </x:c>
      <x:c r="H622" t="n">
        <x:v>0</x:v>
      </x:c>
      <x:c r="I622" t="n">
        <x:v>12</x:v>
      </x:c>
      <x:c r="J622" t="n">
        <x:v>0</x:v>
      </x:c>
      <x:c r="K622" t="n">
        <x:v>0</x:v>
      </x:c>
      <x:c r="L622" t="n">
        <x:v>0</x:v>
      </x:c>
      <x:c r="M622" t="n">
        <x:v>0</x:v>
      </x:c>
    </x:row>
    <x:row r="623">
      <x:c r="A623" t="str">
        <x:v>MI|Vigilant|20</x:v>
      </x:c>
      <x:c r="B623" t="str">
        <x:v>Mineur</x:v>
      </x:c>
      <x:c r="C623" t="str">
        <x:v>Vigilant</x:v>
      </x:c>
      <x:c r="D623" t="n">
        <x:v>20</x:v>
      </x:c>
      <x:c r="E623" t="n">
        <x:v>0</x:v>
      </x:c>
      <x:c r="F623" t="n">
        <x:v>7</x:v>
      </x:c>
      <x:c r="G623" t="n">
        <x:v>0</x:v>
      </x:c>
      <x:c r="H623" t="n">
        <x:v>0</x:v>
      </x:c>
      <x:c r="I623" t="n">
        <x:v>13</x:v>
      </x:c>
      <x:c r="J623" t="n">
        <x:v>0</x:v>
      </x:c>
      <x:c r="K623" t="n">
        <x:v>0</x:v>
      </x:c>
      <x:c r="L623" t="n">
        <x:v>0</x:v>
      </x:c>
      <x:c r="M623" t="n">
        <x:v>0</x:v>
      </x:c>
    </x:row>
    <x:row r="624">
      <x:c r="A624" t="str">
        <x:v>MI|Vigilant|21</x:v>
      </x:c>
      <x:c r="B624" t="str">
        <x:v>Mineur</x:v>
      </x:c>
      <x:c r="C624" t="str">
        <x:v>Vigilant</x:v>
      </x:c>
      <x:c r="D624" t="n">
        <x:v>21</x:v>
      </x:c>
      <x:c r="E624" t="n">
        <x:v>0</x:v>
      </x:c>
      <x:c r="F624" t="n">
        <x:v>7</x:v>
      </x:c>
      <x:c r="G624" t="n">
        <x:v>0</x:v>
      </x:c>
      <x:c r="H624" t="n">
        <x:v>0</x:v>
      </x:c>
      <x:c r="I624" t="n">
        <x:v>14</x:v>
      </x:c>
      <x:c r="J624" t="n">
        <x:v>0</x:v>
      </x:c>
      <x:c r="K624" t="n">
        <x:v>0</x:v>
      </x:c>
      <x:c r="L624" t="n">
        <x:v>0</x:v>
      </x:c>
      <x:c r="M624" t="n">
        <x:v>0</x:v>
      </x:c>
    </x:row>
    <x:row r="625">
      <x:c r="A625" t="str">
        <x:v>MI|Prudent|0</x:v>
      </x:c>
      <x:c r="B625" t="str">
        <x:v>Mineur</x:v>
      </x:c>
      <x:c r="C625" t="str">
        <x:v>Prudent</x:v>
      </x:c>
      <x:c r="D625" t="n">
        <x:v>0</x:v>
      </x:c>
      <x:c r="E625" t="n">
        <x:v>0</x:v>
      </x:c>
      <x:c r="F625" t="n">
        <x:v>0</x:v>
      </x:c>
      <x:c r="G625" t="n">
        <x:v>0</x:v>
      </x:c>
      <x:c r="H625" t="n">
        <x:v>0</x:v>
      </x:c>
      <x:c r="I625" t="n">
        <x:v>0</x:v>
      </x:c>
      <x:c r="J625" t="n">
        <x:v>0</x:v>
      </x:c>
      <x:c r="K625" t="n">
        <x:v>0</x:v>
      </x:c>
      <x:c r="L625" t="n">
        <x:v>0</x:v>
      </x:c>
      <x:c r="M625" t="n">
        <x:v>0</x:v>
      </x:c>
    </x:row>
    <x:row r="626">
      <x:c r="A626" t="str">
        <x:v>MI|Prudent|1</x:v>
      </x:c>
      <x:c r="B626" t="str">
        <x:v>Mineur</x:v>
      </x:c>
      <x:c r="C626" t="str">
        <x:v>Prudent</x:v>
      </x:c>
      <x:c r="D626" t="n">
        <x:v>1</x:v>
      </x:c>
      <x:c r="E626" t="n">
        <x:v>0</x:v>
      </x:c>
      <x:c r="F626" t="n">
        <x:v>0</x:v>
      </x:c>
      <x:c r="G626" t="n">
        <x:v>0</x:v>
      </x:c>
      <x:c r="H626" t="n">
        <x:v>0</x:v>
      </x:c>
      <x:c r="I626" t="n">
        <x:v>1</x:v>
      </x:c>
      <x:c r="J626" t="n">
        <x:v>0</x:v>
      </x:c>
      <x:c r="K626" t="n">
        <x:v>0</x:v>
      </x:c>
      <x:c r="L626" t="n">
        <x:v>0</x:v>
      </x:c>
      <x:c r="M626" t="n">
        <x:v>0</x:v>
      </x:c>
    </x:row>
    <x:row r="627">
      <x:c r="A627" t="str">
        <x:v>MI|Prudent|2</x:v>
      </x:c>
      <x:c r="B627" t="str">
        <x:v>Mineur</x:v>
      </x:c>
      <x:c r="C627" t="str">
        <x:v>Prudent</x:v>
      </x:c>
      <x:c r="D627" t="n">
        <x:v>2</x:v>
      </x:c>
      <x:c r="E627" t="n">
        <x:v>0</x:v>
      </x:c>
      <x:c r="F627" t="n">
        <x:v>0</x:v>
      </x:c>
      <x:c r="G627" t="n">
        <x:v>1</x:v>
      </x:c>
      <x:c r="H627" t="n">
        <x:v>0</x:v>
      </x:c>
      <x:c r="I627" t="n">
        <x:v>1</x:v>
      </x:c>
      <x:c r="J627" t="n">
        <x:v>0</x:v>
      </x:c>
      <x:c r="K627" t="n">
        <x:v>0</x:v>
      </x:c>
      <x:c r="L627" t="n">
        <x:v>0</x:v>
      </x:c>
      <x:c r="M627" t="n">
        <x:v>0</x:v>
      </x:c>
    </x:row>
    <x:row r="628">
      <x:c r="A628" t="str">
        <x:v>MI|Prudent|3</x:v>
      </x:c>
      <x:c r="B628" t="str">
        <x:v>Mineur</x:v>
      </x:c>
      <x:c r="C628" t="str">
        <x:v>Prudent</x:v>
      </x:c>
      <x:c r="D628" t="n">
        <x:v>3</x:v>
      </x:c>
      <x:c r="E628" t="n">
        <x:v>0</x:v>
      </x:c>
      <x:c r="F628" t="n">
        <x:v>0</x:v>
      </x:c>
      <x:c r="G628" t="n">
        <x:v>1</x:v>
      </x:c>
      <x:c r="H628" t="n">
        <x:v>0</x:v>
      </x:c>
      <x:c r="I628" t="n">
        <x:v>2</x:v>
      </x:c>
      <x:c r="J628" t="n">
        <x:v>0</x:v>
      </x:c>
      <x:c r="K628" t="n">
        <x:v>0</x:v>
      </x:c>
      <x:c r="L628" t="n">
        <x:v>0</x:v>
      </x:c>
      <x:c r="M628" t="n">
        <x:v>0</x:v>
      </x:c>
    </x:row>
    <x:row r="629">
      <x:c r="A629" t="str">
        <x:v>MI|Prudent|4</x:v>
      </x:c>
      <x:c r="B629" t="str">
        <x:v>Mineur</x:v>
      </x:c>
      <x:c r="C629" t="str">
        <x:v>Prudent</x:v>
      </x:c>
      <x:c r="D629" t="n">
        <x:v>4</x:v>
      </x:c>
      <x:c r="E629" t="n">
        <x:v>0</x:v>
      </x:c>
      <x:c r="F629" t="n">
        <x:v>0</x:v>
      </x:c>
      <x:c r="G629" t="n">
        <x:v>1</x:v>
      </x:c>
      <x:c r="H629" t="n">
        <x:v>0</x:v>
      </x:c>
      <x:c r="I629" t="n">
        <x:v>3</x:v>
      </x:c>
      <x:c r="J629" t="n">
        <x:v>0</x:v>
      </x:c>
      <x:c r="K629" t="n">
        <x:v>0</x:v>
      </x:c>
      <x:c r="L629" t="n">
        <x:v>0</x:v>
      </x:c>
      <x:c r="M629" t="n">
        <x:v>0</x:v>
      </x:c>
    </x:row>
    <x:row r="630">
      <x:c r="A630" t="str">
        <x:v>MI|Prudent|5</x:v>
      </x:c>
      <x:c r="B630" t="str">
        <x:v>Mineur</x:v>
      </x:c>
      <x:c r="C630" t="str">
        <x:v>Prudent</x:v>
      </x:c>
      <x:c r="D630" t="n">
        <x:v>5</x:v>
      </x:c>
      <x:c r="E630" t="n">
        <x:v>0</x:v>
      </x:c>
      <x:c r="F630" t="n">
        <x:v>0</x:v>
      </x:c>
      <x:c r="G630" t="n">
        <x:v>2</x:v>
      </x:c>
      <x:c r="H630" t="n">
        <x:v>0</x:v>
      </x:c>
      <x:c r="I630" t="n">
        <x:v>3</x:v>
      </x:c>
      <x:c r="J630" t="n">
        <x:v>0</x:v>
      </x:c>
      <x:c r="K630" t="n">
        <x:v>0</x:v>
      </x:c>
      <x:c r="L630" t="n">
        <x:v>0</x:v>
      </x:c>
      <x:c r="M630" t="n">
        <x:v>0</x:v>
      </x:c>
    </x:row>
    <x:row r="631">
      <x:c r="A631" t="str">
        <x:v>MI|Prudent|6</x:v>
      </x:c>
      <x:c r="B631" t="str">
        <x:v>Mineur</x:v>
      </x:c>
      <x:c r="C631" t="str">
        <x:v>Prudent</x:v>
      </x:c>
      <x:c r="D631" t="n">
        <x:v>6</x:v>
      </x:c>
      <x:c r="E631" t="n">
        <x:v>0</x:v>
      </x:c>
      <x:c r="F631" t="n">
        <x:v>0</x:v>
      </x:c>
      <x:c r="G631" t="n">
        <x:v>2</x:v>
      </x:c>
      <x:c r="H631" t="n">
        <x:v>0</x:v>
      </x:c>
      <x:c r="I631" t="n">
        <x:v>4</x:v>
      </x:c>
      <x:c r="J631" t="n">
        <x:v>0</x:v>
      </x:c>
      <x:c r="K631" t="n">
        <x:v>0</x:v>
      </x:c>
      <x:c r="L631" t="n">
        <x:v>0</x:v>
      </x:c>
      <x:c r="M631" t="n">
        <x:v>0</x:v>
      </x:c>
    </x:row>
    <x:row r="632">
      <x:c r="A632" t="str">
        <x:v>MI|Prudent|7</x:v>
      </x:c>
      <x:c r="B632" t="str">
        <x:v>Mineur</x:v>
      </x:c>
      <x:c r="C632" t="str">
        <x:v>Prudent</x:v>
      </x:c>
      <x:c r="D632" t="n">
        <x:v>7</x:v>
      </x:c>
      <x:c r="E632" t="n">
        <x:v>0</x:v>
      </x:c>
      <x:c r="F632" t="n">
        <x:v>0</x:v>
      </x:c>
      <x:c r="G632" t="n">
        <x:v>2</x:v>
      </x:c>
      <x:c r="H632" t="n">
        <x:v>0</x:v>
      </x:c>
      <x:c r="I632" t="n">
        <x:v>5</x:v>
      </x:c>
      <x:c r="J632" t="n">
        <x:v>0</x:v>
      </x:c>
      <x:c r="K632" t="n">
        <x:v>0</x:v>
      </x:c>
      <x:c r="L632" t="n">
        <x:v>0</x:v>
      </x:c>
      <x:c r="M632" t="n">
        <x:v>0</x:v>
      </x:c>
    </x:row>
    <x:row r="633">
      <x:c r="A633" t="str">
        <x:v>MI|Prudent|8</x:v>
      </x:c>
      <x:c r="B633" t="str">
        <x:v>Mineur</x:v>
      </x:c>
      <x:c r="C633" t="str">
        <x:v>Prudent</x:v>
      </x:c>
      <x:c r="D633" t="n">
        <x:v>8</x:v>
      </x:c>
      <x:c r="E633" t="n">
        <x:v>0</x:v>
      </x:c>
      <x:c r="F633" t="n">
        <x:v>0</x:v>
      </x:c>
      <x:c r="G633" t="n">
        <x:v>3</x:v>
      </x:c>
      <x:c r="H633" t="n">
        <x:v>0</x:v>
      </x:c>
      <x:c r="I633" t="n">
        <x:v>5</x:v>
      </x:c>
      <x:c r="J633" t="n">
        <x:v>0</x:v>
      </x:c>
      <x:c r="K633" t="n">
        <x:v>0</x:v>
      </x:c>
      <x:c r="L633" t="n">
        <x:v>0</x:v>
      </x:c>
      <x:c r="M633" t="n">
        <x:v>0</x:v>
      </x:c>
    </x:row>
    <x:row r="634">
      <x:c r="A634" t="str">
        <x:v>MI|Prudent|9</x:v>
      </x:c>
      <x:c r="B634" t="str">
        <x:v>Mineur</x:v>
      </x:c>
      <x:c r="C634" t="str">
        <x:v>Prudent</x:v>
      </x:c>
      <x:c r="D634" t="n">
        <x:v>9</x:v>
      </x:c>
      <x:c r="E634" t="n">
        <x:v>0</x:v>
      </x:c>
      <x:c r="F634" t="n">
        <x:v>0</x:v>
      </x:c>
      <x:c r="G634" t="n">
        <x:v>3</x:v>
      </x:c>
      <x:c r="H634" t="n">
        <x:v>0</x:v>
      </x:c>
      <x:c r="I634" t="n">
        <x:v>6</x:v>
      </x:c>
      <x:c r="J634" t="n">
        <x:v>0</x:v>
      </x:c>
      <x:c r="K634" t="n">
        <x:v>0</x:v>
      </x:c>
      <x:c r="L634" t="n">
        <x:v>0</x:v>
      </x:c>
      <x:c r="M634" t="n">
        <x:v>0</x:v>
      </x:c>
    </x:row>
    <x:row r="635">
      <x:c r="A635" t="str">
        <x:v>MI|Prudent|10</x:v>
      </x:c>
      <x:c r="B635" t="str">
        <x:v>Mineur</x:v>
      </x:c>
      <x:c r="C635" t="str">
        <x:v>Prudent</x:v>
      </x:c>
      <x:c r="D635" t="n">
        <x:v>10</x:v>
      </x:c>
      <x:c r="E635" t="n">
        <x:v>0</x:v>
      </x:c>
      <x:c r="F635" t="n">
        <x:v>0</x:v>
      </x:c>
      <x:c r="G635" t="n">
        <x:v>4</x:v>
      </x:c>
      <x:c r="H635" t="n">
        <x:v>0</x:v>
      </x:c>
      <x:c r="I635" t="n">
        <x:v>6</x:v>
      </x:c>
      <x:c r="J635" t="n">
        <x:v>0</x:v>
      </x:c>
      <x:c r="K635" t="n">
        <x:v>0</x:v>
      </x:c>
      <x:c r="L635" t="n">
        <x:v>0</x:v>
      </x:c>
      <x:c r="M635" t="n">
        <x:v>0</x:v>
      </x:c>
    </x:row>
    <x:row r="636">
      <x:c r="A636" t="str">
        <x:v>MI|Prudent|11</x:v>
      </x:c>
      <x:c r="B636" t="str">
        <x:v>Mineur</x:v>
      </x:c>
      <x:c r="C636" t="str">
        <x:v>Prudent</x:v>
      </x:c>
      <x:c r="D636" t="n">
        <x:v>11</x:v>
      </x:c>
      <x:c r="E636" t="n">
        <x:v>0</x:v>
      </x:c>
      <x:c r="F636" t="n">
        <x:v>0</x:v>
      </x:c>
      <x:c r="G636" t="n">
        <x:v>4</x:v>
      </x:c>
      <x:c r="H636" t="n">
        <x:v>0</x:v>
      </x:c>
      <x:c r="I636" t="n">
        <x:v>7</x:v>
      </x:c>
      <x:c r="J636" t="n">
        <x:v>0</x:v>
      </x:c>
      <x:c r="K636" t="n">
        <x:v>0</x:v>
      </x:c>
      <x:c r="L636" t="n">
        <x:v>0</x:v>
      </x:c>
      <x:c r="M636" t="n">
        <x:v>0</x:v>
      </x:c>
    </x:row>
    <x:row r="637">
      <x:c r="A637" t="str">
        <x:v>MI|Prudent|12</x:v>
      </x:c>
      <x:c r="B637" t="str">
        <x:v>Mineur</x:v>
      </x:c>
      <x:c r="C637" t="str">
        <x:v>Prudent</x:v>
      </x:c>
      <x:c r="D637" t="n">
        <x:v>12</x:v>
      </x:c>
      <x:c r="E637" t="n">
        <x:v>0</x:v>
      </x:c>
      <x:c r="F637" t="n">
        <x:v>0</x:v>
      </x:c>
      <x:c r="G637" t="n">
        <x:v>4</x:v>
      </x:c>
      <x:c r="H637" t="n">
        <x:v>0</x:v>
      </x:c>
      <x:c r="I637" t="n">
        <x:v>8</x:v>
      </x:c>
      <x:c r="J637" t="n">
        <x:v>0</x:v>
      </x:c>
      <x:c r="K637" t="n">
        <x:v>0</x:v>
      </x:c>
      <x:c r="L637" t="n">
        <x:v>0</x:v>
      </x:c>
      <x:c r="M637" t="n">
        <x:v>0</x:v>
      </x:c>
    </x:row>
    <x:row r="638">
      <x:c r="A638" t="str">
        <x:v>MI|Prudent|13</x:v>
      </x:c>
      <x:c r="B638" t="str">
        <x:v>Mineur</x:v>
      </x:c>
      <x:c r="C638" t="str">
        <x:v>Prudent</x:v>
      </x:c>
      <x:c r="D638" t="n">
        <x:v>13</x:v>
      </x:c>
      <x:c r="E638" t="n">
        <x:v>0</x:v>
      </x:c>
      <x:c r="F638" t="n">
        <x:v>0</x:v>
      </x:c>
      <x:c r="G638" t="n">
        <x:v>5</x:v>
      </x:c>
      <x:c r="H638" t="n">
        <x:v>0</x:v>
      </x:c>
      <x:c r="I638" t="n">
        <x:v>8</x:v>
      </x:c>
      <x:c r="J638" t="n">
        <x:v>0</x:v>
      </x:c>
      <x:c r="K638" t="n">
        <x:v>0</x:v>
      </x:c>
      <x:c r="L638" t="n">
        <x:v>0</x:v>
      </x:c>
      <x:c r="M638" t="n">
        <x:v>0</x:v>
      </x:c>
    </x:row>
    <x:row r="639">
      <x:c r="A639" t="str">
        <x:v>MI|Prudent|14</x:v>
      </x:c>
      <x:c r="B639" t="str">
        <x:v>Mineur</x:v>
      </x:c>
      <x:c r="C639" t="str">
        <x:v>Prudent</x:v>
      </x:c>
      <x:c r="D639" t="n">
        <x:v>14</x:v>
      </x:c>
      <x:c r="E639" t="n">
        <x:v>0</x:v>
      </x:c>
      <x:c r="F639" t="n">
        <x:v>0</x:v>
      </x:c>
      <x:c r="G639" t="n">
        <x:v>5</x:v>
      </x:c>
      <x:c r="H639" t="n">
        <x:v>0</x:v>
      </x:c>
      <x:c r="I639" t="n">
        <x:v>9</x:v>
      </x:c>
      <x:c r="J639" t="n">
        <x:v>0</x:v>
      </x:c>
      <x:c r="K639" t="n">
        <x:v>0</x:v>
      </x:c>
      <x:c r="L639" t="n">
        <x:v>0</x:v>
      </x:c>
      <x:c r="M639" t="n">
        <x:v>0</x:v>
      </x:c>
    </x:row>
    <x:row r="640">
      <x:c r="A640" t="str">
        <x:v>MI|Prudent|15</x:v>
      </x:c>
      <x:c r="B640" t="str">
        <x:v>Mineur</x:v>
      </x:c>
      <x:c r="C640" t="str">
        <x:v>Prudent</x:v>
      </x:c>
      <x:c r="D640" t="n">
        <x:v>15</x:v>
      </x:c>
      <x:c r="E640" t="n">
        <x:v>0</x:v>
      </x:c>
      <x:c r="F640" t="n">
        <x:v>0</x:v>
      </x:c>
      <x:c r="G640" t="n">
        <x:v>5</x:v>
      </x:c>
      <x:c r="H640" t="n">
        <x:v>0</x:v>
      </x:c>
      <x:c r="I640" t="n">
        <x:v>10</x:v>
      </x:c>
      <x:c r="J640" t="n">
        <x:v>0</x:v>
      </x:c>
      <x:c r="K640" t="n">
        <x:v>0</x:v>
      </x:c>
      <x:c r="L640" t="n">
        <x:v>0</x:v>
      </x:c>
      <x:c r="M640" t="n">
        <x:v>0</x:v>
      </x:c>
    </x:row>
    <x:row r="641">
      <x:c r="A641" t="str">
        <x:v>MI|Prudent|16</x:v>
      </x:c>
      <x:c r="B641" t="str">
        <x:v>Mineur</x:v>
      </x:c>
      <x:c r="C641" t="str">
        <x:v>Prudent</x:v>
      </x:c>
      <x:c r="D641" t="n">
        <x:v>16</x:v>
      </x:c>
      <x:c r="E641" t="n">
        <x:v>0</x:v>
      </x:c>
      <x:c r="F641" t="n">
        <x:v>0</x:v>
      </x:c>
      <x:c r="G641" t="n">
        <x:v>6</x:v>
      </x:c>
      <x:c r="H641" t="n">
        <x:v>0</x:v>
      </x:c>
      <x:c r="I641" t="n">
        <x:v>10</x:v>
      </x:c>
      <x:c r="J641" t="n">
        <x:v>0</x:v>
      </x:c>
      <x:c r="K641" t="n">
        <x:v>0</x:v>
      </x:c>
      <x:c r="L641" t="n">
        <x:v>0</x:v>
      </x:c>
      <x:c r="M641" t="n">
        <x:v>0</x:v>
      </x:c>
    </x:row>
    <x:row r="642">
      <x:c r="A642" t="str">
        <x:v>MI|Prudent|17</x:v>
      </x:c>
      <x:c r="B642" t="str">
        <x:v>Mineur</x:v>
      </x:c>
      <x:c r="C642" t="str">
        <x:v>Prudent</x:v>
      </x:c>
      <x:c r="D642" t="n">
        <x:v>17</x:v>
      </x:c>
      <x:c r="E642" t="n">
        <x:v>0</x:v>
      </x:c>
      <x:c r="F642" t="n">
        <x:v>0</x:v>
      </x:c>
      <x:c r="G642" t="n">
        <x:v>6</x:v>
      </x:c>
      <x:c r="H642" t="n">
        <x:v>0</x:v>
      </x:c>
      <x:c r="I642" t="n">
        <x:v>11</x:v>
      </x:c>
      <x:c r="J642" t="n">
        <x:v>0</x:v>
      </x:c>
      <x:c r="K642" t="n">
        <x:v>0</x:v>
      </x:c>
      <x:c r="L642" t="n">
        <x:v>0</x:v>
      </x:c>
      <x:c r="M642" t="n">
        <x:v>0</x:v>
      </x:c>
    </x:row>
    <x:row r="643">
      <x:c r="A643" t="str">
        <x:v>MI|Prudent|18</x:v>
      </x:c>
      <x:c r="B643" t="str">
        <x:v>Mineur</x:v>
      </x:c>
      <x:c r="C643" t="str">
        <x:v>Prudent</x:v>
      </x:c>
      <x:c r="D643" t="n">
        <x:v>18</x:v>
      </x:c>
      <x:c r="E643" t="n">
        <x:v>0</x:v>
      </x:c>
      <x:c r="F643" t="n">
        <x:v>0</x:v>
      </x:c>
      <x:c r="G643" t="n">
        <x:v>6</x:v>
      </x:c>
      <x:c r="H643" t="n">
        <x:v>0</x:v>
      </x:c>
      <x:c r="I643" t="n">
        <x:v>12</x:v>
      </x:c>
      <x:c r="J643" t="n">
        <x:v>0</x:v>
      </x:c>
      <x:c r="K643" t="n">
        <x:v>0</x:v>
      </x:c>
      <x:c r="L643" t="n">
        <x:v>0</x:v>
      </x:c>
      <x:c r="M643" t="n">
        <x:v>0</x:v>
      </x:c>
    </x:row>
    <x:row r="644">
      <x:c r="A644" t="str">
        <x:v>MI|Prudent|19</x:v>
      </x:c>
      <x:c r="B644" t="str">
        <x:v>Mineur</x:v>
      </x:c>
      <x:c r="C644" t="str">
        <x:v>Prudent</x:v>
      </x:c>
      <x:c r="D644" t="n">
        <x:v>19</x:v>
      </x:c>
      <x:c r="E644" t="n">
        <x:v>0</x:v>
      </x:c>
      <x:c r="F644" t="n">
        <x:v>0</x:v>
      </x:c>
      <x:c r="G644" t="n">
        <x:v>7</x:v>
      </x:c>
      <x:c r="H644" t="n">
        <x:v>0</x:v>
      </x:c>
      <x:c r="I644" t="n">
        <x:v>12</x:v>
      </x:c>
      <x:c r="J644" t="n">
        <x:v>0</x:v>
      </x:c>
      <x:c r="K644" t="n">
        <x:v>0</x:v>
      </x:c>
      <x:c r="L644" t="n">
        <x:v>0</x:v>
      </x:c>
      <x:c r="M644" t="n">
        <x:v>0</x:v>
      </x:c>
    </x:row>
    <x:row r="645">
      <x:c r="A645" t="str">
        <x:v>MI|Prudent|20</x:v>
      </x:c>
      <x:c r="B645" t="str">
        <x:v>Mineur</x:v>
      </x:c>
      <x:c r="C645" t="str">
        <x:v>Prudent</x:v>
      </x:c>
      <x:c r="D645" t="n">
        <x:v>20</x:v>
      </x:c>
      <x:c r="E645" t="n">
        <x:v>0</x:v>
      </x:c>
      <x:c r="F645" t="n">
        <x:v>0</x:v>
      </x:c>
      <x:c r="G645" t="n">
        <x:v>7</x:v>
      </x:c>
      <x:c r="H645" t="n">
        <x:v>0</x:v>
      </x:c>
      <x:c r="I645" t="n">
        <x:v>13</x:v>
      </x:c>
      <x:c r="J645" t="n">
        <x:v>0</x:v>
      </x:c>
      <x:c r="K645" t="n">
        <x:v>0</x:v>
      </x:c>
      <x:c r="L645" t="n">
        <x:v>0</x:v>
      </x:c>
      <x:c r="M645" t="n">
        <x:v>0</x:v>
      </x:c>
    </x:row>
    <x:row r="646">
      <x:c r="A646" t="str">
        <x:v>MI|Prudent|21</x:v>
      </x:c>
      <x:c r="B646" t="str">
        <x:v>Mineur</x:v>
      </x:c>
      <x:c r="C646" t="str">
        <x:v>Prudent</x:v>
      </x:c>
      <x:c r="D646" t="n">
        <x:v>21</x:v>
      </x:c>
      <x:c r="E646" t="n">
        <x:v>0</x:v>
      </x:c>
      <x:c r="F646" t="n">
        <x:v>0</x:v>
      </x:c>
      <x:c r="G646" t="n">
        <x:v>7</x:v>
      </x:c>
      <x:c r="H646" t="n">
        <x:v>0</x:v>
      </x:c>
      <x:c r="I646" t="n">
        <x:v>14</x:v>
      </x:c>
      <x:c r="J646" t="n">
        <x:v>0</x:v>
      </x:c>
      <x:c r="K646" t="n">
        <x:v>0</x:v>
      </x:c>
      <x:c r="L646" t="n">
        <x:v>0</x:v>
      </x:c>
      <x:c r="M646" t="n">
        <x:v>0</x:v>
      </x:c>
    </x:row>
    <x:row r="647">
      <x:c r="A647" t="str">
        <x:v>MI|Observateur|0</x:v>
      </x:c>
      <x:c r="B647" t="str">
        <x:v>Mineur</x:v>
      </x:c>
      <x:c r="C647" t="str">
        <x:v>Observateur</x:v>
      </x:c>
      <x:c r="D647" t="n">
        <x:v>0</x:v>
      </x:c>
      <x:c r="E647" t="n">
        <x:v>0</x:v>
      </x:c>
      <x:c r="F647" t="n">
        <x:v>0</x:v>
      </x:c>
      <x:c r="G647" t="n">
        <x:v>0</x:v>
      </x:c>
      <x:c r="H647" t="n">
        <x:v>0</x:v>
      </x:c>
      <x:c r="I647" t="n">
        <x:v>0</x:v>
      </x:c>
      <x:c r="J647" t="n">
        <x:v>0</x:v>
      </x:c>
      <x:c r="K647" t="n">
        <x:v>0</x:v>
      </x:c>
      <x:c r="L647" t="n">
        <x:v>0</x:v>
      </x:c>
      <x:c r="M647" t="n">
        <x:v>0</x:v>
      </x:c>
    </x:row>
    <x:row r="648">
      <x:c r="A648" t="str">
        <x:v>MI|Observateur|1</x:v>
      </x:c>
      <x:c r="B648" t="str">
        <x:v>Mineur</x:v>
      </x:c>
      <x:c r="C648" t="str">
        <x:v>Observateur</x:v>
      </x:c>
      <x:c r="D648" t="n">
        <x:v>1</x:v>
      </x:c>
      <x:c r="E648" t="n">
        <x:v>0</x:v>
      </x:c>
      <x:c r="F648" t="n">
        <x:v>0</x:v>
      </x:c>
      <x:c r="G648" t="n">
        <x:v>0</x:v>
      </x:c>
      <x:c r="H648" t="n">
        <x:v>0</x:v>
      </x:c>
      <x:c r="I648" t="n">
        <x:v>1</x:v>
      </x:c>
      <x:c r="J648" t="n">
        <x:v>0</x:v>
      </x:c>
      <x:c r="K648" t="n">
        <x:v>0</x:v>
      </x:c>
      <x:c r="L648" t="n">
        <x:v>0</x:v>
      </x:c>
      <x:c r="M648" t="n">
        <x:v>0</x:v>
      </x:c>
    </x:row>
    <x:row r="649">
      <x:c r="A649" t="str">
        <x:v>MI|Observateur|2</x:v>
      </x:c>
      <x:c r="B649" t="str">
        <x:v>Mineur</x:v>
      </x:c>
      <x:c r="C649" t="str">
        <x:v>Observateur</x:v>
      </x:c>
      <x:c r="D649" t="n">
        <x:v>2</x:v>
      </x:c>
      <x:c r="E649" t="n">
        <x:v>0</x:v>
      </x:c>
      <x:c r="F649" t="n">
        <x:v>0</x:v>
      </x:c>
      <x:c r="G649" t="n">
        <x:v>0</x:v>
      </x:c>
      <x:c r="H649" t="n">
        <x:v>1</x:v>
      </x:c>
      <x:c r="I649" t="n">
        <x:v>1</x:v>
      </x:c>
      <x:c r="J649" t="n">
        <x:v>0</x:v>
      </x:c>
      <x:c r="K649" t="n">
        <x:v>0</x:v>
      </x:c>
      <x:c r="L649" t="n">
        <x:v>0</x:v>
      </x:c>
      <x:c r="M649" t="n">
        <x:v>0</x:v>
      </x:c>
    </x:row>
    <x:row r="650">
      <x:c r="A650" t="str">
        <x:v>MI|Observateur|3</x:v>
      </x:c>
      <x:c r="B650" t="str">
        <x:v>Mineur</x:v>
      </x:c>
      <x:c r="C650" t="str">
        <x:v>Observateur</x:v>
      </x:c>
      <x:c r="D650" t="n">
        <x:v>3</x:v>
      </x:c>
      <x:c r="E650" t="n">
        <x:v>0</x:v>
      </x:c>
      <x:c r="F650" t="n">
        <x:v>0</x:v>
      </x:c>
      <x:c r="G650" t="n">
        <x:v>0</x:v>
      </x:c>
      <x:c r="H650" t="n">
        <x:v>1</x:v>
      </x:c>
      <x:c r="I650" t="n">
        <x:v>2</x:v>
      </x:c>
      <x:c r="J650" t="n">
        <x:v>0</x:v>
      </x:c>
      <x:c r="K650" t="n">
        <x:v>0</x:v>
      </x:c>
      <x:c r="L650" t="n">
        <x:v>0</x:v>
      </x:c>
      <x:c r="M650" t="n">
        <x:v>0</x:v>
      </x:c>
    </x:row>
    <x:row r="651">
      <x:c r="A651" t="str">
        <x:v>MI|Observateur|4</x:v>
      </x:c>
      <x:c r="B651" t="str">
        <x:v>Mineur</x:v>
      </x:c>
      <x:c r="C651" t="str">
        <x:v>Observateur</x:v>
      </x:c>
      <x:c r="D651" t="n">
        <x:v>4</x:v>
      </x:c>
      <x:c r="E651" t="n">
        <x:v>0</x:v>
      </x:c>
      <x:c r="F651" t="n">
        <x:v>0</x:v>
      </x:c>
      <x:c r="G651" t="n">
        <x:v>0</x:v>
      </x:c>
      <x:c r="H651" t="n">
        <x:v>1</x:v>
      </x:c>
      <x:c r="I651" t="n">
        <x:v>3</x:v>
      </x:c>
      <x:c r="J651" t="n">
        <x:v>0</x:v>
      </x:c>
      <x:c r="K651" t="n">
        <x:v>0</x:v>
      </x:c>
      <x:c r="L651" t="n">
        <x:v>0</x:v>
      </x:c>
      <x:c r="M651" t="n">
        <x:v>0</x:v>
      </x:c>
    </x:row>
    <x:row r="652">
      <x:c r="A652" t="str">
        <x:v>MI|Observateur|5</x:v>
      </x:c>
      <x:c r="B652" t="str">
        <x:v>Mineur</x:v>
      </x:c>
      <x:c r="C652" t="str">
        <x:v>Observateur</x:v>
      </x:c>
      <x:c r="D652" t="n">
        <x:v>5</x:v>
      </x:c>
      <x:c r="E652" t="n">
        <x:v>0</x:v>
      </x:c>
      <x:c r="F652" t="n">
        <x:v>0</x:v>
      </x:c>
      <x:c r="G652" t="n">
        <x:v>0</x:v>
      </x:c>
      <x:c r="H652" t="n">
        <x:v>2</x:v>
      </x:c>
      <x:c r="I652" t="n">
        <x:v>3</x:v>
      </x:c>
      <x:c r="J652" t="n">
        <x:v>0</x:v>
      </x:c>
      <x:c r="K652" t="n">
        <x:v>0</x:v>
      </x:c>
      <x:c r="L652" t="n">
        <x:v>0</x:v>
      </x:c>
      <x:c r="M652" t="n">
        <x:v>0</x:v>
      </x:c>
    </x:row>
    <x:row r="653">
      <x:c r="A653" t="str">
        <x:v>MI|Observateur|6</x:v>
      </x:c>
      <x:c r="B653" t="str">
        <x:v>Mineur</x:v>
      </x:c>
      <x:c r="C653" t="str">
        <x:v>Observateur</x:v>
      </x:c>
      <x:c r="D653" t="n">
        <x:v>6</x:v>
      </x:c>
      <x:c r="E653" t="n">
        <x:v>0</x:v>
      </x:c>
      <x:c r="F653" t="n">
        <x:v>0</x:v>
      </x:c>
      <x:c r="G653" t="n">
        <x:v>0</x:v>
      </x:c>
      <x:c r="H653" t="n">
        <x:v>2</x:v>
      </x:c>
      <x:c r="I653" t="n">
        <x:v>4</x:v>
      </x:c>
      <x:c r="J653" t="n">
        <x:v>0</x:v>
      </x:c>
      <x:c r="K653" t="n">
        <x:v>0</x:v>
      </x:c>
      <x:c r="L653" t="n">
        <x:v>0</x:v>
      </x:c>
      <x:c r="M653" t="n">
        <x:v>0</x:v>
      </x:c>
    </x:row>
    <x:row r="654">
      <x:c r="A654" t="str">
        <x:v>MI|Observateur|7</x:v>
      </x:c>
      <x:c r="B654" t="str">
        <x:v>Mineur</x:v>
      </x:c>
      <x:c r="C654" t="str">
        <x:v>Observateur</x:v>
      </x:c>
      <x:c r="D654" t="n">
        <x:v>7</x:v>
      </x:c>
      <x:c r="E654" t="n">
        <x:v>0</x:v>
      </x:c>
      <x:c r="F654" t="n">
        <x:v>0</x:v>
      </x:c>
      <x:c r="G654" t="n">
        <x:v>0</x:v>
      </x:c>
      <x:c r="H654" t="n">
        <x:v>2</x:v>
      </x:c>
      <x:c r="I654" t="n">
        <x:v>5</x:v>
      </x:c>
      <x:c r="J654" t="n">
        <x:v>0</x:v>
      </x:c>
      <x:c r="K654" t="n">
        <x:v>0</x:v>
      </x:c>
      <x:c r="L654" t="n">
        <x:v>0</x:v>
      </x:c>
      <x:c r="M654" t="n">
        <x:v>0</x:v>
      </x:c>
    </x:row>
    <x:row r="655">
      <x:c r="A655" t="str">
        <x:v>MI|Observateur|8</x:v>
      </x:c>
      <x:c r="B655" t="str">
        <x:v>Mineur</x:v>
      </x:c>
      <x:c r="C655" t="str">
        <x:v>Observateur</x:v>
      </x:c>
      <x:c r="D655" t="n">
        <x:v>8</x:v>
      </x:c>
      <x:c r="E655" t="n">
        <x:v>0</x:v>
      </x:c>
      <x:c r="F655" t="n">
        <x:v>0</x:v>
      </x:c>
      <x:c r="G655" t="n">
        <x:v>0</x:v>
      </x:c>
      <x:c r="H655" t="n">
        <x:v>3</x:v>
      </x:c>
      <x:c r="I655" t="n">
        <x:v>5</x:v>
      </x:c>
      <x:c r="J655" t="n">
        <x:v>0</x:v>
      </x:c>
      <x:c r="K655" t="n">
        <x:v>0</x:v>
      </x:c>
      <x:c r="L655" t="n">
        <x:v>0</x:v>
      </x:c>
      <x:c r="M655" t="n">
        <x:v>0</x:v>
      </x:c>
    </x:row>
    <x:row r="656">
      <x:c r="A656" t="str">
        <x:v>MI|Observateur|9</x:v>
      </x:c>
      <x:c r="B656" t="str">
        <x:v>Mineur</x:v>
      </x:c>
      <x:c r="C656" t="str">
        <x:v>Observateur</x:v>
      </x:c>
      <x:c r="D656" t="n">
        <x:v>9</x:v>
      </x:c>
      <x:c r="E656" t="n">
        <x:v>0</x:v>
      </x:c>
      <x:c r="F656" t="n">
        <x:v>0</x:v>
      </x:c>
      <x:c r="G656" t="n">
        <x:v>0</x:v>
      </x:c>
      <x:c r="H656" t="n">
        <x:v>3</x:v>
      </x:c>
      <x:c r="I656" t="n">
        <x:v>6</x:v>
      </x:c>
      <x:c r="J656" t="n">
        <x:v>0</x:v>
      </x:c>
      <x:c r="K656" t="n">
        <x:v>0</x:v>
      </x:c>
      <x:c r="L656" t="n">
        <x:v>0</x:v>
      </x:c>
      <x:c r="M656" t="n">
        <x:v>0</x:v>
      </x:c>
    </x:row>
    <x:row r="657">
      <x:c r="A657" t="str">
        <x:v>MI|Observateur|10</x:v>
      </x:c>
      <x:c r="B657" t="str">
        <x:v>Mineur</x:v>
      </x:c>
      <x:c r="C657" t="str">
        <x:v>Observateur</x:v>
      </x:c>
      <x:c r="D657" t="n">
        <x:v>10</x:v>
      </x:c>
      <x:c r="E657" t="n">
        <x:v>0</x:v>
      </x:c>
      <x:c r="F657" t="n">
        <x:v>0</x:v>
      </x:c>
      <x:c r="G657" t="n">
        <x:v>0</x:v>
      </x:c>
      <x:c r="H657" t="n">
        <x:v>4</x:v>
      </x:c>
      <x:c r="I657" t="n">
        <x:v>6</x:v>
      </x:c>
      <x:c r="J657" t="n">
        <x:v>0</x:v>
      </x:c>
      <x:c r="K657" t="n">
        <x:v>0</x:v>
      </x:c>
      <x:c r="L657" t="n">
        <x:v>0</x:v>
      </x:c>
      <x:c r="M657" t="n">
        <x:v>0</x:v>
      </x:c>
    </x:row>
    <x:row r="658">
      <x:c r="A658" t="str">
        <x:v>MI|Observateur|11</x:v>
      </x:c>
      <x:c r="B658" t="str">
        <x:v>Mineur</x:v>
      </x:c>
      <x:c r="C658" t="str">
        <x:v>Observateur</x:v>
      </x:c>
      <x:c r="D658" t="n">
        <x:v>11</x:v>
      </x:c>
      <x:c r="E658" t="n">
        <x:v>0</x:v>
      </x:c>
      <x:c r="F658" t="n">
        <x:v>0</x:v>
      </x:c>
      <x:c r="G658" t="n">
        <x:v>0</x:v>
      </x:c>
      <x:c r="H658" t="n">
        <x:v>4</x:v>
      </x:c>
      <x:c r="I658" t="n">
        <x:v>7</x:v>
      </x:c>
      <x:c r="J658" t="n">
        <x:v>0</x:v>
      </x:c>
      <x:c r="K658" t="n">
        <x:v>0</x:v>
      </x:c>
      <x:c r="L658" t="n">
        <x:v>0</x:v>
      </x:c>
      <x:c r="M658" t="n">
        <x:v>0</x:v>
      </x:c>
    </x:row>
    <x:row r="659">
      <x:c r="A659" t="str">
        <x:v>MI|Observateur|12</x:v>
      </x:c>
      <x:c r="B659" t="str">
        <x:v>Mineur</x:v>
      </x:c>
      <x:c r="C659" t="str">
        <x:v>Observateur</x:v>
      </x:c>
      <x:c r="D659" t="n">
        <x:v>12</x:v>
      </x:c>
      <x:c r="E659" t="n">
        <x:v>0</x:v>
      </x:c>
      <x:c r="F659" t="n">
        <x:v>0</x:v>
      </x:c>
      <x:c r="G659" t="n">
        <x:v>0</x:v>
      </x:c>
      <x:c r="H659" t="n">
        <x:v>4</x:v>
      </x:c>
      <x:c r="I659" t="n">
        <x:v>8</x:v>
      </x:c>
      <x:c r="J659" t="n">
        <x:v>0</x:v>
      </x:c>
      <x:c r="K659" t="n">
        <x:v>0</x:v>
      </x:c>
      <x:c r="L659" t="n">
        <x:v>0</x:v>
      </x:c>
      <x:c r="M659" t="n">
        <x:v>0</x:v>
      </x:c>
    </x:row>
    <x:row r="660">
      <x:c r="A660" t="str">
        <x:v>MI|Observateur|13</x:v>
      </x:c>
      <x:c r="B660" t="str">
        <x:v>Mineur</x:v>
      </x:c>
      <x:c r="C660" t="str">
        <x:v>Observateur</x:v>
      </x:c>
      <x:c r="D660" t="n">
        <x:v>13</x:v>
      </x:c>
      <x:c r="E660" t="n">
        <x:v>0</x:v>
      </x:c>
      <x:c r="F660" t="n">
        <x:v>0</x:v>
      </x:c>
      <x:c r="G660" t="n">
        <x:v>0</x:v>
      </x:c>
      <x:c r="H660" t="n">
        <x:v>5</x:v>
      </x:c>
      <x:c r="I660" t="n">
        <x:v>8</x:v>
      </x:c>
      <x:c r="J660" t="n">
        <x:v>0</x:v>
      </x:c>
      <x:c r="K660" t="n">
        <x:v>0</x:v>
      </x:c>
      <x:c r="L660" t="n">
        <x:v>0</x:v>
      </x:c>
      <x:c r="M660" t="n">
        <x:v>0</x:v>
      </x:c>
    </x:row>
    <x:row r="661">
      <x:c r="A661" t="str">
        <x:v>MI|Observateur|14</x:v>
      </x:c>
      <x:c r="B661" t="str">
        <x:v>Mineur</x:v>
      </x:c>
      <x:c r="C661" t="str">
        <x:v>Observateur</x:v>
      </x:c>
      <x:c r="D661" t="n">
        <x:v>14</x:v>
      </x:c>
      <x:c r="E661" t="n">
        <x:v>0</x:v>
      </x:c>
      <x:c r="F661" t="n">
        <x:v>0</x:v>
      </x:c>
      <x:c r="G661" t="n">
        <x:v>0</x:v>
      </x:c>
      <x:c r="H661" t="n">
        <x:v>5</x:v>
      </x:c>
      <x:c r="I661" t="n">
        <x:v>9</x:v>
      </x:c>
      <x:c r="J661" t="n">
        <x:v>0</x:v>
      </x:c>
      <x:c r="K661" t="n">
        <x:v>0</x:v>
      </x:c>
      <x:c r="L661" t="n">
        <x:v>0</x:v>
      </x:c>
      <x:c r="M661" t="n">
        <x:v>0</x:v>
      </x:c>
    </x:row>
    <x:row r="662">
      <x:c r="A662" t="str">
        <x:v>MI|Observateur|15</x:v>
      </x:c>
      <x:c r="B662" t="str">
        <x:v>Mineur</x:v>
      </x:c>
      <x:c r="C662" t="str">
        <x:v>Observateur</x:v>
      </x:c>
      <x:c r="D662" t="n">
        <x:v>15</x:v>
      </x:c>
      <x:c r="E662" t="n">
        <x:v>0</x:v>
      </x:c>
      <x:c r="F662" t="n">
        <x:v>0</x:v>
      </x:c>
      <x:c r="G662" t="n">
        <x:v>0</x:v>
      </x:c>
      <x:c r="H662" t="n">
        <x:v>5</x:v>
      </x:c>
      <x:c r="I662" t="n">
        <x:v>10</x:v>
      </x:c>
      <x:c r="J662" t="n">
        <x:v>0</x:v>
      </x:c>
      <x:c r="K662" t="n">
        <x:v>0</x:v>
      </x:c>
      <x:c r="L662" t="n">
        <x:v>0</x:v>
      </x:c>
      <x:c r="M662" t="n">
        <x:v>0</x:v>
      </x:c>
    </x:row>
    <x:row r="663">
      <x:c r="A663" t="str">
        <x:v>MI|Observateur|16</x:v>
      </x:c>
      <x:c r="B663" t="str">
        <x:v>Mineur</x:v>
      </x:c>
      <x:c r="C663" t="str">
        <x:v>Observateur</x:v>
      </x:c>
      <x:c r="D663" t="n">
        <x:v>16</x:v>
      </x:c>
      <x:c r="E663" t="n">
        <x:v>0</x:v>
      </x:c>
      <x:c r="F663" t="n">
        <x:v>0</x:v>
      </x:c>
      <x:c r="G663" t="n">
        <x:v>0</x:v>
      </x:c>
      <x:c r="H663" t="n">
        <x:v>6</x:v>
      </x:c>
      <x:c r="I663" t="n">
        <x:v>10</x:v>
      </x:c>
      <x:c r="J663" t="n">
        <x:v>0</x:v>
      </x:c>
      <x:c r="K663" t="n">
        <x:v>0</x:v>
      </x:c>
      <x:c r="L663" t="n">
        <x:v>0</x:v>
      </x:c>
      <x:c r="M663" t="n">
        <x:v>0</x:v>
      </x:c>
    </x:row>
    <x:row r="664">
      <x:c r="A664" t="str">
        <x:v>MI|Observateur|17</x:v>
      </x:c>
      <x:c r="B664" t="str">
        <x:v>Mineur</x:v>
      </x:c>
      <x:c r="C664" t="str">
        <x:v>Observateur</x:v>
      </x:c>
      <x:c r="D664" t="n">
        <x:v>17</x:v>
      </x:c>
      <x:c r="E664" t="n">
        <x:v>0</x:v>
      </x:c>
      <x:c r="F664" t="n">
        <x:v>0</x:v>
      </x:c>
      <x:c r="G664" t="n">
        <x:v>0</x:v>
      </x:c>
      <x:c r="H664" t="n">
        <x:v>6</x:v>
      </x:c>
      <x:c r="I664" t="n">
        <x:v>11</x:v>
      </x:c>
      <x:c r="J664" t="n">
        <x:v>0</x:v>
      </x:c>
      <x:c r="K664" t="n">
        <x:v>0</x:v>
      </x:c>
      <x:c r="L664" t="n">
        <x:v>0</x:v>
      </x:c>
      <x:c r="M664" t="n">
        <x:v>0</x:v>
      </x:c>
    </x:row>
    <x:row r="665">
      <x:c r="A665" t="str">
        <x:v>MI|Observateur|18</x:v>
      </x:c>
      <x:c r="B665" t="str">
        <x:v>Mineur</x:v>
      </x:c>
      <x:c r="C665" t="str">
        <x:v>Observateur</x:v>
      </x:c>
      <x:c r="D665" t="n">
        <x:v>18</x:v>
      </x:c>
      <x:c r="E665" t="n">
        <x:v>0</x:v>
      </x:c>
      <x:c r="F665" t="n">
        <x:v>0</x:v>
      </x:c>
      <x:c r="G665" t="n">
        <x:v>0</x:v>
      </x:c>
      <x:c r="H665" t="n">
        <x:v>6</x:v>
      </x:c>
      <x:c r="I665" t="n">
        <x:v>12</x:v>
      </x:c>
      <x:c r="J665" t="n">
        <x:v>0</x:v>
      </x:c>
      <x:c r="K665" t="n">
        <x:v>0</x:v>
      </x:c>
      <x:c r="L665" t="n">
        <x:v>0</x:v>
      </x:c>
      <x:c r="M665" t="n">
        <x:v>0</x:v>
      </x:c>
    </x:row>
    <x:row r="666">
      <x:c r="A666" t="str">
        <x:v>MI|Observateur|19</x:v>
      </x:c>
      <x:c r="B666" t="str">
        <x:v>Mineur</x:v>
      </x:c>
      <x:c r="C666" t="str">
        <x:v>Observateur</x:v>
      </x:c>
      <x:c r="D666" t="n">
        <x:v>19</x:v>
      </x:c>
      <x:c r="E666" t="n">
        <x:v>0</x:v>
      </x:c>
      <x:c r="F666" t="n">
        <x:v>0</x:v>
      </x:c>
      <x:c r="G666" t="n">
        <x:v>0</x:v>
      </x:c>
      <x:c r="H666" t="n">
        <x:v>7</x:v>
      </x:c>
      <x:c r="I666" t="n">
        <x:v>12</x:v>
      </x:c>
      <x:c r="J666" t="n">
        <x:v>0</x:v>
      </x:c>
      <x:c r="K666" t="n">
        <x:v>0</x:v>
      </x:c>
      <x:c r="L666" t="n">
        <x:v>0</x:v>
      </x:c>
      <x:c r="M666" t="n">
        <x:v>0</x:v>
      </x:c>
    </x:row>
    <x:row r="667">
      <x:c r="A667" t="str">
        <x:v>MI|Observateur|20</x:v>
      </x:c>
      <x:c r="B667" t="str">
        <x:v>Mineur</x:v>
      </x:c>
      <x:c r="C667" t="str">
        <x:v>Observateur</x:v>
      </x:c>
      <x:c r="D667" t="n">
        <x:v>20</x:v>
      </x:c>
      <x:c r="E667" t="n">
        <x:v>0</x:v>
      </x:c>
      <x:c r="F667" t="n">
        <x:v>0</x:v>
      </x:c>
      <x:c r="G667" t="n">
        <x:v>0</x:v>
      </x:c>
      <x:c r="H667" t="n">
        <x:v>7</x:v>
      </x:c>
      <x:c r="I667" t="n">
        <x:v>13</x:v>
      </x:c>
      <x:c r="J667" t="n">
        <x:v>0</x:v>
      </x:c>
      <x:c r="K667" t="n">
        <x:v>0</x:v>
      </x:c>
      <x:c r="L667" t="n">
        <x:v>0</x:v>
      </x:c>
      <x:c r="M667" t="n">
        <x:v>0</x:v>
      </x:c>
    </x:row>
    <x:row r="668">
      <x:c r="A668" t="str">
        <x:v>MI|Observateur|21</x:v>
      </x:c>
      <x:c r="B668" t="str">
        <x:v>Mineur</x:v>
      </x:c>
      <x:c r="C668" t="str">
        <x:v>Observateur</x:v>
      </x:c>
      <x:c r="D668" t="n">
        <x:v>21</x:v>
      </x:c>
      <x:c r="E668" t="n">
        <x:v>0</x:v>
      </x:c>
      <x:c r="F668" t="n">
        <x:v>0</x:v>
      </x:c>
      <x:c r="G668" t="n">
        <x:v>0</x:v>
      </x:c>
      <x:c r="H668" t="n">
        <x:v>7</x:v>
      </x:c>
      <x:c r="I668" t="n">
        <x:v>14</x:v>
      </x:c>
      <x:c r="J668" t="n">
        <x:v>0</x:v>
      </x:c>
      <x:c r="K668" t="n">
        <x:v>0</x:v>
      </x:c>
      <x:c r="L668" t="n">
        <x:v>0</x:v>
      </x:c>
      <x:c r="M668" t="n">
        <x:v>0</x:v>
      </x:c>
    </x:row>
    <x:row r="669">
      <x:c r="A669" t="str">
        <x:v>MI|Marquant|0</x:v>
      </x:c>
      <x:c r="B669" t="str">
        <x:v>Mineur</x:v>
      </x:c>
      <x:c r="C669" t="str">
        <x:v>Marquant</x:v>
      </x:c>
      <x:c r="D669" t="n">
        <x:v>0</x:v>
      </x:c>
      <x:c r="E669" t="n">
        <x:v>0</x:v>
      </x:c>
      <x:c r="F669" t="n">
        <x:v>0</x:v>
      </x:c>
      <x:c r="G669" t="n">
        <x:v>0</x:v>
      </x:c>
      <x:c r="H669" t="n">
        <x:v>0</x:v>
      </x:c>
      <x:c r="I669" t="n">
        <x:v>0</x:v>
      </x:c>
      <x:c r="J669" t="n">
        <x:v>0</x:v>
      </x:c>
      <x:c r="K669" t="n">
        <x:v>0</x:v>
      </x:c>
      <x:c r="L669" t="n">
        <x:v>0</x:v>
      </x:c>
      <x:c r="M669" t="n">
        <x:v>0</x:v>
      </x:c>
    </x:row>
    <x:row r="670">
      <x:c r="A670" t="str">
        <x:v>MI|Marquant|1</x:v>
      </x:c>
      <x:c r="B670" t="str">
        <x:v>Mineur</x:v>
      </x:c>
      <x:c r="C670" t="str">
        <x:v>Marquant</x:v>
      </x:c>
      <x:c r="D670" t="n">
        <x:v>1</x:v>
      </x:c>
      <x:c r="E670" t="n">
        <x:v>0</x:v>
      </x:c>
      <x:c r="F670" t="n">
        <x:v>0</x:v>
      </x:c>
      <x:c r="G670" t="n">
        <x:v>0</x:v>
      </x:c>
      <x:c r="H670" t="n">
        <x:v>0</x:v>
      </x:c>
      <x:c r="I670" t="n">
        <x:v>0</x:v>
      </x:c>
      <x:c r="J670" t="n">
        <x:v>1</x:v>
      </x:c>
      <x:c r="K670" t="n">
        <x:v>0</x:v>
      </x:c>
      <x:c r="L670" t="n">
        <x:v>0</x:v>
      </x:c>
      <x:c r="M670" t="n">
        <x:v>0</x:v>
      </x:c>
    </x:row>
    <x:row r="671">
      <x:c r="A671" t="str">
        <x:v>MI|Marquant|2</x:v>
      </x:c>
      <x:c r="B671" t="str">
        <x:v>Mineur</x:v>
      </x:c>
      <x:c r="C671" t="str">
        <x:v>Marquant</x:v>
      </x:c>
      <x:c r="D671" t="n">
        <x:v>2</x:v>
      </x:c>
      <x:c r="E671" t="n">
        <x:v>1</x:v>
      </x:c>
      <x:c r="F671" t="n">
        <x:v>0</x:v>
      </x:c>
      <x:c r="G671" t="n">
        <x:v>0</x:v>
      </x:c>
      <x:c r="H671" t="n">
        <x:v>0</x:v>
      </x:c>
      <x:c r="I671" t="n">
        <x:v>0</x:v>
      </x:c>
      <x:c r="J671" t="n">
        <x:v>1</x:v>
      </x:c>
      <x:c r="K671" t="n">
        <x:v>0</x:v>
      </x:c>
      <x:c r="L671" t="n">
        <x:v>0</x:v>
      </x:c>
      <x:c r="M671" t="n">
        <x:v>0</x:v>
      </x:c>
    </x:row>
    <x:row r="672">
      <x:c r="A672" t="str">
        <x:v>MI|Marquant|3</x:v>
      </x:c>
      <x:c r="B672" t="str">
        <x:v>Mineur</x:v>
      </x:c>
      <x:c r="C672" t="str">
        <x:v>Marquant</x:v>
      </x:c>
      <x:c r="D672" t="n">
        <x:v>3</x:v>
      </x:c>
      <x:c r="E672" t="n">
        <x:v>1</x:v>
      </x:c>
      <x:c r="F672" t="n">
        <x:v>0</x:v>
      </x:c>
      <x:c r="G672" t="n">
        <x:v>0</x:v>
      </x:c>
      <x:c r="H672" t="n">
        <x:v>0</x:v>
      </x:c>
      <x:c r="I672" t="n">
        <x:v>0</x:v>
      </x:c>
      <x:c r="J672" t="n">
        <x:v>2</x:v>
      </x:c>
      <x:c r="K672" t="n">
        <x:v>0</x:v>
      </x:c>
      <x:c r="L672" t="n">
        <x:v>0</x:v>
      </x:c>
      <x:c r="M672" t="n">
        <x:v>0</x:v>
      </x:c>
    </x:row>
    <x:row r="673">
      <x:c r="A673" t="str">
        <x:v>MI|Marquant|4</x:v>
      </x:c>
      <x:c r="B673" t="str">
        <x:v>Mineur</x:v>
      </x:c>
      <x:c r="C673" t="str">
        <x:v>Marquant</x:v>
      </x:c>
      <x:c r="D673" t="n">
        <x:v>4</x:v>
      </x:c>
      <x:c r="E673" t="n">
        <x:v>1</x:v>
      </x:c>
      <x:c r="F673" t="n">
        <x:v>0</x:v>
      </x:c>
      <x:c r="G673" t="n">
        <x:v>0</x:v>
      </x:c>
      <x:c r="H673" t="n">
        <x:v>0</x:v>
      </x:c>
      <x:c r="I673" t="n">
        <x:v>0</x:v>
      </x:c>
      <x:c r="J673" t="n">
        <x:v>3</x:v>
      </x:c>
      <x:c r="K673" t="n">
        <x:v>0</x:v>
      </x:c>
      <x:c r="L673" t="n">
        <x:v>0</x:v>
      </x:c>
      <x:c r="M673" t="n">
        <x:v>0</x:v>
      </x:c>
    </x:row>
    <x:row r="674">
      <x:c r="A674" t="str">
        <x:v>MI|Marquant|5</x:v>
      </x:c>
      <x:c r="B674" t="str">
        <x:v>Mineur</x:v>
      </x:c>
      <x:c r="C674" t="str">
        <x:v>Marquant</x:v>
      </x:c>
      <x:c r="D674" t="n">
        <x:v>5</x:v>
      </x:c>
      <x:c r="E674" t="n">
        <x:v>2</x:v>
      </x:c>
      <x:c r="F674" t="n">
        <x:v>0</x:v>
      </x:c>
      <x:c r="G674" t="n">
        <x:v>0</x:v>
      </x:c>
      <x:c r="H674" t="n">
        <x:v>0</x:v>
      </x:c>
      <x:c r="I674" t="n">
        <x:v>0</x:v>
      </x:c>
      <x:c r="J674" t="n">
        <x:v>3</x:v>
      </x:c>
      <x:c r="K674" t="n">
        <x:v>0</x:v>
      </x:c>
      <x:c r="L674" t="n">
        <x:v>0</x:v>
      </x:c>
      <x:c r="M674" t="n">
        <x:v>0</x:v>
      </x:c>
    </x:row>
    <x:row r="675">
      <x:c r="A675" t="str">
        <x:v>MI|Marquant|6</x:v>
      </x:c>
      <x:c r="B675" t="str">
        <x:v>Mineur</x:v>
      </x:c>
      <x:c r="C675" t="str">
        <x:v>Marquant</x:v>
      </x:c>
      <x:c r="D675" t="n">
        <x:v>6</x:v>
      </x:c>
      <x:c r="E675" t="n">
        <x:v>2</x:v>
      </x:c>
      <x:c r="F675" t="n">
        <x:v>0</x:v>
      </x:c>
      <x:c r="G675" t="n">
        <x:v>0</x:v>
      </x:c>
      <x:c r="H675" t="n">
        <x:v>0</x:v>
      </x:c>
      <x:c r="I675" t="n">
        <x:v>0</x:v>
      </x:c>
      <x:c r="J675" t="n">
        <x:v>4</x:v>
      </x:c>
      <x:c r="K675" t="n">
        <x:v>0</x:v>
      </x:c>
      <x:c r="L675" t="n">
        <x:v>0</x:v>
      </x:c>
      <x:c r="M675" t="n">
        <x:v>0</x:v>
      </x:c>
    </x:row>
    <x:row r="676">
      <x:c r="A676" t="str">
        <x:v>MI|Marquant|7</x:v>
      </x:c>
      <x:c r="B676" t="str">
        <x:v>Mineur</x:v>
      </x:c>
      <x:c r="C676" t="str">
        <x:v>Marquant</x:v>
      </x:c>
      <x:c r="D676" t="n">
        <x:v>7</x:v>
      </x:c>
      <x:c r="E676" t="n">
        <x:v>2</x:v>
      </x:c>
      <x:c r="F676" t="n">
        <x:v>0</x:v>
      </x:c>
      <x:c r="G676" t="n">
        <x:v>0</x:v>
      </x:c>
      <x:c r="H676" t="n">
        <x:v>0</x:v>
      </x:c>
      <x:c r="I676" t="n">
        <x:v>0</x:v>
      </x:c>
      <x:c r="J676" t="n">
        <x:v>5</x:v>
      </x:c>
      <x:c r="K676" t="n">
        <x:v>0</x:v>
      </x:c>
      <x:c r="L676" t="n">
        <x:v>0</x:v>
      </x:c>
      <x:c r="M676" t="n">
        <x:v>0</x:v>
      </x:c>
    </x:row>
    <x:row r="677">
      <x:c r="A677" t="str">
        <x:v>MI|Marquant|8</x:v>
      </x:c>
      <x:c r="B677" t="str">
        <x:v>Mineur</x:v>
      </x:c>
      <x:c r="C677" t="str">
        <x:v>Marquant</x:v>
      </x:c>
      <x:c r="D677" t="n">
        <x:v>8</x:v>
      </x:c>
      <x:c r="E677" t="n">
        <x:v>3</x:v>
      </x:c>
      <x:c r="F677" t="n">
        <x:v>0</x:v>
      </x:c>
      <x:c r="G677" t="n">
        <x:v>0</x:v>
      </x:c>
      <x:c r="H677" t="n">
        <x:v>0</x:v>
      </x:c>
      <x:c r="I677" t="n">
        <x:v>0</x:v>
      </x:c>
      <x:c r="J677" t="n">
        <x:v>5</x:v>
      </x:c>
      <x:c r="K677" t="n">
        <x:v>0</x:v>
      </x:c>
      <x:c r="L677" t="n">
        <x:v>0</x:v>
      </x:c>
      <x:c r="M677" t="n">
        <x:v>0</x:v>
      </x:c>
    </x:row>
    <x:row r="678">
      <x:c r="A678" t="str">
        <x:v>MI|Marquant|9</x:v>
      </x:c>
      <x:c r="B678" t="str">
        <x:v>Mineur</x:v>
      </x:c>
      <x:c r="C678" t="str">
        <x:v>Marquant</x:v>
      </x:c>
      <x:c r="D678" t="n">
        <x:v>9</x:v>
      </x:c>
      <x:c r="E678" t="n">
        <x:v>3</x:v>
      </x:c>
      <x:c r="F678" t="n">
        <x:v>0</x:v>
      </x:c>
      <x:c r="G678" t="n">
        <x:v>0</x:v>
      </x:c>
      <x:c r="H678" t="n">
        <x:v>0</x:v>
      </x:c>
      <x:c r="I678" t="n">
        <x:v>0</x:v>
      </x:c>
      <x:c r="J678" t="n">
        <x:v>6</x:v>
      </x:c>
      <x:c r="K678" t="n">
        <x:v>0</x:v>
      </x:c>
      <x:c r="L678" t="n">
        <x:v>0</x:v>
      </x:c>
      <x:c r="M678" t="n">
        <x:v>0</x:v>
      </x:c>
    </x:row>
    <x:row r="679">
      <x:c r="A679" t="str">
        <x:v>MI|Marquant|10</x:v>
      </x:c>
      <x:c r="B679" t="str">
        <x:v>Mineur</x:v>
      </x:c>
      <x:c r="C679" t="str">
        <x:v>Marquant</x:v>
      </x:c>
      <x:c r="D679" t="n">
        <x:v>10</x:v>
      </x:c>
      <x:c r="E679" t="n">
        <x:v>4</x:v>
      </x:c>
      <x:c r="F679" t="n">
        <x:v>0</x:v>
      </x:c>
      <x:c r="G679" t="n">
        <x:v>0</x:v>
      </x:c>
      <x:c r="H679" t="n">
        <x:v>0</x:v>
      </x:c>
      <x:c r="I679" t="n">
        <x:v>0</x:v>
      </x:c>
      <x:c r="J679" t="n">
        <x:v>6</x:v>
      </x:c>
      <x:c r="K679" t="n">
        <x:v>0</x:v>
      </x:c>
      <x:c r="L679" t="n">
        <x:v>0</x:v>
      </x:c>
      <x:c r="M679" t="n">
        <x:v>0</x:v>
      </x:c>
    </x:row>
    <x:row r="680">
      <x:c r="A680" t="str">
        <x:v>MI|Marquant|11</x:v>
      </x:c>
      <x:c r="B680" t="str">
        <x:v>Mineur</x:v>
      </x:c>
      <x:c r="C680" t="str">
        <x:v>Marquant</x:v>
      </x:c>
      <x:c r="D680" t="n">
        <x:v>11</x:v>
      </x:c>
      <x:c r="E680" t="n">
        <x:v>4</x:v>
      </x:c>
      <x:c r="F680" t="n">
        <x:v>0</x:v>
      </x:c>
      <x:c r="G680" t="n">
        <x:v>0</x:v>
      </x:c>
      <x:c r="H680" t="n">
        <x:v>0</x:v>
      </x:c>
      <x:c r="I680" t="n">
        <x:v>0</x:v>
      </x:c>
      <x:c r="J680" t="n">
        <x:v>7</x:v>
      </x:c>
      <x:c r="K680" t="n">
        <x:v>0</x:v>
      </x:c>
      <x:c r="L680" t="n">
        <x:v>0</x:v>
      </x:c>
      <x:c r="M680" t="n">
        <x:v>0</x:v>
      </x:c>
    </x:row>
    <x:row r="681">
      <x:c r="A681" t="str">
        <x:v>MI|Marquant|12</x:v>
      </x:c>
      <x:c r="B681" t="str">
        <x:v>Mineur</x:v>
      </x:c>
      <x:c r="C681" t="str">
        <x:v>Marquant</x:v>
      </x:c>
      <x:c r="D681" t="n">
        <x:v>12</x:v>
      </x:c>
      <x:c r="E681" t="n">
        <x:v>4</x:v>
      </x:c>
      <x:c r="F681" t="n">
        <x:v>0</x:v>
      </x:c>
      <x:c r="G681" t="n">
        <x:v>0</x:v>
      </x:c>
      <x:c r="H681" t="n">
        <x:v>0</x:v>
      </x:c>
      <x:c r="I681" t="n">
        <x:v>0</x:v>
      </x:c>
      <x:c r="J681" t="n">
        <x:v>8</x:v>
      </x:c>
      <x:c r="K681" t="n">
        <x:v>0</x:v>
      </x:c>
      <x:c r="L681" t="n">
        <x:v>0</x:v>
      </x:c>
      <x:c r="M681" t="n">
        <x:v>0</x:v>
      </x:c>
    </x:row>
    <x:row r="682">
      <x:c r="A682" t="str">
        <x:v>MI|Marquant|13</x:v>
      </x:c>
      <x:c r="B682" t="str">
        <x:v>Mineur</x:v>
      </x:c>
      <x:c r="C682" t="str">
        <x:v>Marquant</x:v>
      </x:c>
      <x:c r="D682" t="n">
        <x:v>13</x:v>
      </x:c>
      <x:c r="E682" t="n">
        <x:v>5</x:v>
      </x:c>
      <x:c r="F682" t="n">
        <x:v>0</x:v>
      </x:c>
      <x:c r="G682" t="n">
        <x:v>0</x:v>
      </x:c>
      <x:c r="H682" t="n">
        <x:v>0</x:v>
      </x:c>
      <x:c r="I682" t="n">
        <x:v>0</x:v>
      </x:c>
      <x:c r="J682" t="n">
        <x:v>8</x:v>
      </x:c>
      <x:c r="K682" t="n">
        <x:v>0</x:v>
      </x:c>
      <x:c r="L682" t="n">
        <x:v>0</x:v>
      </x:c>
      <x:c r="M682" t="n">
        <x:v>0</x:v>
      </x:c>
    </x:row>
    <x:row r="683">
      <x:c r="A683" t="str">
        <x:v>MI|Marquant|14</x:v>
      </x:c>
      <x:c r="B683" t="str">
        <x:v>Mineur</x:v>
      </x:c>
      <x:c r="C683" t="str">
        <x:v>Marquant</x:v>
      </x:c>
      <x:c r="D683" t="n">
        <x:v>14</x:v>
      </x:c>
      <x:c r="E683" t="n">
        <x:v>5</x:v>
      </x:c>
      <x:c r="F683" t="n">
        <x:v>0</x:v>
      </x:c>
      <x:c r="G683" t="n">
        <x:v>0</x:v>
      </x:c>
      <x:c r="H683" t="n">
        <x:v>0</x:v>
      </x:c>
      <x:c r="I683" t="n">
        <x:v>0</x:v>
      </x:c>
      <x:c r="J683" t="n">
        <x:v>9</x:v>
      </x:c>
      <x:c r="K683" t="n">
        <x:v>0</x:v>
      </x:c>
      <x:c r="L683" t="n">
        <x:v>0</x:v>
      </x:c>
      <x:c r="M683" t="n">
        <x:v>0</x:v>
      </x:c>
    </x:row>
    <x:row r="684">
      <x:c r="A684" t="str">
        <x:v>MI|Marquant|15</x:v>
      </x:c>
      <x:c r="B684" t="str">
        <x:v>Mineur</x:v>
      </x:c>
      <x:c r="C684" t="str">
        <x:v>Marquant</x:v>
      </x:c>
      <x:c r="D684" t="n">
        <x:v>15</x:v>
      </x:c>
      <x:c r="E684" t="n">
        <x:v>5</x:v>
      </x:c>
      <x:c r="F684" t="n">
        <x:v>0</x:v>
      </x:c>
      <x:c r="G684" t="n">
        <x:v>0</x:v>
      </x:c>
      <x:c r="H684" t="n">
        <x:v>0</x:v>
      </x:c>
      <x:c r="I684" t="n">
        <x:v>0</x:v>
      </x:c>
      <x:c r="J684" t="n">
        <x:v>10</x:v>
      </x:c>
      <x:c r="K684" t="n">
        <x:v>0</x:v>
      </x:c>
      <x:c r="L684" t="n">
        <x:v>0</x:v>
      </x:c>
      <x:c r="M684" t="n">
        <x:v>0</x:v>
      </x:c>
    </x:row>
    <x:row r="685">
      <x:c r="A685" t="str">
        <x:v>MI|Marquant|16</x:v>
      </x:c>
      <x:c r="B685" t="str">
        <x:v>Mineur</x:v>
      </x:c>
      <x:c r="C685" t="str">
        <x:v>Marquant</x:v>
      </x:c>
      <x:c r="D685" t="n">
        <x:v>16</x:v>
      </x:c>
      <x:c r="E685" t="n">
        <x:v>6</x:v>
      </x:c>
      <x:c r="F685" t="n">
        <x:v>0</x:v>
      </x:c>
      <x:c r="G685" t="n">
        <x:v>0</x:v>
      </x:c>
      <x:c r="H685" t="n">
        <x:v>0</x:v>
      </x:c>
      <x:c r="I685" t="n">
        <x:v>0</x:v>
      </x:c>
      <x:c r="J685" t="n">
        <x:v>10</x:v>
      </x:c>
      <x:c r="K685" t="n">
        <x:v>0</x:v>
      </x:c>
      <x:c r="L685" t="n">
        <x:v>0</x:v>
      </x:c>
      <x:c r="M685" t="n">
        <x:v>0</x:v>
      </x:c>
    </x:row>
    <x:row r="686">
      <x:c r="A686" t="str">
        <x:v>MI|Marquant|17</x:v>
      </x:c>
      <x:c r="B686" t="str">
        <x:v>Mineur</x:v>
      </x:c>
      <x:c r="C686" t="str">
        <x:v>Marquant</x:v>
      </x:c>
      <x:c r="D686" t="n">
        <x:v>17</x:v>
      </x:c>
      <x:c r="E686" t="n">
        <x:v>6</x:v>
      </x:c>
      <x:c r="F686" t="n">
        <x:v>0</x:v>
      </x:c>
      <x:c r="G686" t="n">
        <x:v>0</x:v>
      </x:c>
      <x:c r="H686" t="n">
        <x:v>0</x:v>
      </x:c>
      <x:c r="I686" t="n">
        <x:v>0</x:v>
      </x:c>
      <x:c r="J686" t="n">
        <x:v>11</x:v>
      </x:c>
      <x:c r="K686" t="n">
        <x:v>0</x:v>
      </x:c>
      <x:c r="L686" t="n">
        <x:v>0</x:v>
      </x:c>
      <x:c r="M686" t="n">
        <x:v>0</x:v>
      </x:c>
    </x:row>
    <x:row r="687">
      <x:c r="A687" t="str">
        <x:v>MI|Marquant|18</x:v>
      </x:c>
      <x:c r="B687" t="str">
        <x:v>Mineur</x:v>
      </x:c>
      <x:c r="C687" t="str">
        <x:v>Marquant</x:v>
      </x:c>
      <x:c r="D687" t="n">
        <x:v>18</x:v>
      </x:c>
      <x:c r="E687" t="n">
        <x:v>6</x:v>
      </x:c>
      <x:c r="F687" t="n">
        <x:v>0</x:v>
      </x:c>
      <x:c r="G687" t="n">
        <x:v>0</x:v>
      </x:c>
      <x:c r="H687" t="n">
        <x:v>0</x:v>
      </x:c>
      <x:c r="I687" t="n">
        <x:v>0</x:v>
      </x:c>
      <x:c r="J687" t="n">
        <x:v>12</x:v>
      </x:c>
      <x:c r="K687" t="n">
        <x:v>0</x:v>
      </x:c>
      <x:c r="L687" t="n">
        <x:v>0</x:v>
      </x:c>
      <x:c r="M687" t="n">
        <x:v>0</x:v>
      </x:c>
    </x:row>
    <x:row r="688">
      <x:c r="A688" t="str">
        <x:v>MI|Marquant|19</x:v>
      </x:c>
      <x:c r="B688" t="str">
        <x:v>Mineur</x:v>
      </x:c>
      <x:c r="C688" t="str">
        <x:v>Marquant</x:v>
      </x:c>
      <x:c r="D688" t="n">
        <x:v>19</x:v>
      </x:c>
      <x:c r="E688" t="n">
        <x:v>7</x:v>
      </x:c>
      <x:c r="F688" t="n">
        <x:v>0</x:v>
      </x:c>
      <x:c r="G688" t="n">
        <x:v>0</x:v>
      </x:c>
      <x:c r="H688" t="n">
        <x:v>0</x:v>
      </x:c>
      <x:c r="I688" t="n">
        <x:v>0</x:v>
      </x:c>
      <x:c r="J688" t="n">
        <x:v>12</x:v>
      </x:c>
      <x:c r="K688" t="n">
        <x:v>0</x:v>
      </x:c>
      <x:c r="L688" t="n">
        <x:v>0</x:v>
      </x:c>
      <x:c r="M688" t="n">
        <x:v>0</x:v>
      </x:c>
    </x:row>
    <x:row r="689">
      <x:c r="A689" t="str">
        <x:v>MI|Marquant|20</x:v>
      </x:c>
      <x:c r="B689" t="str">
        <x:v>Mineur</x:v>
      </x:c>
      <x:c r="C689" t="str">
        <x:v>Marquant</x:v>
      </x:c>
      <x:c r="D689" t="n">
        <x:v>20</x:v>
      </x:c>
      <x:c r="E689" t="n">
        <x:v>7</x:v>
      </x:c>
      <x:c r="F689" t="n">
        <x:v>0</x:v>
      </x:c>
      <x:c r="G689" t="n">
        <x:v>0</x:v>
      </x:c>
      <x:c r="H689" t="n">
        <x:v>0</x:v>
      </x:c>
      <x:c r="I689" t="n">
        <x:v>0</x:v>
      </x:c>
      <x:c r="J689" t="n">
        <x:v>13</x:v>
      </x:c>
      <x:c r="K689" t="n">
        <x:v>0</x:v>
      </x:c>
      <x:c r="L689" t="n">
        <x:v>0</x:v>
      </x:c>
      <x:c r="M689" t="n">
        <x:v>0</x:v>
      </x:c>
    </x:row>
    <x:row r="690">
      <x:c r="A690" t="str">
        <x:v>MI|Marquant|21</x:v>
      </x:c>
      <x:c r="B690" t="str">
        <x:v>Mineur</x:v>
      </x:c>
      <x:c r="C690" t="str">
        <x:v>Marquant</x:v>
      </x:c>
      <x:c r="D690" t="n">
        <x:v>21</x:v>
      </x:c>
      <x:c r="E690" t="n">
        <x:v>7</x:v>
      </x:c>
      <x:c r="F690" t="n">
        <x:v>0</x:v>
      </x:c>
      <x:c r="G690" t="n">
        <x:v>0</x:v>
      </x:c>
      <x:c r="H690" t="n">
        <x:v>0</x:v>
      </x:c>
      <x:c r="I690" t="n">
        <x:v>0</x:v>
      </x:c>
      <x:c r="J690" t="n">
        <x:v>14</x:v>
      </x:c>
      <x:c r="K690" t="n">
        <x:v>0</x:v>
      </x:c>
      <x:c r="L690" t="n">
        <x:v>0</x:v>
      </x:c>
      <x:c r="M690" t="n">
        <x:v>0</x:v>
      </x:c>
    </x:row>
    <x:row r="691">
      <x:c r="A691" t="str">
        <x:v>MI|Imposant|0</x:v>
      </x:c>
      <x:c r="B691" t="str">
        <x:v>Mineur</x:v>
      </x:c>
      <x:c r="C691" t="str">
        <x:v>Imposant</x:v>
      </x:c>
      <x:c r="D691" t="n">
        <x:v>0</x:v>
      </x:c>
      <x:c r="E691" t="n">
        <x:v>0</x:v>
      </x:c>
      <x:c r="F691" t="n">
        <x:v>0</x:v>
      </x:c>
      <x:c r="G691" t="n">
        <x:v>0</x:v>
      </x:c>
      <x:c r="H691" t="n">
        <x:v>0</x:v>
      </x:c>
      <x:c r="I691" t="n">
        <x:v>0</x:v>
      </x:c>
      <x:c r="J691" t="n">
        <x:v>0</x:v>
      </x:c>
      <x:c r="K691" t="n">
        <x:v>0</x:v>
      </x:c>
      <x:c r="L691" t="n">
        <x:v>0</x:v>
      </x:c>
      <x:c r="M691" t="n">
        <x:v>0</x:v>
      </x:c>
    </x:row>
    <x:row r="692">
      <x:c r="A692" t="str">
        <x:v>MI|Imposant|1</x:v>
      </x:c>
      <x:c r="B692" t="str">
        <x:v>Mineur</x:v>
      </x:c>
      <x:c r="C692" t="str">
        <x:v>Imposant</x:v>
      </x:c>
      <x:c r="D692" t="n">
        <x:v>1</x:v>
      </x:c>
      <x:c r="E692" t="n">
        <x:v>0</x:v>
      </x:c>
      <x:c r="F692" t="n">
        <x:v>0</x:v>
      </x:c>
      <x:c r="G692" t="n">
        <x:v>0</x:v>
      </x:c>
      <x:c r="H692" t="n">
        <x:v>0</x:v>
      </x:c>
      <x:c r="I692" t="n">
        <x:v>0</x:v>
      </x:c>
      <x:c r="J692" t="n">
        <x:v>1</x:v>
      </x:c>
      <x:c r="K692" t="n">
        <x:v>0</x:v>
      </x:c>
      <x:c r="L692" t="n">
        <x:v>0</x:v>
      </x:c>
      <x:c r="M692" t="n">
        <x:v>0</x:v>
      </x:c>
    </x:row>
    <x:row r="693">
      <x:c r="A693" t="str">
        <x:v>MI|Imposant|2</x:v>
      </x:c>
      <x:c r="B693" t="str">
        <x:v>Mineur</x:v>
      </x:c>
      <x:c r="C693" t="str">
        <x:v>Imposant</x:v>
      </x:c>
      <x:c r="D693" t="n">
        <x:v>2</x:v>
      </x:c>
      <x:c r="E693" t="n">
        <x:v>0</x:v>
      </x:c>
      <x:c r="F693" t="n">
        <x:v>0</x:v>
      </x:c>
      <x:c r="G693" t="n">
        <x:v>1</x:v>
      </x:c>
      <x:c r="H693" t="n">
        <x:v>0</x:v>
      </x:c>
      <x:c r="I693" t="n">
        <x:v>0</x:v>
      </x:c>
      <x:c r="J693" t="n">
        <x:v>1</x:v>
      </x:c>
      <x:c r="K693" t="n">
        <x:v>0</x:v>
      </x:c>
      <x:c r="L693" t="n">
        <x:v>0</x:v>
      </x:c>
      <x:c r="M693" t="n">
        <x:v>0</x:v>
      </x:c>
    </x:row>
    <x:row r="694">
      <x:c r="A694" t="str">
        <x:v>MI|Imposant|3</x:v>
      </x:c>
      <x:c r="B694" t="str">
        <x:v>Mineur</x:v>
      </x:c>
      <x:c r="C694" t="str">
        <x:v>Imposant</x:v>
      </x:c>
      <x:c r="D694" t="n">
        <x:v>3</x:v>
      </x:c>
      <x:c r="E694" t="n">
        <x:v>0</x:v>
      </x:c>
      <x:c r="F694" t="n">
        <x:v>0</x:v>
      </x:c>
      <x:c r="G694" t="n">
        <x:v>1</x:v>
      </x:c>
      <x:c r="H694" t="n">
        <x:v>0</x:v>
      </x:c>
      <x:c r="I694" t="n">
        <x:v>0</x:v>
      </x:c>
      <x:c r="J694" t="n">
        <x:v>2</x:v>
      </x:c>
      <x:c r="K694" t="n">
        <x:v>0</x:v>
      </x:c>
      <x:c r="L694" t="n">
        <x:v>0</x:v>
      </x:c>
      <x:c r="M694" t="n">
        <x:v>0</x:v>
      </x:c>
    </x:row>
    <x:row r="695">
      <x:c r="A695" t="str">
        <x:v>MI|Imposant|4</x:v>
      </x:c>
      <x:c r="B695" t="str">
        <x:v>Mineur</x:v>
      </x:c>
      <x:c r="C695" t="str">
        <x:v>Imposant</x:v>
      </x:c>
      <x:c r="D695" t="n">
        <x:v>4</x:v>
      </x:c>
      <x:c r="E695" t="n">
        <x:v>0</x:v>
      </x:c>
      <x:c r="F695" t="n">
        <x:v>0</x:v>
      </x:c>
      <x:c r="G695" t="n">
        <x:v>1</x:v>
      </x:c>
      <x:c r="H695" t="n">
        <x:v>0</x:v>
      </x:c>
      <x:c r="I695" t="n">
        <x:v>0</x:v>
      </x:c>
      <x:c r="J695" t="n">
        <x:v>3</x:v>
      </x:c>
      <x:c r="K695" t="n">
        <x:v>0</x:v>
      </x:c>
      <x:c r="L695" t="n">
        <x:v>0</x:v>
      </x:c>
      <x:c r="M695" t="n">
        <x:v>0</x:v>
      </x:c>
    </x:row>
    <x:row r="696">
      <x:c r="A696" t="str">
        <x:v>MI|Imposant|5</x:v>
      </x:c>
      <x:c r="B696" t="str">
        <x:v>Mineur</x:v>
      </x:c>
      <x:c r="C696" t="str">
        <x:v>Imposant</x:v>
      </x:c>
      <x:c r="D696" t="n">
        <x:v>5</x:v>
      </x:c>
      <x:c r="E696" t="n">
        <x:v>0</x:v>
      </x:c>
      <x:c r="F696" t="n">
        <x:v>0</x:v>
      </x:c>
      <x:c r="G696" t="n">
        <x:v>2</x:v>
      </x:c>
      <x:c r="H696" t="n">
        <x:v>0</x:v>
      </x:c>
      <x:c r="I696" t="n">
        <x:v>0</x:v>
      </x:c>
      <x:c r="J696" t="n">
        <x:v>3</x:v>
      </x:c>
      <x:c r="K696" t="n">
        <x:v>0</x:v>
      </x:c>
      <x:c r="L696" t="n">
        <x:v>0</x:v>
      </x:c>
      <x:c r="M696" t="n">
        <x:v>0</x:v>
      </x:c>
    </x:row>
    <x:row r="697">
      <x:c r="A697" t="str">
        <x:v>MI|Imposant|6</x:v>
      </x:c>
      <x:c r="B697" t="str">
        <x:v>Mineur</x:v>
      </x:c>
      <x:c r="C697" t="str">
        <x:v>Imposant</x:v>
      </x:c>
      <x:c r="D697" t="n">
        <x:v>6</x:v>
      </x:c>
      <x:c r="E697" t="n">
        <x:v>0</x:v>
      </x:c>
      <x:c r="F697" t="n">
        <x:v>0</x:v>
      </x:c>
      <x:c r="G697" t="n">
        <x:v>2</x:v>
      </x:c>
      <x:c r="H697" t="n">
        <x:v>0</x:v>
      </x:c>
      <x:c r="I697" t="n">
        <x:v>0</x:v>
      </x:c>
      <x:c r="J697" t="n">
        <x:v>4</x:v>
      </x:c>
      <x:c r="K697" t="n">
        <x:v>0</x:v>
      </x:c>
      <x:c r="L697" t="n">
        <x:v>0</x:v>
      </x:c>
      <x:c r="M697" t="n">
        <x:v>0</x:v>
      </x:c>
    </x:row>
    <x:row r="698">
      <x:c r="A698" t="str">
        <x:v>MI|Imposant|7</x:v>
      </x:c>
      <x:c r="B698" t="str">
        <x:v>Mineur</x:v>
      </x:c>
      <x:c r="C698" t="str">
        <x:v>Imposant</x:v>
      </x:c>
      <x:c r="D698" t="n">
        <x:v>7</x:v>
      </x:c>
      <x:c r="E698" t="n">
        <x:v>0</x:v>
      </x:c>
      <x:c r="F698" t="n">
        <x:v>0</x:v>
      </x:c>
      <x:c r="G698" t="n">
        <x:v>2</x:v>
      </x:c>
      <x:c r="H698" t="n">
        <x:v>0</x:v>
      </x:c>
      <x:c r="I698" t="n">
        <x:v>0</x:v>
      </x:c>
      <x:c r="J698" t="n">
        <x:v>5</x:v>
      </x:c>
      <x:c r="K698" t="n">
        <x:v>0</x:v>
      </x:c>
      <x:c r="L698" t="n">
        <x:v>0</x:v>
      </x:c>
      <x:c r="M698" t="n">
        <x:v>0</x:v>
      </x:c>
    </x:row>
    <x:row r="699">
      <x:c r="A699" t="str">
        <x:v>MI|Imposant|8</x:v>
      </x:c>
      <x:c r="B699" t="str">
        <x:v>Mineur</x:v>
      </x:c>
      <x:c r="C699" t="str">
        <x:v>Imposant</x:v>
      </x:c>
      <x:c r="D699" t="n">
        <x:v>8</x:v>
      </x:c>
      <x:c r="E699" t="n">
        <x:v>0</x:v>
      </x:c>
      <x:c r="F699" t="n">
        <x:v>0</x:v>
      </x:c>
      <x:c r="G699" t="n">
        <x:v>3</x:v>
      </x:c>
      <x:c r="H699" t="n">
        <x:v>0</x:v>
      </x:c>
      <x:c r="I699" t="n">
        <x:v>0</x:v>
      </x:c>
      <x:c r="J699" t="n">
        <x:v>5</x:v>
      </x:c>
      <x:c r="K699" t="n">
        <x:v>0</x:v>
      </x:c>
      <x:c r="L699" t="n">
        <x:v>0</x:v>
      </x:c>
      <x:c r="M699" t="n">
        <x:v>0</x:v>
      </x:c>
    </x:row>
    <x:row r="700">
      <x:c r="A700" t="str">
        <x:v>MI|Imposant|9</x:v>
      </x:c>
      <x:c r="B700" t="str">
        <x:v>Mineur</x:v>
      </x:c>
      <x:c r="C700" t="str">
        <x:v>Imposant</x:v>
      </x:c>
      <x:c r="D700" t="n">
        <x:v>9</x:v>
      </x:c>
      <x:c r="E700" t="n">
        <x:v>0</x:v>
      </x:c>
      <x:c r="F700" t="n">
        <x:v>0</x:v>
      </x:c>
      <x:c r="G700" t="n">
        <x:v>3</x:v>
      </x:c>
      <x:c r="H700" t="n">
        <x:v>0</x:v>
      </x:c>
      <x:c r="I700" t="n">
        <x:v>0</x:v>
      </x:c>
      <x:c r="J700" t="n">
        <x:v>6</x:v>
      </x:c>
      <x:c r="K700" t="n">
        <x:v>0</x:v>
      </x:c>
      <x:c r="L700" t="n">
        <x:v>0</x:v>
      </x:c>
      <x:c r="M700" t="n">
        <x:v>0</x:v>
      </x:c>
    </x:row>
    <x:row r="701">
      <x:c r="A701" t="str">
        <x:v>MI|Imposant|10</x:v>
      </x:c>
      <x:c r="B701" t="str">
        <x:v>Mineur</x:v>
      </x:c>
      <x:c r="C701" t="str">
        <x:v>Imposant</x:v>
      </x:c>
      <x:c r="D701" t="n">
        <x:v>10</x:v>
      </x:c>
      <x:c r="E701" t="n">
        <x:v>0</x:v>
      </x:c>
      <x:c r="F701" t="n">
        <x:v>0</x:v>
      </x:c>
      <x:c r="G701" t="n">
        <x:v>4</x:v>
      </x:c>
      <x:c r="H701" t="n">
        <x:v>0</x:v>
      </x:c>
      <x:c r="I701" t="n">
        <x:v>0</x:v>
      </x:c>
      <x:c r="J701" t="n">
        <x:v>6</x:v>
      </x:c>
      <x:c r="K701" t="n">
        <x:v>0</x:v>
      </x:c>
      <x:c r="L701" t="n">
        <x:v>0</x:v>
      </x:c>
      <x:c r="M701" t="n">
        <x:v>0</x:v>
      </x:c>
    </x:row>
    <x:row r="702">
      <x:c r="A702" t="str">
        <x:v>MI|Imposant|11</x:v>
      </x:c>
      <x:c r="B702" t="str">
        <x:v>Mineur</x:v>
      </x:c>
      <x:c r="C702" t="str">
        <x:v>Imposant</x:v>
      </x:c>
      <x:c r="D702" t="n">
        <x:v>11</x:v>
      </x:c>
      <x:c r="E702" t="n">
        <x:v>0</x:v>
      </x:c>
      <x:c r="F702" t="n">
        <x:v>0</x:v>
      </x:c>
      <x:c r="G702" t="n">
        <x:v>4</x:v>
      </x:c>
      <x:c r="H702" t="n">
        <x:v>0</x:v>
      </x:c>
      <x:c r="I702" t="n">
        <x:v>0</x:v>
      </x:c>
      <x:c r="J702" t="n">
        <x:v>7</x:v>
      </x:c>
      <x:c r="K702" t="n">
        <x:v>0</x:v>
      </x:c>
      <x:c r="L702" t="n">
        <x:v>0</x:v>
      </x:c>
      <x:c r="M702" t="n">
        <x:v>0</x:v>
      </x:c>
    </x:row>
    <x:row r="703">
      <x:c r="A703" t="str">
        <x:v>MI|Imposant|12</x:v>
      </x:c>
      <x:c r="B703" t="str">
        <x:v>Mineur</x:v>
      </x:c>
      <x:c r="C703" t="str">
        <x:v>Imposant</x:v>
      </x:c>
      <x:c r="D703" t="n">
        <x:v>12</x:v>
      </x:c>
      <x:c r="E703" t="n">
        <x:v>0</x:v>
      </x:c>
      <x:c r="F703" t="n">
        <x:v>0</x:v>
      </x:c>
      <x:c r="G703" t="n">
        <x:v>4</x:v>
      </x:c>
      <x:c r="H703" t="n">
        <x:v>0</x:v>
      </x:c>
      <x:c r="I703" t="n">
        <x:v>0</x:v>
      </x:c>
      <x:c r="J703" t="n">
        <x:v>8</x:v>
      </x:c>
      <x:c r="K703" t="n">
        <x:v>0</x:v>
      </x:c>
      <x:c r="L703" t="n">
        <x:v>0</x:v>
      </x:c>
      <x:c r="M703" t="n">
        <x:v>0</x:v>
      </x:c>
    </x:row>
    <x:row r="704">
      <x:c r="A704" t="str">
        <x:v>MI|Imposant|13</x:v>
      </x:c>
      <x:c r="B704" t="str">
        <x:v>Mineur</x:v>
      </x:c>
      <x:c r="C704" t="str">
        <x:v>Imposant</x:v>
      </x:c>
      <x:c r="D704" t="n">
        <x:v>13</x:v>
      </x:c>
      <x:c r="E704" t="n">
        <x:v>0</x:v>
      </x:c>
      <x:c r="F704" t="n">
        <x:v>0</x:v>
      </x:c>
      <x:c r="G704" t="n">
        <x:v>5</x:v>
      </x:c>
      <x:c r="H704" t="n">
        <x:v>0</x:v>
      </x:c>
      <x:c r="I704" t="n">
        <x:v>0</x:v>
      </x:c>
      <x:c r="J704" t="n">
        <x:v>8</x:v>
      </x:c>
      <x:c r="K704" t="n">
        <x:v>0</x:v>
      </x:c>
      <x:c r="L704" t="n">
        <x:v>0</x:v>
      </x:c>
      <x:c r="M704" t="n">
        <x:v>0</x:v>
      </x:c>
    </x:row>
    <x:row r="705">
      <x:c r="A705" t="str">
        <x:v>MI|Imposant|14</x:v>
      </x:c>
      <x:c r="B705" t="str">
        <x:v>Mineur</x:v>
      </x:c>
      <x:c r="C705" t="str">
        <x:v>Imposant</x:v>
      </x:c>
      <x:c r="D705" t="n">
        <x:v>14</x:v>
      </x:c>
      <x:c r="E705" t="n">
        <x:v>0</x:v>
      </x:c>
      <x:c r="F705" t="n">
        <x:v>0</x:v>
      </x:c>
      <x:c r="G705" t="n">
        <x:v>5</x:v>
      </x:c>
      <x:c r="H705" t="n">
        <x:v>0</x:v>
      </x:c>
      <x:c r="I705" t="n">
        <x:v>0</x:v>
      </x:c>
      <x:c r="J705" t="n">
        <x:v>9</x:v>
      </x:c>
      <x:c r="K705" t="n">
        <x:v>0</x:v>
      </x:c>
      <x:c r="L705" t="n">
        <x:v>0</x:v>
      </x:c>
      <x:c r="M705" t="n">
        <x:v>0</x:v>
      </x:c>
    </x:row>
    <x:row r="706">
      <x:c r="A706" t="str">
        <x:v>MI|Imposant|15</x:v>
      </x:c>
      <x:c r="B706" t="str">
        <x:v>Mineur</x:v>
      </x:c>
      <x:c r="C706" t="str">
        <x:v>Imposant</x:v>
      </x:c>
      <x:c r="D706" t="n">
        <x:v>15</x:v>
      </x:c>
      <x:c r="E706" t="n">
        <x:v>0</x:v>
      </x:c>
      <x:c r="F706" t="n">
        <x:v>0</x:v>
      </x:c>
      <x:c r="G706" t="n">
        <x:v>5</x:v>
      </x:c>
      <x:c r="H706" t="n">
        <x:v>0</x:v>
      </x:c>
      <x:c r="I706" t="n">
        <x:v>0</x:v>
      </x:c>
      <x:c r="J706" t="n">
        <x:v>10</x:v>
      </x:c>
      <x:c r="K706" t="n">
        <x:v>0</x:v>
      </x:c>
      <x:c r="L706" t="n">
        <x:v>0</x:v>
      </x:c>
      <x:c r="M706" t="n">
        <x:v>0</x:v>
      </x:c>
    </x:row>
    <x:row r="707">
      <x:c r="A707" t="str">
        <x:v>MI|Imposant|16</x:v>
      </x:c>
      <x:c r="B707" t="str">
        <x:v>Mineur</x:v>
      </x:c>
      <x:c r="C707" t="str">
        <x:v>Imposant</x:v>
      </x:c>
      <x:c r="D707" t="n">
        <x:v>16</x:v>
      </x:c>
      <x:c r="E707" t="n">
        <x:v>0</x:v>
      </x:c>
      <x:c r="F707" t="n">
        <x:v>0</x:v>
      </x:c>
      <x:c r="G707" t="n">
        <x:v>6</x:v>
      </x:c>
      <x:c r="H707" t="n">
        <x:v>0</x:v>
      </x:c>
      <x:c r="I707" t="n">
        <x:v>0</x:v>
      </x:c>
      <x:c r="J707" t="n">
        <x:v>10</x:v>
      </x:c>
      <x:c r="K707" t="n">
        <x:v>0</x:v>
      </x:c>
      <x:c r="L707" t="n">
        <x:v>0</x:v>
      </x:c>
      <x:c r="M707" t="n">
        <x:v>0</x:v>
      </x:c>
    </x:row>
    <x:row r="708">
      <x:c r="A708" t="str">
        <x:v>MI|Imposant|17</x:v>
      </x:c>
      <x:c r="B708" t="str">
        <x:v>Mineur</x:v>
      </x:c>
      <x:c r="C708" t="str">
        <x:v>Imposant</x:v>
      </x:c>
      <x:c r="D708" t="n">
        <x:v>17</x:v>
      </x:c>
      <x:c r="E708" t="n">
        <x:v>0</x:v>
      </x:c>
      <x:c r="F708" t="n">
        <x:v>0</x:v>
      </x:c>
      <x:c r="G708" t="n">
        <x:v>6</x:v>
      </x:c>
      <x:c r="H708" t="n">
        <x:v>0</x:v>
      </x:c>
      <x:c r="I708" t="n">
        <x:v>0</x:v>
      </x:c>
      <x:c r="J708" t="n">
        <x:v>11</x:v>
      </x:c>
      <x:c r="K708" t="n">
        <x:v>0</x:v>
      </x:c>
      <x:c r="L708" t="n">
        <x:v>0</x:v>
      </x:c>
      <x:c r="M708" t="n">
        <x:v>0</x:v>
      </x:c>
    </x:row>
    <x:row r="709">
      <x:c r="A709" t="str">
        <x:v>MI|Imposant|18</x:v>
      </x:c>
      <x:c r="B709" t="str">
        <x:v>Mineur</x:v>
      </x:c>
      <x:c r="C709" t="str">
        <x:v>Imposant</x:v>
      </x:c>
      <x:c r="D709" t="n">
        <x:v>18</x:v>
      </x:c>
      <x:c r="E709" t="n">
        <x:v>0</x:v>
      </x:c>
      <x:c r="F709" t="n">
        <x:v>0</x:v>
      </x:c>
      <x:c r="G709" t="n">
        <x:v>6</x:v>
      </x:c>
      <x:c r="H709" t="n">
        <x:v>0</x:v>
      </x:c>
      <x:c r="I709" t="n">
        <x:v>0</x:v>
      </x:c>
      <x:c r="J709" t="n">
        <x:v>12</x:v>
      </x:c>
      <x:c r="K709" t="n">
        <x:v>0</x:v>
      </x:c>
      <x:c r="L709" t="n">
        <x:v>0</x:v>
      </x:c>
      <x:c r="M709" t="n">
        <x:v>0</x:v>
      </x:c>
    </x:row>
    <x:row r="710">
      <x:c r="A710" t="str">
        <x:v>MI|Imposant|19</x:v>
      </x:c>
      <x:c r="B710" t="str">
        <x:v>Mineur</x:v>
      </x:c>
      <x:c r="C710" t="str">
        <x:v>Imposant</x:v>
      </x:c>
      <x:c r="D710" t="n">
        <x:v>19</x:v>
      </x:c>
      <x:c r="E710" t="n">
        <x:v>0</x:v>
      </x:c>
      <x:c r="F710" t="n">
        <x:v>0</x:v>
      </x:c>
      <x:c r="G710" t="n">
        <x:v>7</x:v>
      </x:c>
      <x:c r="H710" t="n">
        <x:v>0</x:v>
      </x:c>
      <x:c r="I710" t="n">
        <x:v>0</x:v>
      </x:c>
      <x:c r="J710" t="n">
        <x:v>12</x:v>
      </x:c>
      <x:c r="K710" t="n">
        <x:v>0</x:v>
      </x:c>
      <x:c r="L710" t="n">
        <x:v>0</x:v>
      </x:c>
      <x:c r="M710" t="n">
        <x:v>0</x:v>
      </x:c>
    </x:row>
    <x:row r="711">
      <x:c r="A711" t="str">
        <x:v>MI|Imposant|20</x:v>
      </x:c>
      <x:c r="B711" t="str">
        <x:v>Mineur</x:v>
      </x:c>
      <x:c r="C711" t="str">
        <x:v>Imposant</x:v>
      </x:c>
      <x:c r="D711" t="n">
        <x:v>20</x:v>
      </x:c>
      <x:c r="E711" t="n">
        <x:v>0</x:v>
      </x:c>
      <x:c r="F711" t="n">
        <x:v>0</x:v>
      </x:c>
      <x:c r="G711" t="n">
        <x:v>7</x:v>
      </x:c>
      <x:c r="H711" t="n">
        <x:v>0</x:v>
      </x:c>
      <x:c r="I711" t="n">
        <x:v>0</x:v>
      </x:c>
      <x:c r="J711" t="n">
        <x:v>13</x:v>
      </x:c>
      <x:c r="K711" t="n">
        <x:v>0</x:v>
      </x:c>
      <x:c r="L711" t="n">
        <x:v>0</x:v>
      </x:c>
      <x:c r="M711" t="n">
        <x:v>0</x:v>
      </x:c>
    </x:row>
    <x:row r="712">
      <x:c r="A712" t="str">
        <x:v>MI|Imposant|21</x:v>
      </x:c>
      <x:c r="B712" t="str">
        <x:v>Mineur</x:v>
      </x:c>
      <x:c r="C712" t="str">
        <x:v>Imposant</x:v>
      </x:c>
      <x:c r="D712" t="n">
        <x:v>21</x:v>
      </x:c>
      <x:c r="E712" t="n">
        <x:v>0</x:v>
      </x:c>
      <x:c r="F712" t="n">
        <x:v>0</x:v>
      </x:c>
      <x:c r="G712" t="n">
        <x:v>7</x:v>
      </x:c>
      <x:c r="H712" t="n">
        <x:v>0</x:v>
      </x:c>
      <x:c r="I712" t="n">
        <x:v>0</x:v>
      </x:c>
      <x:c r="J712" t="n">
        <x:v>14</x:v>
      </x:c>
      <x:c r="K712" t="n">
        <x:v>0</x:v>
      </x:c>
      <x:c r="L712" t="n">
        <x:v>0</x:v>
      </x:c>
      <x:c r="M712" t="n">
        <x:v>0</x:v>
      </x:c>
    </x:row>
    <x:row r="713">
      <x:c r="A713" t="str">
        <x:v>MI|Provocateur|0</x:v>
      </x:c>
      <x:c r="B713" t="str">
        <x:v>Mineur</x:v>
      </x:c>
      <x:c r="C713" t="str">
        <x:v>Provocateur</x:v>
      </x:c>
      <x:c r="D713" t="n">
        <x:v>0</x:v>
      </x:c>
      <x:c r="E713" t="n">
        <x:v>0</x:v>
      </x:c>
      <x:c r="F713" t="n">
        <x:v>0</x:v>
      </x:c>
      <x:c r="G713" t="n">
        <x:v>0</x:v>
      </x:c>
      <x:c r="H713" t="n">
        <x:v>0</x:v>
      </x:c>
      <x:c r="I713" t="n">
        <x:v>0</x:v>
      </x:c>
      <x:c r="J713" t="n">
        <x:v>0</x:v>
      </x:c>
      <x:c r="K713" t="n">
        <x:v>0</x:v>
      </x:c>
      <x:c r="L713" t="n">
        <x:v>0</x:v>
      </x:c>
      <x:c r="M713" t="n">
        <x:v>0</x:v>
      </x:c>
    </x:row>
    <x:row r="714">
      <x:c r="A714" t="str">
        <x:v>MI|Provocateur|1</x:v>
      </x:c>
      <x:c r="B714" t="str">
        <x:v>Mineur</x:v>
      </x:c>
      <x:c r="C714" t="str">
        <x:v>Provocateur</x:v>
      </x:c>
      <x:c r="D714" t="n">
        <x:v>1</x:v>
      </x:c>
      <x:c r="E714" t="n">
        <x:v>0</x:v>
      </x:c>
      <x:c r="F714" t="n">
        <x:v>0</x:v>
      </x:c>
      <x:c r="G714" t="n">
        <x:v>0</x:v>
      </x:c>
      <x:c r="H714" t="n">
        <x:v>0</x:v>
      </x:c>
      <x:c r="I714" t="n">
        <x:v>0</x:v>
      </x:c>
      <x:c r="J714" t="n">
        <x:v>1</x:v>
      </x:c>
      <x:c r="K714" t="n">
        <x:v>0</x:v>
      </x:c>
      <x:c r="L714" t="n">
        <x:v>0</x:v>
      </x:c>
      <x:c r="M714" t="n">
        <x:v>0</x:v>
      </x:c>
    </x:row>
    <x:row r="715">
      <x:c r="A715" t="str">
        <x:v>MI|Provocateur|2</x:v>
      </x:c>
      <x:c r="B715" t="str">
        <x:v>Mineur</x:v>
      </x:c>
      <x:c r="C715" t="str">
        <x:v>Provocateur</x:v>
      </x:c>
      <x:c r="D715" t="n">
        <x:v>2</x:v>
      </x:c>
      <x:c r="E715" t="n">
        <x:v>0</x:v>
      </x:c>
      <x:c r="F715" t="n">
        <x:v>1</x:v>
      </x:c>
      <x:c r="G715" t="n">
        <x:v>0</x:v>
      </x:c>
      <x:c r="H715" t="n">
        <x:v>0</x:v>
      </x:c>
      <x:c r="I715" t="n">
        <x:v>0</x:v>
      </x:c>
      <x:c r="J715" t="n">
        <x:v>1</x:v>
      </x:c>
      <x:c r="K715" t="n">
        <x:v>0</x:v>
      </x:c>
      <x:c r="L715" t="n">
        <x:v>0</x:v>
      </x:c>
      <x:c r="M715" t="n">
        <x:v>0</x:v>
      </x:c>
    </x:row>
    <x:row r="716">
      <x:c r="A716" t="str">
        <x:v>MI|Provocateur|3</x:v>
      </x:c>
      <x:c r="B716" t="str">
        <x:v>Mineur</x:v>
      </x:c>
      <x:c r="C716" t="str">
        <x:v>Provocateur</x:v>
      </x:c>
      <x:c r="D716" t="n">
        <x:v>3</x:v>
      </x:c>
      <x:c r="E716" t="n">
        <x:v>0</x:v>
      </x:c>
      <x:c r="F716" t="n">
        <x:v>1</x:v>
      </x:c>
      <x:c r="G716" t="n">
        <x:v>0</x:v>
      </x:c>
      <x:c r="H716" t="n">
        <x:v>0</x:v>
      </x:c>
      <x:c r="I716" t="n">
        <x:v>0</x:v>
      </x:c>
      <x:c r="J716" t="n">
        <x:v>2</x:v>
      </x:c>
      <x:c r="K716" t="n">
        <x:v>0</x:v>
      </x:c>
      <x:c r="L716" t="n">
        <x:v>0</x:v>
      </x:c>
      <x:c r="M716" t="n">
        <x:v>0</x:v>
      </x:c>
    </x:row>
    <x:row r="717">
      <x:c r="A717" t="str">
        <x:v>MI|Provocateur|4</x:v>
      </x:c>
      <x:c r="B717" t="str">
        <x:v>Mineur</x:v>
      </x:c>
      <x:c r="C717" t="str">
        <x:v>Provocateur</x:v>
      </x:c>
      <x:c r="D717" t="n">
        <x:v>4</x:v>
      </x:c>
      <x:c r="E717" t="n">
        <x:v>0</x:v>
      </x:c>
      <x:c r="F717" t="n">
        <x:v>1</x:v>
      </x:c>
      <x:c r="G717" t="n">
        <x:v>0</x:v>
      </x:c>
      <x:c r="H717" t="n">
        <x:v>0</x:v>
      </x:c>
      <x:c r="I717" t="n">
        <x:v>0</x:v>
      </x:c>
      <x:c r="J717" t="n">
        <x:v>3</x:v>
      </x:c>
      <x:c r="K717" t="n">
        <x:v>0</x:v>
      </x:c>
      <x:c r="L717" t="n">
        <x:v>0</x:v>
      </x:c>
      <x:c r="M717" t="n">
        <x:v>0</x:v>
      </x:c>
    </x:row>
    <x:row r="718">
      <x:c r="A718" t="str">
        <x:v>MI|Provocateur|5</x:v>
      </x:c>
      <x:c r="B718" t="str">
        <x:v>Mineur</x:v>
      </x:c>
      <x:c r="C718" t="str">
        <x:v>Provocateur</x:v>
      </x:c>
      <x:c r="D718" t="n">
        <x:v>5</x:v>
      </x:c>
      <x:c r="E718" t="n">
        <x:v>0</x:v>
      </x:c>
      <x:c r="F718" t="n">
        <x:v>2</x:v>
      </x:c>
      <x:c r="G718" t="n">
        <x:v>0</x:v>
      </x:c>
      <x:c r="H718" t="n">
        <x:v>0</x:v>
      </x:c>
      <x:c r="I718" t="n">
        <x:v>0</x:v>
      </x:c>
      <x:c r="J718" t="n">
        <x:v>3</x:v>
      </x:c>
      <x:c r="K718" t="n">
        <x:v>0</x:v>
      </x:c>
      <x:c r="L718" t="n">
        <x:v>0</x:v>
      </x:c>
      <x:c r="M718" t="n">
        <x:v>0</x:v>
      </x:c>
    </x:row>
    <x:row r="719">
      <x:c r="A719" t="str">
        <x:v>MI|Provocateur|6</x:v>
      </x:c>
      <x:c r="B719" t="str">
        <x:v>Mineur</x:v>
      </x:c>
      <x:c r="C719" t="str">
        <x:v>Provocateur</x:v>
      </x:c>
      <x:c r="D719" t="n">
        <x:v>6</x:v>
      </x:c>
      <x:c r="E719" t="n">
        <x:v>0</x:v>
      </x:c>
      <x:c r="F719" t="n">
        <x:v>2</x:v>
      </x:c>
      <x:c r="G719" t="n">
        <x:v>0</x:v>
      </x:c>
      <x:c r="H719" t="n">
        <x:v>0</x:v>
      </x:c>
      <x:c r="I719" t="n">
        <x:v>0</x:v>
      </x:c>
      <x:c r="J719" t="n">
        <x:v>4</x:v>
      </x:c>
      <x:c r="K719" t="n">
        <x:v>0</x:v>
      </x:c>
      <x:c r="L719" t="n">
        <x:v>0</x:v>
      </x:c>
      <x:c r="M719" t="n">
        <x:v>0</x:v>
      </x:c>
    </x:row>
    <x:row r="720">
      <x:c r="A720" t="str">
        <x:v>MI|Provocateur|7</x:v>
      </x:c>
      <x:c r="B720" t="str">
        <x:v>Mineur</x:v>
      </x:c>
      <x:c r="C720" t="str">
        <x:v>Provocateur</x:v>
      </x:c>
      <x:c r="D720" t="n">
        <x:v>7</x:v>
      </x:c>
      <x:c r="E720" t="n">
        <x:v>0</x:v>
      </x:c>
      <x:c r="F720" t="n">
        <x:v>2</x:v>
      </x:c>
      <x:c r="G720" t="n">
        <x:v>0</x:v>
      </x:c>
      <x:c r="H720" t="n">
        <x:v>0</x:v>
      </x:c>
      <x:c r="I720" t="n">
        <x:v>0</x:v>
      </x:c>
      <x:c r="J720" t="n">
        <x:v>5</x:v>
      </x:c>
      <x:c r="K720" t="n">
        <x:v>0</x:v>
      </x:c>
      <x:c r="L720" t="n">
        <x:v>0</x:v>
      </x:c>
      <x:c r="M720" t="n">
        <x:v>0</x:v>
      </x:c>
    </x:row>
    <x:row r="721">
      <x:c r="A721" t="str">
        <x:v>MI|Provocateur|8</x:v>
      </x:c>
      <x:c r="B721" t="str">
        <x:v>Mineur</x:v>
      </x:c>
      <x:c r="C721" t="str">
        <x:v>Provocateur</x:v>
      </x:c>
      <x:c r="D721" t="n">
        <x:v>8</x:v>
      </x:c>
      <x:c r="E721" t="n">
        <x:v>0</x:v>
      </x:c>
      <x:c r="F721" t="n">
        <x:v>3</x:v>
      </x:c>
      <x:c r="G721" t="n">
        <x:v>0</x:v>
      </x:c>
      <x:c r="H721" t="n">
        <x:v>0</x:v>
      </x:c>
      <x:c r="I721" t="n">
        <x:v>0</x:v>
      </x:c>
      <x:c r="J721" t="n">
        <x:v>5</x:v>
      </x:c>
      <x:c r="K721" t="n">
        <x:v>0</x:v>
      </x:c>
      <x:c r="L721" t="n">
        <x:v>0</x:v>
      </x:c>
      <x:c r="M721" t="n">
        <x:v>0</x:v>
      </x:c>
    </x:row>
    <x:row r="722">
      <x:c r="A722" t="str">
        <x:v>MI|Provocateur|9</x:v>
      </x:c>
      <x:c r="B722" t="str">
        <x:v>Mineur</x:v>
      </x:c>
      <x:c r="C722" t="str">
        <x:v>Provocateur</x:v>
      </x:c>
      <x:c r="D722" t="n">
        <x:v>9</x:v>
      </x:c>
      <x:c r="E722" t="n">
        <x:v>0</x:v>
      </x:c>
      <x:c r="F722" t="n">
        <x:v>3</x:v>
      </x:c>
      <x:c r="G722" t="n">
        <x:v>0</x:v>
      </x:c>
      <x:c r="H722" t="n">
        <x:v>0</x:v>
      </x:c>
      <x:c r="I722" t="n">
        <x:v>0</x:v>
      </x:c>
      <x:c r="J722" t="n">
        <x:v>6</x:v>
      </x:c>
      <x:c r="K722" t="n">
        <x:v>0</x:v>
      </x:c>
      <x:c r="L722" t="n">
        <x:v>0</x:v>
      </x:c>
      <x:c r="M722" t="n">
        <x:v>0</x:v>
      </x:c>
    </x:row>
    <x:row r="723">
      <x:c r="A723" t="str">
        <x:v>MI|Provocateur|10</x:v>
      </x:c>
      <x:c r="B723" t="str">
        <x:v>Mineur</x:v>
      </x:c>
      <x:c r="C723" t="str">
        <x:v>Provocateur</x:v>
      </x:c>
      <x:c r="D723" t="n">
        <x:v>10</x:v>
      </x:c>
      <x:c r="E723" t="n">
        <x:v>0</x:v>
      </x:c>
      <x:c r="F723" t="n">
        <x:v>4</x:v>
      </x:c>
      <x:c r="G723" t="n">
        <x:v>0</x:v>
      </x:c>
      <x:c r="H723" t="n">
        <x:v>0</x:v>
      </x:c>
      <x:c r="I723" t="n">
        <x:v>0</x:v>
      </x:c>
      <x:c r="J723" t="n">
        <x:v>6</x:v>
      </x:c>
      <x:c r="K723" t="n">
        <x:v>0</x:v>
      </x:c>
      <x:c r="L723" t="n">
        <x:v>0</x:v>
      </x:c>
      <x:c r="M723" t="n">
        <x:v>0</x:v>
      </x:c>
    </x:row>
    <x:row r="724">
      <x:c r="A724" t="str">
        <x:v>MI|Provocateur|11</x:v>
      </x:c>
      <x:c r="B724" t="str">
        <x:v>Mineur</x:v>
      </x:c>
      <x:c r="C724" t="str">
        <x:v>Provocateur</x:v>
      </x:c>
      <x:c r="D724" t="n">
        <x:v>11</x:v>
      </x:c>
      <x:c r="E724" t="n">
        <x:v>0</x:v>
      </x:c>
      <x:c r="F724" t="n">
        <x:v>4</x:v>
      </x:c>
      <x:c r="G724" t="n">
        <x:v>0</x:v>
      </x:c>
      <x:c r="H724" t="n">
        <x:v>0</x:v>
      </x:c>
      <x:c r="I724" t="n">
        <x:v>0</x:v>
      </x:c>
      <x:c r="J724" t="n">
        <x:v>7</x:v>
      </x:c>
      <x:c r="K724" t="n">
        <x:v>0</x:v>
      </x:c>
      <x:c r="L724" t="n">
        <x:v>0</x:v>
      </x:c>
      <x:c r="M724" t="n">
        <x:v>0</x:v>
      </x:c>
    </x:row>
    <x:row r="725">
      <x:c r="A725" t="str">
        <x:v>MI|Provocateur|12</x:v>
      </x:c>
      <x:c r="B725" t="str">
        <x:v>Mineur</x:v>
      </x:c>
      <x:c r="C725" t="str">
        <x:v>Provocateur</x:v>
      </x:c>
      <x:c r="D725" t="n">
        <x:v>12</x:v>
      </x:c>
      <x:c r="E725" t="n">
        <x:v>0</x:v>
      </x:c>
      <x:c r="F725" t="n">
        <x:v>4</x:v>
      </x:c>
      <x:c r="G725" t="n">
        <x:v>0</x:v>
      </x:c>
      <x:c r="H725" t="n">
        <x:v>0</x:v>
      </x:c>
      <x:c r="I725" t="n">
        <x:v>0</x:v>
      </x:c>
      <x:c r="J725" t="n">
        <x:v>8</x:v>
      </x:c>
      <x:c r="K725" t="n">
        <x:v>0</x:v>
      </x:c>
      <x:c r="L725" t="n">
        <x:v>0</x:v>
      </x:c>
      <x:c r="M725" t="n">
        <x:v>0</x:v>
      </x:c>
    </x:row>
    <x:row r="726">
      <x:c r="A726" t="str">
        <x:v>MI|Provocateur|13</x:v>
      </x:c>
      <x:c r="B726" t="str">
        <x:v>Mineur</x:v>
      </x:c>
      <x:c r="C726" t="str">
        <x:v>Provocateur</x:v>
      </x:c>
      <x:c r="D726" t="n">
        <x:v>13</x:v>
      </x:c>
      <x:c r="E726" t="n">
        <x:v>0</x:v>
      </x:c>
      <x:c r="F726" t="n">
        <x:v>5</x:v>
      </x:c>
      <x:c r="G726" t="n">
        <x:v>0</x:v>
      </x:c>
      <x:c r="H726" t="n">
        <x:v>0</x:v>
      </x:c>
      <x:c r="I726" t="n">
        <x:v>0</x:v>
      </x:c>
      <x:c r="J726" t="n">
        <x:v>8</x:v>
      </x:c>
      <x:c r="K726" t="n">
        <x:v>0</x:v>
      </x:c>
      <x:c r="L726" t="n">
        <x:v>0</x:v>
      </x:c>
      <x:c r="M726" t="n">
        <x:v>0</x:v>
      </x:c>
    </x:row>
    <x:row r="727">
      <x:c r="A727" t="str">
        <x:v>MI|Provocateur|14</x:v>
      </x:c>
      <x:c r="B727" t="str">
        <x:v>Mineur</x:v>
      </x:c>
      <x:c r="C727" t="str">
        <x:v>Provocateur</x:v>
      </x:c>
      <x:c r="D727" t="n">
        <x:v>14</x:v>
      </x:c>
      <x:c r="E727" t="n">
        <x:v>0</x:v>
      </x:c>
      <x:c r="F727" t="n">
        <x:v>5</x:v>
      </x:c>
      <x:c r="G727" t="n">
        <x:v>0</x:v>
      </x:c>
      <x:c r="H727" t="n">
        <x:v>0</x:v>
      </x:c>
      <x:c r="I727" t="n">
        <x:v>0</x:v>
      </x:c>
      <x:c r="J727" t="n">
        <x:v>9</x:v>
      </x:c>
      <x:c r="K727" t="n">
        <x:v>0</x:v>
      </x:c>
      <x:c r="L727" t="n">
        <x:v>0</x:v>
      </x:c>
      <x:c r="M727" t="n">
        <x:v>0</x:v>
      </x:c>
    </x:row>
    <x:row r="728">
      <x:c r="A728" t="str">
        <x:v>MI|Provocateur|15</x:v>
      </x:c>
      <x:c r="B728" t="str">
        <x:v>Mineur</x:v>
      </x:c>
      <x:c r="C728" t="str">
        <x:v>Provocateur</x:v>
      </x:c>
      <x:c r="D728" t="n">
        <x:v>15</x:v>
      </x:c>
      <x:c r="E728" t="n">
        <x:v>0</x:v>
      </x:c>
      <x:c r="F728" t="n">
        <x:v>5</x:v>
      </x:c>
      <x:c r="G728" t="n">
        <x:v>0</x:v>
      </x:c>
      <x:c r="H728" t="n">
        <x:v>0</x:v>
      </x:c>
      <x:c r="I728" t="n">
        <x:v>0</x:v>
      </x:c>
      <x:c r="J728" t="n">
        <x:v>10</x:v>
      </x:c>
      <x:c r="K728" t="n">
        <x:v>0</x:v>
      </x:c>
      <x:c r="L728" t="n">
        <x:v>0</x:v>
      </x:c>
      <x:c r="M728" t="n">
        <x:v>0</x:v>
      </x:c>
    </x:row>
    <x:row r="729">
      <x:c r="A729" t="str">
        <x:v>MI|Provocateur|16</x:v>
      </x:c>
      <x:c r="B729" t="str">
        <x:v>Mineur</x:v>
      </x:c>
      <x:c r="C729" t="str">
        <x:v>Provocateur</x:v>
      </x:c>
      <x:c r="D729" t="n">
        <x:v>16</x:v>
      </x:c>
      <x:c r="E729" t="n">
        <x:v>0</x:v>
      </x:c>
      <x:c r="F729" t="n">
        <x:v>6</x:v>
      </x:c>
      <x:c r="G729" t="n">
        <x:v>0</x:v>
      </x:c>
      <x:c r="H729" t="n">
        <x:v>0</x:v>
      </x:c>
      <x:c r="I729" t="n">
        <x:v>0</x:v>
      </x:c>
      <x:c r="J729" t="n">
        <x:v>10</x:v>
      </x:c>
      <x:c r="K729" t="n">
        <x:v>0</x:v>
      </x:c>
      <x:c r="L729" t="n">
        <x:v>0</x:v>
      </x:c>
      <x:c r="M729" t="n">
        <x:v>0</x:v>
      </x:c>
    </x:row>
    <x:row r="730">
      <x:c r="A730" t="str">
        <x:v>MI|Provocateur|17</x:v>
      </x:c>
      <x:c r="B730" t="str">
        <x:v>Mineur</x:v>
      </x:c>
      <x:c r="C730" t="str">
        <x:v>Provocateur</x:v>
      </x:c>
      <x:c r="D730" t="n">
        <x:v>17</x:v>
      </x:c>
      <x:c r="E730" t="n">
        <x:v>0</x:v>
      </x:c>
      <x:c r="F730" t="n">
        <x:v>6</x:v>
      </x:c>
      <x:c r="G730" t="n">
        <x:v>0</x:v>
      </x:c>
      <x:c r="H730" t="n">
        <x:v>0</x:v>
      </x:c>
      <x:c r="I730" t="n">
        <x:v>0</x:v>
      </x:c>
      <x:c r="J730" t="n">
        <x:v>11</x:v>
      </x:c>
      <x:c r="K730" t="n">
        <x:v>0</x:v>
      </x:c>
      <x:c r="L730" t="n">
        <x:v>0</x:v>
      </x:c>
      <x:c r="M730" t="n">
        <x:v>0</x:v>
      </x:c>
    </x:row>
    <x:row r="731">
      <x:c r="A731" t="str">
        <x:v>MI|Provocateur|18</x:v>
      </x:c>
      <x:c r="B731" t="str">
        <x:v>Mineur</x:v>
      </x:c>
      <x:c r="C731" t="str">
        <x:v>Provocateur</x:v>
      </x:c>
      <x:c r="D731" t="n">
        <x:v>18</x:v>
      </x:c>
      <x:c r="E731" t="n">
        <x:v>0</x:v>
      </x:c>
      <x:c r="F731" t="n">
        <x:v>6</x:v>
      </x:c>
      <x:c r="G731" t="n">
        <x:v>0</x:v>
      </x:c>
      <x:c r="H731" t="n">
        <x:v>0</x:v>
      </x:c>
      <x:c r="I731" t="n">
        <x:v>0</x:v>
      </x:c>
      <x:c r="J731" t="n">
        <x:v>12</x:v>
      </x:c>
      <x:c r="K731" t="n">
        <x:v>0</x:v>
      </x:c>
      <x:c r="L731" t="n">
        <x:v>0</x:v>
      </x:c>
      <x:c r="M731" t="n">
        <x:v>0</x:v>
      </x:c>
    </x:row>
    <x:row r="732">
      <x:c r="A732" t="str">
        <x:v>MI|Provocateur|19</x:v>
      </x:c>
      <x:c r="B732" t="str">
        <x:v>Mineur</x:v>
      </x:c>
      <x:c r="C732" t="str">
        <x:v>Provocateur</x:v>
      </x:c>
      <x:c r="D732" t="n">
        <x:v>19</x:v>
      </x:c>
      <x:c r="E732" t="n">
        <x:v>0</x:v>
      </x:c>
      <x:c r="F732" t="n">
        <x:v>7</x:v>
      </x:c>
      <x:c r="G732" t="n">
        <x:v>0</x:v>
      </x:c>
      <x:c r="H732" t="n">
        <x:v>0</x:v>
      </x:c>
      <x:c r="I732" t="n">
        <x:v>0</x:v>
      </x:c>
      <x:c r="J732" t="n">
        <x:v>12</x:v>
      </x:c>
      <x:c r="K732" t="n">
        <x:v>0</x:v>
      </x:c>
      <x:c r="L732" t="n">
        <x:v>0</x:v>
      </x:c>
      <x:c r="M732" t="n">
        <x:v>0</x:v>
      </x:c>
    </x:row>
    <x:row r="733">
      <x:c r="A733" t="str">
        <x:v>MI|Provocateur|20</x:v>
      </x:c>
      <x:c r="B733" t="str">
        <x:v>Mineur</x:v>
      </x:c>
      <x:c r="C733" t="str">
        <x:v>Provocateur</x:v>
      </x:c>
      <x:c r="D733" t="n">
        <x:v>20</x:v>
      </x:c>
      <x:c r="E733" t="n">
        <x:v>0</x:v>
      </x:c>
      <x:c r="F733" t="n">
        <x:v>7</x:v>
      </x:c>
      <x:c r="G733" t="n">
        <x:v>0</x:v>
      </x:c>
      <x:c r="H733" t="n">
        <x:v>0</x:v>
      </x:c>
      <x:c r="I733" t="n">
        <x:v>0</x:v>
      </x:c>
      <x:c r="J733" t="n">
        <x:v>13</x:v>
      </x:c>
      <x:c r="K733" t="n">
        <x:v>0</x:v>
      </x:c>
      <x:c r="L733" t="n">
        <x:v>0</x:v>
      </x:c>
      <x:c r="M733" t="n">
        <x:v>0</x:v>
      </x:c>
    </x:row>
    <x:row r="734">
      <x:c r="A734" t="str">
        <x:v>MI|Provocateur|21</x:v>
      </x:c>
      <x:c r="B734" t="str">
        <x:v>Mineur</x:v>
      </x:c>
      <x:c r="C734" t="str">
        <x:v>Provocateur</x:v>
      </x:c>
      <x:c r="D734" t="n">
        <x:v>21</x:v>
      </x:c>
      <x:c r="E734" t="n">
        <x:v>0</x:v>
      </x:c>
      <x:c r="F734" t="n">
        <x:v>7</x:v>
      </x:c>
      <x:c r="G734" t="n">
        <x:v>0</x:v>
      </x:c>
      <x:c r="H734" t="n">
        <x:v>0</x:v>
      </x:c>
      <x:c r="I734" t="n">
        <x:v>0</x:v>
      </x:c>
      <x:c r="J734" t="n">
        <x:v>14</x:v>
      </x:c>
      <x:c r="K734" t="n">
        <x:v>0</x:v>
      </x:c>
      <x:c r="L734" t="n">
        <x:v>0</x:v>
      </x:c>
      <x:c r="M734" t="n"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4" hidden="0" customWidth="1"/>
    <x:col min="9" max="9" width="45" hidden="0" customWidth="1"/>
  </x:cols>
  <x:sheetData>
    <x:row r="1">
      <x:c r="A1" s="36" t="str">
        <x:v>Key</x:v>
      </x:c>
      <x:c r="B1" s="36" t="str">
        <x:v>Sous_famille</x:v>
      </x:c>
      <x:c r="C1" s="36" t="str">
        <x:v>Signature</x:v>
      </x:c>
      <x:c r="D1" s="36" t="str">
        <x:v>Type</x:v>
      </x:c>
      <x:c r="E1" s="36" t="str">
        <x:v>Usage</x:v>
      </x:c>
      <x:c r="F1" s="36" t="str">
        <x:v>Carac</x:v>
      </x:c>
      <x:c r="G1" s="36" t="str">
        <x:v>Resolution</x:v>
      </x:c>
      <x:c r="H1" s="36" t="str">
        <x:v>DM_mult</x:v>
      </x:c>
      <x:c r="I1" s="36" t="str">
        <x:v>Effet</x:v>
      </x:c>
      <x:c r="J1" s="36" t="str">
        <x:v>DEF_mod</x:v>
      </x:c>
      <x:c r="K1" s="36" t="str">
        <x:v>Reach_mod</x:v>
      </x:c>
      <x:c r="L1" s="58" t="str">
        <x:v>Danger_%</x:v>
      </x:c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t="str">
        <x:v>Gobelinoïde|1</x:v>
      </x:c>
      <x:c r="B2" t="str">
        <x:v>Gobelinoïde</x:v>
      </x:c>
      <x:c r="C2" t="str">
        <x:v>Repli malin</x:v>
      </x:c>
      <x:c r="D2" t="str">
        <x:v>Active</x:v>
      </x:c>
      <x:c r="E2" t="str">
        <x:v>1/tour</x:v>
      </x:c>
      <x:c r="F2" t="str"/>
      <x:c r="G2" t="str"/>
      <x:c r="H2" t="n">
        <x:v>0</x:v>
      </x:c>
      <x:c r="I2" t="str">
        <x:v>Après une attaque : déplacement 2 m sans attaque d'opportunité</x:v>
      </x:c>
      <x:c r="J2" t="n">
        <x:v>0</x:v>
      </x:c>
      <x:c r="K2" t="n">
        <x:v>0</x:v>
      </x:c>
      <x:c r="L2" s="54" t="n">
        <x:v>0</x:v>
      </x:c>
    </x:row>
    <x:row r="3">
      <x:c r="A3" t="str">
        <x:v>Saurien|1</x:v>
      </x:c>
      <x:c r="B3" t="str">
        <x:v>Saurien</x:v>
      </x:c>
      <x:c r="C3" t="str">
        <x:v>Amphibie</x:v>
      </x:c>
      <x:c r="D3" t="str">
        <x:v>Passive</x:v>
      </x:c>
      <x:c r="E3" t="str"/>
      <x:c r="F3" t="str"/>
      <x:c r="G3" t="str"/>
      <x:c r="H3" t="n">
        <x:v>0</x:v>
      </x:c>
      <x:c r="I3" t="str">
        <x:v>Respire et agit normalement sous l'eau</x:v>
      </x:c>
      <x:c r="J3" t="n">
        <x:v>0</x:v>
      </x:c>
      <x:c r="K3" t="n">
        <x:v>0</x:v>
      </x:c>
      <x:c r="L3" s="54" t="n">
        <x:v>0</x:v>
      </x:c>
    </x:row>
    <x:row r="4">
      <x:c r="A4" t="str">
        <x:v>Orcoïde|1</x:v>
      </x:c>
      <x:c r="B4" t="str">
        <x:v>Orcoïde</x:v>
      </x:c>
      <x:c r="C4" t="str">
        <x:v>Rage</x:v>
      </x:c>
      <x:c r="D4" t="str">
        <x:v>Passive</x:v>
      </x:c>
      <x:c r="E4" t="str"/>
      <x:c r="F4" t="str"/>
      <x:c r="G4" t="str"/>
      <x:c r="H4" t="n">
        <x:v>0</x:v>
      </x:c>
      <x:c r="I4" t="str">
        <x:v>Sous 50% PV : +20% DM</x:v>
      </x:c>
      <x:c r="J4" t="n">
        <x:v>0</x:v>
      </x:c>
      <x:c r="K4" t="n">
        <x:v>0</x:v>
      </x:c>
      <x:c r="L4" s="54" t="n">
        <x:v>0.05</x:v>
      </x:c>
    </x:row>
    <x:row r="5">
      <x:c r="A5" t="str">
        <x:v>Squelette|1</x:v>
      </x:c>
      <x:c r="B5" t="str">
        <x:v>Squelette</x:v>
      </x:c>
      <x:c r="C5" t="str">
        <x:v>Sans organes</x:v>
      </x:c>
      <x:c r="D5" t="str">
        <x:v>Passive</x:v>
      </x:c>
      <x:c r="E5" t="str"/>
      <x:c r="F5" t="str"/>
      <x:c r="G5" t="str"/>
      <x:c r="H5" t="n">
        <x:v>0</x:v>
      </x:c>
      <x:c r="I5" t="str">
        <x:v>Immunisé aux effets nécessitant sang, respiration ou organes</x:v>
      </x:c>
      <x:c r="J5" t="n">
        <x:v>0</x:v>
      </x:c>
      <x:c r="K5" t="n">
        <x:v>0</x:v>
      </x:c>
      <x:c r="L5" s="54" t="n">
        <x:v>0.025</x:v>
      </x:c>
    </x:row>
    <x:row r="6">
      <x:c r="A6" t="str">
        <x:v>Charogne|1</x:v>
      </x:c>
      <x:c r="B6" t="str">
        <x:v>Charogne</x:v>
      </x:c>
      <x:c r="C6" t="str">
        <x:v>Infection</x:v>
      </x:c>
      <x:c r="D6" t="str">
        <x:v>Passive</x:v>
      </x:c>
      <x:c r="E6" t="str"/>
      <x:c r="F6" t="str">
        <x:v>CON</x:v>
      </x:c>
      <x:c r="G6" t="str">
        <x:v>DD capacité</x:v>
      </x:c>
      <x:c r="H6" t="n">
        <x:v>0.5</x:v>
      </x:c>
      <x:c r="I6" t="str">
        <x:v>Dégâts Toxiques mineurs sur attaques naturelles</x:v>
      </x:c>
      <x:c r="J6" t="n">
        <x:v>0</x:v>
      </x:c>
      <x:c r="K6" t="n">
        <x:v>0</x:v>
      </x:c>
      <x:c r="L6" s="54" t="n">
        <x:v>0.05</x:v>
      </x:c>
    </x:row>
    <x:row r="7">
      <x:c r="A7" t="str">
        <x:v>Noble mort-vivant|1</x:v>
      </x:c>
      <x:c r="B7" t="str">
        <x:v>Noble mort-vivant</x:v>
      </x:c>
      <x:c r="C7" t="str">
        <x:v>Drain vital</x:v>
      </x:c>
      <x:c r="D7" t="str">
        <x:v>Active</x:v>
      </x:c>
      <x:c r="E7" t="str">
        <x:v>Recharge 5-6</x:v>
      </x:c>
      <x:c r="F7" t="str">
        <x:v>CHA</x:v>
      </x:c>
      <x:c r="G7" t="str">
        <x:v>Attaque</x:v>
      </x:c>
      <x:c r="H7" t="n">
        <x:v>1</x:v>
      </x:c>
      <x:c r="I7" t="str">
        <x:v>Soigne 50% des dégâts infligés</x:v>
      </x:c>
      <x:c r="J7" t="n">
        <x:v>0</x:v>
      </x:c>
      <x:c r="K7" t="n">
        <x:v>0</x:v>
      </x:c>
      <x:c r="L7" s="54" t="n">
        <x:v>0.075</x:v>
      </x:c>
    </x:row>
    <x:row r="8">
      <x:c r="A8" t="str">
        <x:v>Prédateur|1</x:v>
      </x:c>
      <x:c r="B8" t="str">
        <x:v>Prédateur</x:v>
      </x:c>
      <x:c r="C8" t="str">
        <x:v>Attaque en meute</x:v>
      </x:c>
      <x:c r="D8" t="str">
        <x:v>Passive</x:v>
      </x:c>
      <x:c r="E8" t="str"/>
      <x:c r="F8" t="str"/>
      <x:c r="G8" t="str"/>
      <x:c r="H8" t="n">
        <x:v>0</x:v>
      </x:c>
      <x:c r="I8" t="str">
        <x:v>+1 Toucher si un allié menace la cible</x:v>
      </x:c>
      <x:c r="J8" t="n">
        <x:v>0</x:v>
      </x:c>
      <x:c r="K8" t="n">
        <x:v>0</x:v>
      </x:c>
      <x:c r="L8" s="54" t="n">
        <x:v>0.05</x:v>
      </x:c>
    </x:row>
    <x:row r="9">
      <x:c r="A9" t="str">
        <x:v>Volante|1</x:v>
      </x:c>
      <x:c r="B9" t="str">
        <x:v>Volante</x:v>
      </x:c>
      <x:c r="C9" t="str">
        <x:v>Volant</x:v>
      </x:c>
      <x:c r="D9" t="str">
        <x:v>Passive</x:v>
      </x:c>
      <x:c r="E9" t="str"/>
      <x:c r="F9" t="str"/>
      <x:c r="G9" t="str"/>
      <x:c r="H9" t="n">
        <x:v>0</x:v>
      </x:c>
      <x:c r="I9" t="str">
        <x:v>Vol naturel ; si aucune attaque CAC, hors d'atteinte du CAC en vol</x:v>
      </x:c>
      <x:c r="J9" t="n">
        <x:v>0</x:v>
      </x:c>
      <x:c r="K9" t="n">
        <x:v>0</x:v>
      </x:c>
      <x:c r="L9" s="54" t="n">
        <x:v>0.05</x:v>
      </x:c>
    </x:row>
    <x:row r="10">
      <x:c r="A10" t="str">
        <x:v>Massive|1</x:v>
      </x:c>
      <x:c r="B10" t="str">
        <x:v>Massive</x:v>
      </x:c>
      <x:c r="C10" t="str">
        <x:v>Charge</x:v>
      </x:c>
      <x:c r="D10" t="str">
        <x:v>Active</x:v>
      </x:c>
      <x:c r="E10" t="str">
        <x:v>Libre</x:v>
      </x:c>
      <x:c r="F10" t="str">
        <x:v>FOR</x:v>
      </x:c>
      <x:c r="G10" t="str">
        <x:v>Attaque</x:v>
      </x:c>
      <x:c r="H10" t="n">
        <x:v>1.5</x:v>
      </x:c>
      <x:c r="I10" t="str">
        <x:v>Après déplacement en ligne droite : +50% DM</x:v>
      </x:c>
      <x:c r="J10" t="n">
        <x:v>0</x:v>
      </x:c>
      <x:c r="K10" t="n">
        <x:v>0</x:v>
      </x:c>
      <x:c r="L10" s="54" t="n">
        <x:v>0.05</x:v>
      </x:c>
    </x:row>
    <x:row r="11">
      <x:c r="A11" t="str">
        <x:v>Cuirassée|1</x:v>
      </x:c>
      <x:c r="B11" t="str">
        <x:v>Cuirassée</x:v>
      </x:c>
      <x:c r="C11" t="str">
        <x:v>Carapace</x:v>
      </x:c>
      <x:c r="D11" t="str">
        <x:v>Passive</x:v>
      </x:c>
      <x:c r="E11" t="str"/>
      <x:c r="F11" t="str"/>
      <x:c r="G11" t="str"/>
      <x:c r="H11" t="n">
        <x:v>0</x:v>
      </x:c>
      <x:c r="I11" t="str">
        <x:v>+1 DEF</x:v>
      </x:c>
      <x:c r="J11" t="n">
        <x:v>1</x:v>
      </x:c>
      <x:c r="K11" t="n">
        <x:v>0</x:v>
      </x:c>
      <x:c r="L11" s="54" t="n">
        <x:v>0</x:v>
      </x:c>
    </x:row>
    <x:row r="12">
      <x:c r="A12" t="str">
        <x:v>Venimeuse|1</x:v>
      </x:c>
      <x:c r="B12" t="str">
        <x:v>Venimeuse</x:v>
      </x:c>
      <x:c r="C12" t="str">
        <x:v>Venin</x:v>
      </x:c>
      <x:c r="D12" t="str">
        <x:v>Passive</x:v>
      </x:c>
      <x:c r="E12" t="str"/>
      <x:c r="F12" t="str">
        <x:v>CON</x:v>
      </x:c>
      <x:c r="G12" t="str">
        <x:v>DD capacité</x:v>
      </x:c>
      <x:c r="H12" t="n">
        <x:v>0.5</x:v>
      </x:c>
      <x:c r="I12" t="str">
        <x:v>Dégâts Toxiques mineurs</x:v>
      </x:c>
      <x:c r="J12" t="n">
        <x:v>0</x:v>
      </x:c>
      <x:c r="K12" t="n">
        <x:v>0</x:v>
      </x:c>
      <x:c r="L12" s="54" t="n">
        <x:v>0.05</x:v>
      </x:c>
    </x:row>
    <x:row r="13">
      <x:c r="A13" t="str">
        <x:v>Insectoïde|1</x:v>
      </x:c>
      <x:c r="B13" t="str">
        <x:v>Insectoïde</x:v>
      </x:c>
      <x:c r="C13" t="str">
        <x:v>Chitine</x:v>
      </x:c>
      <x:c r="D13" t="str">
        <x:v>Passive</x:v>
      </x:c>
      <x:c r="E13" t="str"/>
      <x:c r="F13" t="str"/>
      <x:c r="G13" t="str"/>
      <x:c r="H13" t="n">
        <x:v>0</x:v>
      </x:c>
      <x:c r="I13" t="str">
        <x:v>+1 DEF</x:v>
      </x:c>
      <x:c r="J13" t="n">
        <x:v>1</x:v>
      </x:c>
      <x:c r="K13" t="n">
        <x:v>0</x:v>
      </x:c>
      <x:c r="L13" s="54" t="n">
        <x:v>0</x:v>
      </x:c>
    </x:row>
    <x:row r="14">
      <x:c r="A14" t="str">
        <x:v>Arachnide|1</x:v>
      </x:c>
      <x:c r="B14" t="str">
        <x:v>Arachnide</x:v>
      </x:c>
      <x:c r="C14" t="str">
        <x:v>Toile</x:v>
      </x:c>
      <x:c r="D14" t="str">
        <x:v>Active</x:v>
      </x:c>
      <x:c r="E14" t="str">
        <x:v>Libre</x:v>
      </x:c>
      <x:c r="F14" t="str">
        <x:v>DEX</x:v>
      </x:c>
      <x:c r="G14" t="str">
        <x:v>Test opposé</x:v>
      </x:c>
      <x:c r="H14" t="n">
        <x:v>0</x:v>
      </x:c>
      <x:c r="I14" t="str">
        <x:v>Entravé</x:v>
      </x:c>
      <x:c r="J14" t="n">
        <x:v>0</x:v>
      </x:c>
      <x:c r="K14" t="n">
        <x:v>0</x:v>
      </x:c>
      <x:c r="L14" s="54" t="n">
        <x:v>0.05</x:v>
      </x:c>
    </x:row>
    <x:row r="15">
      <x:c r="A15" t="str">
        <x:v>Fouisseuse|1</x:v>
      </x:c>
      <x:c r="B15" t="str">
        <x:v>Fouisseuse</x:v>
      </x:c>
      <x:c r="C15" t="str">
        <x:v>Embuscade</x:v>
      </x:c>
      <x:c r="D15" t="str">
        <x:v>Active</x:v>
      </x:c>
      <x:c r="E15" t="str">
        <x:v>Libre</x:v>
      </x:c>
      <x:c r="F15" t="str">
        <x:v>DEX</x:v>
      </x:c>
      <x:c r="G15" t="str">
        <x:v>Attaque</x:v>
      </x:c>
      <x:c r="H15" t="n">
        <x:v>1.5</x:v>
      </x:c>
      <x:c r="I15" t="str">
        <x:v>Première attaque après sortie du sol : +50% DM</x:v>
      </x:c>
      <x:c r="J15" t="n">
        <x:v>0</x:v>
      </x:c>
      <x:c r="K15" t="n">
        <x:v>0</x:v>
      </x:c>
      <x:c r="L15" s="54" t="n">
        <x:v>0.05</x:v>
      </x:c>
    </x:row>
    <x:row r="16">
      <x:c r="A16" t="str">
        <x:v>Parasite|1</x:v>
      </x:c>
      <x:c r="B16" t="str">
        <x:v>Parasite</x:v>
      </x:c>
      <x:c r="C16" t="str">
        <x:v>Fixation</x:v>
      </x:c>
      <x:c r="D16" t="str">
        <x:v>Active</x:v>
      </x:c>
      <x:c r="E16" t="str">
        <x:v>Libre</x:v>
      </x:c>
      <x:c r="F16" t="str">
        <x:v>FOR</x:v>
      </x:c>
      <x:c r="G16" t="str">
        <x:v>Test opposé</x:v>
      </x:c>
      <x:c r="H16" t="n">
        <x:v>0</x:v>
      </x:c>
      <x:c r="I16" t="str">
        <x:v>Agrippé</x:v>
      </x:c>
      <x:c r="J16" t="n">
        <x:v>0</x:v>
      </x:c>
      <x:c r="K16" t="n">
        <x:v>0</x:v>
      </x:c>
      <x:c r="L16" s="54" t="n">
        <x:v>0.05</x:v>
      </x:c>
    </x:row>
    <x:row r="17">
      <x:c r="A17" t="str">
        <x:v>Nuée|1</x:v>
      </x:c>
      <x:c r="B17" t="str">
        <x:v>Nuée</x:v>
      </x:c>
      <x:c r="C17" t="str">
        <x:v>Corps de nuée</x:v>
      </x:c>
      <x:c r="D17" t="str">
        <x:v>Passive</x:v>
      </x:c>
      <x:c r="E17" t="str"/>
      <x:c r="F17" t="str"/>
      <x:c r="G17" t="str"/>
      <x:c r="H17" t="n">
        <x:v>0</x:v>
      </x:c>
      <x:c r="I17" t="str">
        <x:v>Règles spéciales de Nuée</x:v>
      </x:c>
      <x:c r="J17" t="n">
        <x:v>0</x:v>
      </x:c>
      <x:c r="K17" t="n">
        <x:v>0</x:v>
      </x:c>
      <x:c r="L17" s="54" t="n">
        <x:v>0.075</x:v>
      </x:c>
    </x:row>
    <x:row r="18">
      <x:c r="A18" t="str">
        <x:v>Prédateur marin|1</x:v>
      </x:c>
      <x:c r="B18" t="str">
        <x:v>Prédateur marin</x:v>
      </x:c>
      <x:c r="C18" t="str">
        <x:v>Frénésie aquatique</x:v>
      </x:c>
      <x:c r="D18" t="str">
        <x:v>Passive</x:v>
      </x:c>
      <x:c r="E18" t="str"/>
      <x:c r="F18" t="str"/>
      <x:c r="G18" t="str"/>
      <x:c r="H18" t="n">
        <x:v>0</x:v>
      </x:c>
      <x:c r="I18" t="str">
        <x:v>Dans l'eau : +1 Toucher</x:v>
      </x:c>
      <x:c r="J18" t="n">
        <x:v>0</x:v>
      </x:c>
      <x:c r="K18" t="n">
        <x:v>0</x:v>
      </x:c>
      <x:c r="L18" s="54" t="n">
        <x:v>0.025</x:v>
      </x:c>
    </x:row>
    <x:row r="19">
      <x:c r="A19" t="str">
        <x:v>Amphibien intelligent|1</x:v>
      </x:c>
      <x:c r="B19" t="str">
        <x:v>Amphibien intelligent</x:v>
      </x:c>
      <x:c r="C19" t="str">
        <x:v>Amphibie</x:v>
      </x:c>
      <x:c r="D19" t="str">
        <x:v>Passive</x:v>
      </x:c>
      <x:c r="E19" t="str"/>
      <x:c r="F19" t="str"/>
      <x:c r="G19" t="str"/>
      <x:c r="H19" t="n">
        <x:v>0</x:v>
      </x:c>
      <x:c r="I19" t="str">
        <x:v>Respire et agit normalement terre/eau</x:v>
      </x:c>
      <x:c r="J19" t="n">
        <x:v>0</x:v>
      </x:c>
      <x:c r="K19" t="n">
        <x:v>0</x:v>
      </x:c>
      <x:c r="L19" s="54" t="n">
        <x:v>0</x:v>
      </x:c>
    </x:row>
    <x:row r="20">
      <x:c r="A20" t="str">
        <x:v>Carapacé|1</x:v>
      </x:c>
      <x:c r="B20" t="str">
        <x:v>Carapacé</x:v>
      </x:c>
      <x:c r="C20" t="str">
        <x:v>Carapace</x:v>
      </x:c>
      <x:c r="D20" t="str">
        <x:v>Passive</x:v>
      </x:c>
      <x:c r="E20" t="str"/>
      <x:c r="F20" t="str"/>
      <x:c r="G20" t="str"/>
      <x:c r="H20" t="n">
        <x:v>0</x:v>
      </x:c>
      <x:c r="I20" t="str">
        <x:v>+1 DEF</x:v>
      </x:c>
      <x:c r="J20" t="n">
        <x:v>1</x:v>
      </x:c>
      <x:c r="K20" t="n">
        <x:v>0</x:v>
      </x:c>
      <x:c r="L20" s="54" t="n">
        <x:v>0</x:v>
      </x:c>
    </x:row>
    <x:row r="21">
      <x:c r="A21" t="str">
        <x:v>Abyssal|1</x:v>
      </x:c>
      <x:c r="B21" t="str">
        <x:v>Abyssal</x:v>
      </x:c>
      <x:c r="C21" t="str">
        <x:v>Terreur abyssale</x:v>
      </x:c>
      <x:c r="D21" t="str">
        <x:v>Passive</x:v>
      </x:c>
      <x:c r="E21" t="str"/>
      <x:c r="F21" t="str"/>
      <x:c r="G21" t="str"/>
      <x:c r="H21" t="n">
        <x:v>0</x:v>
      </x:c>
      <x:c r="I21" t="str">
        <x:v>+1 DD aux capacités de Peur</x:v>
      </x:c>
      <x:c r="J21" t="n">
        <x:v>0</x:v>
      </x:c>
      <x:c r="K21" t="n">
        <x:v>0</x:v>
      </x:c>
      <x:c r="L21" s="54" t="n">
        <x:v>0.025</x:v>
      </x:c>
    </x:row>
    <x:row r="22">
      <x:c r="A22" t="str">
        <x:v>Mutante|1</x:v>
      </x:c>
      <x:c r="B22" t="str">
        <x:v>Mutante</x:v>
      </x:c>
      <x:c r="C22" t="str">
        <x:v>Mutation</x:v>
      </x:c>
      <x:c r="D22" t="str">
        <x:v>Passive</x:v>
      </x:c>
      <x:c r="E22" t="str"/>
      <x:c r="F22" t="str"/>
      <x:c r="G22" t="str"/>
      <x:c r="H22" t="n">
        <x:v>0</x:v>
      </x:c>
      <x:c r="I22" t="str">
        <x:v>Choisit +1 DEF, +2 m mouvement, +1 Toucher ou mode de déplacement</x:v>
      </x:c>
      <x:c r="J22" t="n">
        <x:v>0</x:v>
      </x:c>
      <x:c r="K22" t="n">
        <x:v>0</x:v>
      </x:c>
      <x:c r="L22" s="54" t="n">
        <x:v>0.05</x:v>
      </x:c>
    </x:row>
    <x:row r="23">
      <x:c r="A23" t="str">
        <x:v>Tentaculaire|1</x:v>
      </x:c>
      <x:c r="B23" t="str">
        <x:v>Tentaculaire</x:v>
      </x:c>
      <x:c r="C23" t="str">
        <x:v>Tentacules</x:v>
      </x:c>
      <x:c r="D23" t="str">
        <x:v>Passive</x:v>
      </x:c>
      <x:c r="E23" t="str"/>
      <x:c r="F23" t="str"/>
      <x:c r="G23" t="str"/>
      <x:c r="H23" t="n">
        <x:v>0</x:v>
      </x:c>
      <x:c r="I23" t="str">
        <x:v>+1 m d'allonge</x:v>
      </x:c>
      <x:c r="J23" t="n">
        <x:v>0</x:v>
      </x:c>
      <x:c r="K23" t="n">
        <x:v>1</x:v>
      </x:c>
      <x:c r="L23" s="54" t="n">
        <x:v>0.025</x:v>
      </x:c>
    </x:row>
    <x:row r="24">
      <x:c r="A24" t="str">
        <x:v>Mentaliste|1</x:v>
      </x:c>
      <x:c r="B24" t="str">
        <x:v>Mentaliste</x:v>
      </x:c>
      <x:c r="C24" t="str">
        <x:v>Impulsion psychique</x:v>
      </x:c>
      <x:c r="D24" t="str">
        <x:v>Active</x:v>
      </x:c>
      <x:c r="E24" t="str">
        <x:v>Libre</x:v>
      </x:c>
      <x:c r="F24" t="str">
        <x:v>INT</x:v>
      </x:c>
      <x:c r="G24" t="str">
        <x:v>Attaque</x:v>
      </x:c>
      <x:c r="H24" t="n">
        <x:v>1</x:v>
      </x:c>
      <x:c r="I24" t="str">
        <x:v>Dégâts Psychiques</x:v>
      </x:c>
      <x:c r="J24" t="n">
        <x:v>0</x:v>
      </x:c>
      <x:c r="K24" t="n">
        <x:v>0</x:v>
      </x:c>
      <x:c r="L24" s="54" t="n">
        <x:v>0.075</x:v>
      </x:c>
    </x:row>
    <x:row r="25">
      <x:c r="A25" t="str">
        <x:v>Amorphe|1</x:v>
      </x:c>
      <x:c r="B25" t="str">
        <x:v>Amorphe</x:v>
      </x:c>
      <x:c r="C25" t="str">
        <x:v>Corps amorphe</x:v>
      </x:c>
      <x:c r="D25" t="str">
        <x:v>Passive</x:v>
      </x:c>
      <x:c r="E25" t="str"/>
      <x:c r="F25" t="str"/>
      <x:c r="G25" t="str"/>
      <x:c r="H25" t="n">
        <x:v>0</x:v>
      </x:c>
      <x:c r="I25" t="str">
        <x:v>Corps déformable</x:v>
      </x:c>
      <x:c r="J25" t="n">
        <x:v>0</x:v>
      </x:c>
      <x:c r="K25" t="n">
        <x:v>0</x:v>
      </x:c>
      <x:c r="L25" s="54" t="n">
        <x:v>0.05</x:v>
      </x:c>
    </x:row>
    <x:row r="26">
      <x:c r="A26" t="str">
        <x:v>Parasitaire|1</x:v>
      </x:c>
      <x:c r="B26" t="str">
        <x:v>Parasitaire</x:v>
      </x:c>
      <x:c r="C26" t="str">
        <x:v>Implantation</x:v>
      </x:c>
      <x:c r="D26" t="str">
        <x:v>Active</x:v>
      </x:c>
      <x:c r="E26" t="str">
        <x:v>Libre</x:v>
      </x:c>
      <x:c r="F26" t="str">
        <x:v>FOR</x:v>
      </x:c>
      <x:c r="G26" t="str">
        <x:v>Test opposé</x:v>
      </x:c>
      <x:c r="H26" t="n">
        <x:v>0</x:v>
      </x:c>
      <x:c r="I26" t="str">
        <x:v>Sur cible Agrippée : effet parasitaire</x:v>
      </x:c>
      <x:c r="J26" t="n">
        <x:v>0</x:v>
      </x:c>
      <x:c r="K26" t="n">
        <x:v>0</x:v>
      </x:c>
      <x:c r="L26" s="54" t="n">
        <x:v>0.075</x:v>
      </x:c>
    </x:row>
    <x:row r="27">
      <x:c r="A27" t="str">
        <x:v>Végétal animé|1</x:v>
      </x:c>
      <x:c r="B27" t="str">
        <x:v>Végétal animé</x:v>
      </x:c>
      <x:c r="C27" t="str">
        <x:v>Enracinement</x:v>
      </x:c>
      <x:c r="D27" t="str">
        <x:v>Passive</x:v>
      </x:c>
      <x:c r="E27" t="str"/>
      <x:c r="F27" t="str"/>
      <x:c r="G27" t="str"/>
      <x:c r="H27" t="n">
        <x:v>0</x:v>
      </x:c>
      <x:c r="I27" t="str">
        <x:v>+2 contre Renversé/déplacement forcé</x:v>
      </x:c>
      <x:c r="J27" t="n">
        <x:v>0</x:v>
      </x:c>
      <x:c r="K27" t="n">
        <x:v>0</x:v>
      </x:c>
      <x:c r="L27" s="54" t="n">
        <x:v>0.025</x:v>
      </x:c>
    </x:row>
    <x:row r="28">
      <x:c r="A28" t="str">
        <x:v>Fongique|1</x:v>
      </x:c>
      <x:c r="B28" t="str">
        <x:v>Fongique</x:v>
      </x:c>
      <x:c r="C28" t="str">
        <x:v>Spores</x:v>
      </x:c>
      <x:c r="D28" t="str">
        <x:v>Active</x:v>
      </x:c>
      <x:c r="E28" t="str">
        <x:v>Recharge 5-6</x:v>
      </x:c>
      <x:c r="F28" t="str">
        <x:v>CON</x:v>
      </x:c>
      <x:c r="G28" t="str">
        <x:v>DD capacité</x:v>
      </x:c>
      <x:c r="H28" t="n">
        <x:v>0.5</x:v>
      </x:c>
      <x:c r="I28" t="str">
        <x:v>Zone Toxique mineure</x:v>
      </x:c>
      <x:c r="J28" t="n">
        <x:v>0</x:v>
      </x:c>
      <x:c r="K28" t="n">
        <x:v>0</x:v>
      </x:c>
      <x:c r="L28" s="54" t="n">
        <x:v>0.05</x:v>
      </x:c>
    </x:row>
    <x:row r="29">
      <x:c r="A29" t="str">
        <x:v>Carnivore|1</x:v>
      </x:c>
      <x:c r="B29" t="str">
        <x:v>Carnivore</x:v>
      </x:c>
      <x:c r="C29" t="str">
        <x:v>Dévorer</x:v>
      </x:c>
      <x:c r="D29" t="str">
        <x:v>Active</x:v>
      </x:c>
      <x:c r="E29" t="str">
        <x:v>Libre</x:v>
      </x:c>
      <x:c r="F29" t="str">
        <x:v>FOR</x:v>
      </x:c>
      <x:c r="G29" t="str">
        <x:v>Attaque</x:v>
      </x:c>
      <x:c r="H29" t="n">
        <x:v>1.5</x:v>
      </x:c>
      <x:c r="I29" t="str">
        <x:v>Contre cible Agrippée</x:v>
      </x:c>
      <x:c r="J29" t="n">
        <x:v>0</x:v>
      </x:c>
      <x:c r="K29" t="n">
        <x:v>0</x:v>
      </x:c>
      <x:c r="L29" s="54" t="n">
        <x:v>0.075</x:v>
      </x:c>
    </x:row>
    <x:row r="30">
      <x:c r="A30" t="str">
        <x:v>Arborescente|1</x:v>
      </x:c>
      <x:c r="B30" t="str">
        <x:v>Arborescente</x:v>
      </x:c>
      <x:c r="C30" t="str">
        <x:v>Racines</x:v>
      </x:c>
      <x:c r="D30" t="str">
        <x:v>Active</x:v>
      </x:c>
      <x:c r="E30" t="str">
        <x:v>Recharge 5-6</x:v>
      </x:c>
      <x:c r="F30" t="str">
        <x:v>FOR</x:v>
      </x:c>
      <x:c r="G30" t="str">
        <x:v>Test opposé</x:v>
      </x:c>
      <x:c r="H30" t="n">
        <x:v>0</x:v>
      </x:c>
      <x:c r="I30" t="str">
        <x:v>Entravé</x:v>
      </x:c>
      <x:c r="J30" t="n">
        <x:v>0</x:v>
      </x:c>
      <x:c r="K30" t="n">
        <x:v>0</x:v>
      </x:c>
      <x:c r="L30" s="54" t="n">
        <x:v>0.05</x:v>
      </x:c>
    </x:row>
    <x:row r="31">
      <x:c r="A31" t="str">
        <x:v>Sylvestre|1</x:v>
      </x:c>
      <x:c r="B31" t="str">
        <x:v>Sylvestre</x:v>
      </x:c>
      <x:c r="C31" t="str">
        <x:v>Camouflage naturel</x:v>
      </x:c>
      <x:c r="D31" t="str">
        <x:v>Passive</x:v>
      </x:c>
      <x:c r="E31" t="str"/>
      <x:c r="F31" t="str"/>
      <x:c r="G31" t="str"/>
      <x:c r="H31" t="n">
        <x:v>0</x:v>
      </x:c>
      <x:c r="I31" t="str">
        <x:v>Bonus discrétion en milieu naturel</x:v>
      </x:c>
      <x:c r="J31" t="n">
        <x:v>0</x:v>
      </x:c>
      <x:c r="K31" t="n">
        <x:v>0</x:v>
      </x:c>
      <x:c r="L31" s="54" t="n">
        <x:v>0</x:v>
      </x:c>
    </x:row>
    <x:row r="32">
      <x:c r="A32" t="str">
        <x:v>Sombre|1</x:v>
      </x:c>
      <x:c r="B32" t="str">
        <x:v>Sombre</x:v>
      </x:c>
      <x:c r="C32" t="str">
        <x:v>Pas d'ombre</x:v>
      </x:c>
      <x:c r="D32" t="str">
        <x:v>Active</x:v>
      </x:c>
      <x:c r="E32" t="str">
        <x:v>1/tour</x:v>
      </x:c>
      <x:c r="F32" t="str">
        <x:v>DEX</x:v>
      </x:c>
      <x:c r="G32" t="str"/>
      <x:c r="H32" t="n">
        <x:v>0</x:v>
      </x:c>
      <x:c r="I32" t="str">
        <x:v>Téléportation courte entre ombres</x:v>
      </x:c>
      <x:c r="J32" t="n">
        <x:v>0</x:v>
      </x:c>
      <x:c r="K32" t="n">
        <x:v>0</x:v>
      </x:c>
      <x:c r="L32" s="54" t="n">
        <x:v>0</x:v>
      </x:c>
    </x:row>
    <x:row r="33">
      <x:c r="A33" t="str">
        <x:v>Noble féerique|1</x:v>
      </x:c>
      <x:c r="B33" t="str">
        <x:v>Noble féerique</x:v>
      </x:c>
      <x:c r="C33" t="str">
        <x:v>Présence féerique</x:v>
      </x:c>
      <x:c r="D33" t="str">
        <x:v>Passive</x:v>
      </x:c>
      <x:c r="E33" t="str"/>
      <x:c r="F33" t="str"/>
      <x:c r="G33" t="str"/>
      <x:c r="H33" t="n">
        <x:v>0</x:v>
      </x:c>
      <x:c r="I33" t="str">
        <x:v>+1 DD Charme/Peur/Illusion</x:v>
      </x:c>
      <x:c r="J33" t="n">
        <x:v>0</x:v>
      </x:c>
      <x:c r="K33" t="n">
        <x:v>0</x:v>
      </x:c>
      <x:c r="L33" s="54" t="n">
        <x:v>0.025</x:v>
      </x:c>
    </x:row>
    <x:row r="34">
      <x:c r="A34" t="str">
        <x:v>Illusionniste|1</x:v>
      </x:c>
      <x:c r="B34" t="str">
        <x:v>Illusionniste</x:v>
      </x:c>
      <x:c r="C34" t="str">
        <x:v>Illusion mineure</x:v>
      </x:c>
      <x:c r="D34" t="str">
        <x:v>Active</x:v>
      </x:c>
      <x:c r="E34" t="str">
        <x:v>Libre</x:v>
      </x:c>
      <x:c r="F34" t="str">
        <x:v>INT</x:v>
      </x:c>
      <x:c r="G34" t="str">
        <x:v>DD capacité</x:v>
      </x:c>
      <x:c r="H34" t="n">
        <x:v>0</x:v>
      </x:c>
      <x:c r="I34" t="str">
        <x:v>Crée une illusion simple</x:v>
      </x:c>
      <x:c r="J34" t="n">
        <x:v>0</x:v>
      </x:c>
      <x:c r="K34" t="n">
        <x:v>0</x:v>
      </x:c>
      <x:c r="L34" s="54" t="n">
        <x:v>0.025</x:v>
      </x:c>
    </x:row>
    <x:row r="35">
      <x:c r="A35" t="str">
        <x:v>Bestiale|1</x:v>
      </x:c>
      <x:c r="B35" t="str">
        <x:v>Bestiale</x:v>
      </x:c>
      <x:c r="C35" t="str">
        <x:v>Bond</x:v>
      </x:c>
      <x:c r="D35" t="str">
        <x:v>Active</x:v>
      </x:c>
      <x:c r="E35" t="str">
        <x:v>1/tour</x:v>
      </x:c>
      <x:c r="F35" t="str">
        <x:v>DEX</x:v>
      </x:c>
      <x:c r="G35" t="str"/>
      <x:c r="H35" t="n">
        <x:v>0</x:v>
      </x:c>
      <x:c r="I35" t="str">
        <x:v>Bond amélioré</x:v>
      </x:c>
      <x:c r="J35" t="n">
        <x:v>0</x:v>
      </x:c>
      <x:c r="K35" t="n">
        <x:v>0</x:v>
      </x:c>
      <x:c r="L35" s="54" t="n">
        <x:v>0</x:v>
      </x:c>
    </x:row>
    <x:row r="36">
      <x:c r="A36" t="str">
        <x:v>Prédateur monstrueux|1</x:v>
      </x:c>
      <x:c r="B36" t="str">
        <x:v>Prédateur monstrueux</x:v>
      </x:c>
      <x:c r="C36" t="str">
        <x:v>Attaque en meute</x:v>
      </x:c>
      <x:c r="D36" t="str">
        <x:v>Passive</x:v>
      </x:c>
      <x:c r="E36" t="str"/>
      <x:c r="F36" t="str"/>
      <x:c r="G36" t="str"/>
      <x:c r="H36" t="n">
        <x:v>0</x:v>
      </x:c>
      <x:c r="I36" t="str">
        <x:v>+1 Toucher si un allié menace la cible</x:v>
      </x:c>
      <x:c r="J36" t="n">
        <x:v>0</x:v>
      </x:c>
      <x:c r="K36" t="n">
        <x:v>0</x:v>
      </x:c>
      <x:c r="L36" s="54" t="n">
        <x:v>0.05</x:v>
      </x:c>
    </x:row>
    <x:row r="37">
      <x:c r="A37" t="str">
        <x:v>Hybride|1</x:v>
      </x:c>
      <x:c r="B37" t="str">
        <x:v>Hybride</x:v>
      </x:c>
      <x:c r="C37" t="str">
        <x:v>Trait hybride</x:v>
      </x:c>
      <x:c r="D37" t="str">
        <x:v>Passive</x:v>
      </x:c>
      <x:c r="E37" t="str"/>
      <x:c r="F37" t="str"/>
      <x:c r="G37" t="str"/>
      <x:c r="H37" t="n">
        <x:v>0</x:v>
      </x:c>
      <x:c r="I37" t="str">
        <x:v>Choisit un trait naturel simple</x:v>
      </x:c>
      <x:c r="J37" t="n">
        <x:v>0</x:v>
      </x:c>
      <x:c r="K37" t="n">
        <x:v>0</x:v>
      </x:c>
      <x:c r="L37" s="54" t="n">
        <x:v>0.05</x:v>
      </x:c>
    </x:row>
    <x:row r="38">
      <x:c r="A38" t="str">
        <x:v>Régénérant|1</x:v>
      </x:c>
      <x:c r="B38" t="str">
        <x:v>Régénérant</x:v>
      </x:c>
      <x:c r="C38" t="str">
        <x:v>Régénération</x:v>
      </x:c>
      <x:c r="D38" t="str">
        <x:v>Passive</x:v>
      </x:c>
      <x:c r="E38" t="str">
        <x:v>1/tour</x:v>
      </x:c>
      <x:c r="F38" t="str">
        <x:v>CON</x:v>
      </x:c>
      <x:c r="G38" t="str"/>
      <x:c r="H38" t="n">
        <x:v>0</x:v>
      </x:c>
      <x:c r="I38" t="str">
        <x:v>5% PV max/tour</x:v>
      </x:c>
      <x:c r="J38" t="n">
        <x:v>0</x:v>
      </x:c>
      <x:c r="K38" t="n">
        <x:v>0</x:v>
      </x:c>
      <x:c r="L38" s="54" t="n">
        <x:v>0.05</x:v>
      </x:c>
    </x:row>
    <x:row r="39">
      <x:c r="A39" t="str">
        <x:v>Cuirassé|1</x:v>
      </x:c>
      <x:c r="B39" t="str">
        <x:v>Cuirassé</x:v>
      </x:c>
      <x:c r="C39" t="str">
        <x:v>Carapace</x:v>
      </x:c>
      <x:c r="D39" t="str">
        <x:v>Passive</x:v>
      </x:c>
      <x:c r="E39" t="str"/>
      <x:c r="F39" t="str"/>
      <x:c r="G39" t="str"/>
      <x:c r="H39" t="n">
        <x:v>0</x:v>
      </x:c>
      <x:c r="I39" t="str">
        <x:v>+1 DEF</x:v>
      </x:c>
      <x:c r="J39" t="n">
        <x:v>1</x:v>
      </x:c>
      <x:c r="K39" t="n">
        <x:v>0</x:v>
      </x:c>
      <x:c r="L39" s="54" t="n">
        <x:v>0</x:v>
      </x:c>
    </x:row>
    <x:row r="40">
      <x:c r="A40" t="str">
        <x:v>Volant|1</x:v>
      </x:c>
      <x:c r="B40" t="str">
        <x:v>Volant</x:v>
      </x:c>
      <x:c r="C40" t="str">
        <x:v>Volant</x:v>
      </x:c>
      <x:c r="D40" t="str">
        <x:v>Passive</x:v>
      </x:c>
      <x:c r="E40" t="str"/>
      <x:c r="F40" t="str"/>
      <x:c r="G40" t="str"/>
      <x:c r="H40" t="n">
        <x:v>0</x:v>
      </x:c>
      <x:c r="I40" t="str">
        <x:v>Vol naturel ; si aucune attaque CAC, hors d'atteinte du CAC en vol</x:v>
      </x:c>
      <x:c r="J40" t="n">
        <x:v>0</x:v>
      </x:c>
      <x:c r="K40" t="n">
        <x:v>0</x:v>
      </x:c>
      <x:c r="L40" s="54" t="n">
        <x:v>0.05</x:v>
      </x:c>
    </x:row>
    <x:row r="41">
      <x:c r="A41" t="str">
        <x:v>Venimeux|1</x:v>
      </x:c>
      <x:c r="B41" t="str">
        <x:v>Venimeux</x:v>
      </x:c>
      <x:c r="C41" t="str">
        <x:v>Venin</x:v>
      </x:c>
      <x:c r="D41" t="str">
        <x:v>Passive</x:v>
      </x:c>
      <x:c r="E41" t="str"/>
      <x:c r="F41" t="str">
        <x:v>CON</x:v>
      </x:c>
      <x:c r="G41" t="str">
        <x:v>DD capacité</x:v>
      </x:c>
      <x:c r="H41" t="n">
        <x:v>0.5</x:v>
      </x:c>
      <x:c r="I41" t="str">
        <x:v>Dégâts Toxiques mineurs</x:v>
      </x:c>
      <x:c r="J41" t="n">
        <x:v>0</x:v>
      </x:c>
      <x:c r="K41" t="n">
        <x:v>0</x:v>
      </x:c>
      <x:c r="L41" s="54" t="n">
        <x:v>0.05</x:v>
      </x:c>
    </x:row>
    <x:row r="42">
      <x:c r="A42" t="str">
        <x:v>Gélatineuse|1</x:v>
      </x:c>
      <x:c r="B42" t="str">
        <x:v>Gélatineuse</x:v>
      </x:c>
      <x:c r="C42" t="str">
        <x:v>Engloutissement</x:v>
      </x:c>
      <x:c r="D42" t="str">
        <x:v>Active</x:v>
      </x:c>
      <x:c r="E42" t="str">
        <x:v>Libre</x:v>
      </x:c>
      <x:c r="F42" t="str">
        <x:v>FOR</x:v>
      </x:c>
      <x:c r="G42" t="str">
        <x:v>Test opposé</x:v>
      </x:c>
      <x:c r="H42" t="n">
        <x:v>1</x:v>
      </x:c>
      <x:c r="I42" t="str">
        <x:v>Cible Engloutie</x:v>
      </x:c>
      <x:c r="J42" t="n">
        <x:v>0</x:v>
      </x:c>
      <x:c r="K42" t="n">
        <x:v>0</x:v>
      </x:c>
      <x:c r="L42" s="54" t="n">
        <x:v>0.1</x:v>
      </x:c>
    </x:row>
    <x:row r="43">
      <x:c r="A43" t="str">
        <x:v>Corrosive|1</x:v>
      </x:c>
      <x:c r="B43" t="str">
        <x:v>Corrosive</x:v>
      </x:c>
      <x:c r="C43" t="str">
        <x:v>Corrosion</x:v>
      </x:c>
      <x:c r="D43" t="str">
        <x:v>Passive</x:v>
      </x:c>
      <x:c r="E43" t="str"/>
      <x:c r="F43" t="str"/>
      <x:c r="G43" t="str"/>
      <x:c r="H43" t="n">
        <x:v>0</x:v>
      </x:c>
      <x:c r="I43" t="str">
        <x:v>Attaques naturelles Terre/acide</x:v>
      </x:c>
      <x:c r="J43" t="n">
        <x:v>0</x:v>
      </x:c>
      <x:c r="K43" t="n">
        <x:v>0</x:v>
      </x:c>
      <x:c r="L43" s="54" t="n">
        <x:v>0.05</x:v>
      </x:c>
    </x:row>
    <x:row r="44">
      <x:c r="A44" t="str">
        <x:v>Mimétique|1</x:v>
      </x:c>
      <x:c r="B44" t="str">
        <x:v>Mimétique</x:v>
      </x:c>
      <x:c r="C44" t="str">
        <x:v>Mimétisme</x:v>
      </x:c>
      <x:c r="D44" t="str">
        <x:v>Passive</x:v>
      </x:c>
      <x:c r="E44" t="str"/>
      <x:c r="F44" t="str"/>
      <x:c r="G44" t="str"/>
      <x:c r="H44" t="n">
        <x:v>0</x:v>
      </x:c>
      <x:c r="I44" t="str">
        <x:v>Imite un objet simple immobile</x:v>
      </x:c>
      <x:c r="J44" t="n">
        <x:v>0</x:v>
      </x:c>
      <x:c r="K44" t="n">
        <x:v>0</x:v>
      </x:c>
      <x:c r="L44" s="54" t="n">
        <x:v>0</x:v>
      </x:c>
    </x:row>
    <x:row r="45">
      <x:c r="A45" t="str">
        <x:v>Démon mineur|1</x:v>
      </x:c>
      <x:c r="B45" t="str">
        <x:v>Démon mineur</x:v>
      </x:c>
      <x:c r="C45" t="str">
        <x:v>Flamme infernale</x:v>
      </x:c>
      <x:c r="D45" t="str">
        <x:v>Passive</x:v>
      </x:c>
      <x:c r="E45" t="str"/>
      <x:c r="F45" t="str"/>
      <x:c r="G45" t="str"/>
      <x:c r="H45" t="n">
        <x:v>0</x:v>
      </x:c>
      <x:c r="I45" t="str">
        <x:v>Attaques naturelles peuvent infliger Feu</x:v>
      </x:c>
      <x:c r="J45" t="n">
        <x:v>0</x:v>
      </x:c>
      <x:c r="K45" t="n">
        <x:v>0</x:v>
      </x:c>
      <x:c r="L45" s="54" t="n">
        <x:v>0.05</x:v>
      </x:c>
    </x:row>
    <x:row r="46">
      <x:c r="A46" t="str">
        <x:v>Brute infernale|1</x:v>
      </x:c>
      <x:c r="B46" t="str">
        <x:v>Brute infernale</x:v>
      </x:c>
      <x:c r="C46" t="str">
        <x:v>Rage infernale</x:v>
      </x:c>
      <x:c r="D46" t="str">
        <x:v>Passive</x:v>
      </x:c>
      <x:c r="E46" t="str"/>
      <x:c r="F46" t="str"/>
      <x:c r="G46" t="str"/>
      <x:c r="H46" t="n">
        <x:v>0</x:v>
      </x:c>
      <x:c r="I46" t="str">
        <x:v>Sous 50% PV : +20% DM</x:v>
      </x:c>
      <x:c r="J46" t="n">
        <x:v>0</x:v>
      </x:c>
      <x:c r="K46" t="n">
        <x:v>0</x:v>
      </x:c>
      <x:c r="L46" s="54" t="n">
        <x:v>0.05</x:v>
      </x:c>
    </x:row>
    <x:row r="47">
      <x:c r="A47" t="str">
        <x:v>Corrupteur|1</x:v>
      </x:c>
      <x:c r="B47" t="str">
        <x:v>Corrupteur</x:v>
      </x:c>
      <x:c r="C47" t="str">
        <x:v>Corruption</x:v>
      </x:c>
      <x:c r="D47" t="str">
        <x:v>Active</x:v>
      </x:c>
      <x:c r="E47" t="str">
        <x:v>Recharge 5-6</x:v>
      </x:c>
      <x:c r="F47" t="str">
        <x:v>CHA</x:v>
      </x:c>
      <x:c r="G47" t="str">
        <x:v>DD capacité</x:v>
      </x:c>
      <x:c r="H47" t="n">
        <x:v>0</x:v>
      </x:c>
      <x:c r="I47" t="str">
        <x:v>Affaibli</x:v>
      </x:c>
      <x:c r="J47" t="n">
        <x:v>0</x:v>
      </x:c>
      <x:c r="K47" t="n">
        <x:v>0</x:v>
      </x:c>
      <x:c r="L47" s="54" t="n">
        <x:v>0.05</x:v>
      </x:c>
    </x:row>
    <x:row r="48">
      <x:c r="A48" t="str">
        <x:v>Tentateur|1</x:v>
      </x:c>
      <x:c r="B48" t="str">
        <x:v>Tentateur</x:v>
      </x:c>
      <x:c r="C48" t="str">
        <x:v>Charme</x:v>
      </x:c>
      <x:c r="D48" t="str">
        <x:v>Active</x:v>
      </x:c>
      <x:c r="E48" t="str">
        <x:v>1/combat</x:v>
      </x:c>
      <x:c r="F48" t="str">
        <x:v>CHA</x:v>
      </x:c>
      <x:c r="G48" t="str">
        <x:v>DD capacité</x:v>
      </x:c>
      <x:c r="H48" t="n">
        <x:v>0</x:v>
      </x:c>
      <x:c r="I48" t="str">
        <x:v>Charmé</x:v>
      </x:c>
      <x:c r="J48" t="n">
        <x:v>0</x:v>
      </x:c>
      <x:c r="K48" t="n">
        <x:v>0</x:v>
      </x:c>
      <x:c r="L48" s="54" t="n">
        <x:v>0.075</x:v>
      </x:c>
    </x:row>
    <x:row r="49">
      <x:c r="A49" t="str">
        <x:v>Prédateur infernal|1</x:v>
      </x:c>
      <x:c r="B49" t="str">
        <x:v>Prédateur infernal</x:v>
      </x:c>
      <x:c r="C49" t="str">
        <x:v>Traque</x:v>
      </x:c>
      <x:c r="D49" t="str">
        <x:v>Passive</x:v>
      </x:c>
      <x:c r="E49" t="str"/>
      <x:c r="F49" t="str"/>
      <x:c r="G49" t="str"/>
      <x:c r="H49" t="n">
        <x:v>0</x:v>
      </x:c>
      <x:c r="I49" t="str">
        <x:v>+1 Toucher contre cible désignée</x:v>
      </x:c>
      <x:c r="J49" t="n">
        <x:v>0</x:v>
      </x:c>
      <x:c r="K49" t="n">
        <x:v>0</x:v>
      </x:c>
      <x:c r="L49" s="54" t="n">
        <x:v>0.025</x:v>
      </x:c>
    </x:row>
    <x:row r="50">
      <x:c r="A50" t="str">
        <x:v>Ogre|1</x:v>
      </x:c>
      <x:c r="B50" t="str">
        <x:v>Ogre</x:v>
      </x:c>
      <x:c r="C50" t="str">
        <x:v>Grande allonge</x:v>
      </x:c>
      <x:c r="D50" t="str">
        <x:v>Passive</x:v>
      </x:c>
      <x:c r="E50" t="str"/>
      <x:c r="F50" t="str"/>
      <x:c r="G50" t="str"/>
      <x:c r="H50" t="n">
        <x:v>0</x:v>
      </x:c>
      <x:c r="I50" t="str">
        <x:v>+1 m d'allonge</x:v>
      </x:c>
      <x:c r="J50" t="n">
        <x:v>0</x:v>
      </x:c>
      <x:c r="K50" t="n">
        <x:v>1</x:v>
      </x:c>
      <x:c r="L50" s="54" t="n">
        <x:v>0.025</x:v>
      </x:c>
    </x:row>
    <x:row r="51">
      <x:c r="A51" t="str">
        <x:v>Géant véritable|1</x:v>
      </x:c>
      <x:c r="B51" t="str">
        <x:v>Géant véritable</x:v>
      </x:c>
      <x:c r="C51" t="str">
        <x:v>Projection</x:v>
      </x:c>
      <x:c r="D51" t="str">
        <x:v>Active</x:v>
      </x:c>
      <x:c r="E51" t="str">
        <x:v>Libre</x:v>
      </x:c>
      <x:c r="F51" t="str">
        <x:v>FOR</x:v>
      </x:c>
      <x:c r="G51" t="str">
        <x:v>Test opposé</x:v>
      </x:c>
      <x:c r="H51" t="n">
        <x:v>0.5</x:v>
      </x:c>
      <x:c r="I51" t="str">
        <x:v>Repousse la cible</x:v>
      </x:c>
      <x:c r="J51" t="n">
        <x:v>0</x:v>
      </x:c>
      <x:c r="K51" t="n">
        <x:v>0</x:v>
      </x:c>
      <x:c r="L51" s="54" t="n">
        <x:v>0.05</x:v>
      </x:c>
    </x:row>
    <x:row r="52">
      <x:c r="A52" t="str">
        <x:v>Titanide|1</x:v>
      </x:c>
      <x:c r="B52" t="str">
        <x:v>Titanide</x:v>
      </x:c>
      <x:c r="C52" t="str">
        <x:v>Frappe titanesque</x:v>
      </x:c>
      <x:c r="D52" t="str">
        <x:v>Active</x:v>
      </x:c>
      <x:c r="E52" t="str">
        <x:v>Recharge 5-6</x:v>
      </x:c>
      <x:c r="F52" t="str">
        <x:v>FOR</x:v>
      </x:c>
      <x:c r="G52" t="str">
        <x:v>Attaque</x:v>
      </x:c>
      <x:c r="H52" t="n">
        <x:v>1.5</x:v>
      </x:c>
      <x:c r="I52" t="str">
        <x:v>Attaque majeure</x:v>
      </x:c>
      <x:c r="J52" t="n">
        <x:v>0</x:v>
      </x:c>
      <x:c r="K52" t="n">
        <x:v>0</x:v>
      </x:c>
      <x:c r="L52" s="54" t="n">
        <x:v>0.075</x:v>
      </x:c>
    </x:row>
    <x:row r="53">
      <x:c r="A53" t="str">
        <x:v>Runique|1</x:v>
      </x:c>
      <x:c r="B53" t="str">
        <x:v>Runique</x:v>
      </x:c>
      <x:c r="C53" t="str">
        <x:v>Rune active</x:v>
      </x:c>
      <x:c r="D53" t="str">
        <x:v>Passive/Active</x:v>
      </x:c>
      <x:c r="E53" t="str">
        <x:v>Recharge 5-6</x:v>
      </x:c>
      <x:c r="F53" t="str">
        <x:v>CON</x:v>
      </x:c>
      <x:c r="G53" t="str">
        <x:v>DD capacité</x:v>
      </x:c>
      <x:c r="H53" t="n">
        <x:v>1</x:v>
      </x:c>
      <x:c r="I53" t="str">
        <x:v>Affinité + attaque élémentaire</x:v>
      </x:c>
      <x:c r="J53" t="n">
        <x:v>0</x:v>
      </x:c>
      <x:c r="K53" t="n">
        <x:v>0</x:v>
      </x:c>
      <x:c r="L53" s="54" t="n">
        <x:v>0.075</x:v>
      </x:c>
    </x:row>
    <x:row r="54">
      <x:c r="A54" t="str">
        <x:v>Feu|1</x:v>
      </x:c>
      <x:c r="B54" t="str">
        <x:v>Feu</x:v>
      </x:c>
      <x:c r="C54" t="str">
        <x:v>Absorption Feu</x:v>
      </x:c>
      <x:c r="D54" t="str">
        <x:v>Passive</x:v>
      </x:c>
      <x:c r="E54" t="str"/>
      <x:c r="F54" t="str"/>
      <x:c r="G54" t="str"/>
      <x:c r="H54" t="n">
        <x:v>0</x:v>
      </x:c>
      <x:c r="I54" t="str">
        <x:v>Dégâts Feu reçus soignent selon Soin</x:v>
      </x:c>
      <x:c r="J54" t="n">
        <x:v>0</x:v>
      </x:c>
      <x:c r="K54" t="n">
        <x:v>0</x:v>
      </x:c>
      <x:c r="L54" s="54" t="n">
        <x:v>0</x:v>
      </x:c>
    </x:row>
    <x:row r="55">
      <x:c r="A55" t="str">
        <x:v>Feu|2</x:v>
      </x:c>
      <x:c r="B55" t="str">
        <x:v>Feu</x:v>
      </x:c>
      <x:c r="C55" t="str">
        <x:v>Brûlure</x:v>
      </x:c>
      <x:c r="D55" t="str">
        <x:v>Passive</x:v>
      </x:c>
      <x:c r="E55" t="str"/>
      <x:c r="F55" t="str">
        <x:v>CON</x:v>
      </x:c>
      <x:c r="G55" t="str">
        <x:v>DD capacité</x:v>
      </x:c>
      <x:c r="H55" t="n">
        <x:v>0.5</x:v>
      </x:c>
      <x:c r="I55" t="str">
        <x:v>Attaques Feu appliquent brûlure</x:v>
      </x:c>
      <x:c r="J55" t="n">
        <x:v>0</x:v>
      </x:c>
      <x:c r="K55" t="n">
        <x:v>0</x:v>
      </x:c>
      <x:c r="L55" s="54" t="n">
        <x:v>0.05</x:v>
      </x:c>
    </x:row>
    <x:row r="56">
      <x:c r="A56" t="str">
        <x:v>Air|1</x:v>
      </x:c>
      <x:c r="B56" t="str">
        <x:v>Air</x:v>
      </x:c>
      <x:c r="C56" t="str">
        <x:v>Absorption Air</x:v>
      </x:c>
      <x:c r="D56" t="str">
        <x:v>Passive</x:v>
      </x:c>
      <x:c r="E56" t="str"/>
      <x:c r="F56" t="str"/>
      <x:c r="G56" t="str"/>
      <x:c r="H56" t="n">
        <x:v>0</x:v>
      </x:c>
      <x:c r="I56" t="str">
        <x:v>Dégâts Air reçus soignent selon Soin</x:v>
      </x:c>
      <x:c r="J56" t="n">
        <x:v>0</x:v>
      </x:c>
      <x:c r="K56" t="n">
        <x:v>0</x:v>
      </x:c>
      <x:c r="L56" s="54" t="n">
        <x:v>0</x:v>
      </x:c>
    </x:row>
    <x:row r="57">
      <x:c r="A57" t="str">
        <x:v>Air|2</x:v>
      </x:c>
      <x:c r="B57" t="str">
        <x:v>Air</x:v>
      </x:c>
      <x:c r="C57" t="str">
        <x:v>Intangible</x:v>
      </x:c>
      <x:c r="D57" t="str">
        <x:v>Passive</x:v>
      </x:c>
      <x:c r="E57" t="str"/>
      <x:c r="F57" t="str"/>
      <x:c r="G57" t="str"/>
      <x:c r="H57" t="n">
        <x:v>0</x:v>
      </x:c>
      <x:c r="I57" t="str">
        <x:v>Corps diffus/intangible</x:v>
      </x:c>
      <x:c r="J57" t="n">
        <x:v>0</x:v>
      </x:c>
      <x:c r="K57" t="n">
        <x:v>0</x:v>
      </x:c>
      <x:c r="L57" s="54" t="n">
        <x:v>0.1</x:v>
      </x:c>
    </x:row>
    <x:row r="58">
      <x:c r="A58" t="str">
        <x:v>Air|3</x:v>
      </x:c>
      <x:c r="B58" t="str">
        <x:v>Air</x:v>
      </x:c>
      <x:c r="C58" t="str">
        <x:v>Rafale</x:v>
      </x:c>
      <x:c r="D58" t="str">
        <x:v>Active</x:v>
      </x:c>
      <x:c r="E58" t="str">
        <x:v>Recharge 5-6</x:v>
      </x:c>
      <x:c r="F58" t="str">
        <x:v>CON</x:v>
      </x:c>
      <x:c r="G58" t="str">
        <x:v>DD capacité</x:v>
      </x:c>
      <x:c r="H58" t="n">
        <x:v>0.75</x:v>
      </x:c>
      <x:c r="I58" t="str">
        <x:v>Renversé</x:v>
      </x:c>
      <x:c r="J58" t="n">
        <x:v>0</x:v>
      </x:c>
      <x:c r="K58" t="n">
        <x:v>0</x:v>
      </x:c>
      <x:c r="L58" s="54" t="n">
        <x:v>0.05</x:v>
      </x:c>
    </x:row>
    <x:row r="59">
      <x:c r="A59" t="str">
        <x:v>Eau|1</x:v>
      </x:c>
      <x:c r="B59" t="str">
        <x:v>Eau</x:v>
      </x:c>
      <x:c r="C59" t="str">
        <x:v>Absorption Eau</x:v>
      </x:c>
      <x:c r="D59" t="str">
        <x:v>Passive</x:v>
      </x:c>
      <x:c r="E59" t="str"/>
      <x:c r="F59" t="str"/>
      <x:c r="G59" t="str"/>
      <x:c r="H59" t="n">
        <x:v>0</x:v>
      </x:c>
      <x:c r="I59" t="str">
        <x:v>Dégâts Eau reçus soignent selon Soin</x:v>
      </x:c>
      <x:c r="J59" t="n">
        <x:v>0</x:v>
      </x:c>
      <x:c r="K59" t="n">
        <x:v>0</x:v>
      </x:c>
      <x:c r="L59" s="54" t="n">
        <x:v>0</x:v>
      </x:c>
    </x:row>
    <x:row r="60">
      <x:c r="A60" t="str">
        <x:v>Eau|2</x:v>
      </x:c>
      <x:c r="B60" t="str">
        <x:v>Eau</x:v>
      </x:c>
      <x:c r="C60" t="str">
        <x:v>Intangible</x:v>
      </x:c>
      <x:c r="D60" t="str">
        <x:v>Passive</x:v>
      </x:c>
      <x:c r="E60" t="str"/>
      <x:c r="F60" t="str"/>
      <x:c r="G60" t="str"/>
      <x:c r="H60" t="n">
        <x:v>0</x:v>
      </x:c>
      <x:c r="I60" t="str">
        <x:v>Corps fluide/intangible</x:v>
      </x:c>
      <x:c r="J60" t="n">
        <x:v>0</x:v>
      </x:c>
      <x:c r="K60" t="n">
        <x:v>0</x:v>
      </x:c>
      <x:c r="L60" s="54" t="n">
        <x:v>0.1</x:v>
      </x:c>
    </x:row>
    <x:row r="61">
      <x:c r="A61" t="str">
        <x:v>Eau|3</x:v>
      </x:c>
      <x:c r="B61" t="str">
        <x:v>Eau</x:v>
      </x:c>
      <x:c r="C61" t="str">
        <x:v>Lenteur aqueuse</x:v>
      </x:c>
      <x:c r="D61" t="str">
        <x:v>Active</x:v>
      </x:c>
      <x:c r="E61" t="str">
        <x:v>Recharge 5-6</x:v>
      </x:c>
      <x:c r="F61" t="str">
        <x:v>CON</x:v>
      </x:c>
      <x:c r="G61" t="str">
        <x:v>DD capacité</x:v>
      </x:c>
      <x:c r="H61" t="n">
        <x:v>0.5</x:v>
      </x:c>
      <x:c r="I61" t="str">
        <x:v>Entravé</x:v>
      </x:c>
      <x:c r="J61" t="n">
        <x:v>0</x:v>
      </x:c>
      <x:c r="K61" t="n">
        <x:v>0</x:v>
      </x:c>
      <x:c r="L61" s="54" t="n">
        <x:v>0.05</x:v>
      </x:c>
    </x:row>
    <x:row r="62">
      <x:c r="A62" t="str">
        <x:v>Terre|1</x:v>
      </x:c>
      <x:c r="B62" t="str">
        <x:v>Terre</x:v>
      </x:c>
      <x:c r="C62" t="str">
        <x:v>Absorption Terre</x:v>
      </x:c>
      <x:c r="D62" t="str">
        <x:v>Passive</x:v>
      </x:c>
      <x:c r="E62" t="str"/>
      <x:c r="F62" t="str"/>
      <x:c r="G62" t="str"/>
      <x:c r="H62" t="n">
        <x:v>0</x:v>
      </x:c>
      <x:c r="I62" t="str">
        <x:v>Dégâts Terre reçus soignent selon Soin</x:v>
      </x:c>
      <x:c r="J62" t="n">
        <x:v>0</x:v>
      </x:c>
      <x:c r="K62" t="n">
        <x:v>0</x:v>
      </x:c>
      <x:c r="L62" s="54" t="n">
        <x:v>0</x:v>
      </x:c>
    </x:row>
    <x:row r="63">
      <x:c r="A63" t="str">
        <x:v>Terre|2</x:v>
      </x:c>
      <x:c r="B63" t="str">
        <x:v>Terre</x:v>
      </x:c>
      <x:c r="C63" t="str">
        <x:v>Stabilité</x:v>
      </x:c>
      <x:c r="D63" t="str">
        <x:v>Passive</x:v>
      </x:c>
      <x:c r="E63" t="str"/>
      <x:c r="F63" t="str"/>
      <x:c r="G63" t="str"/>
      <x:c r="H63" t="n">
        <x:v>0</x:v>
      </x:c>
      <x:c r="I63" t="str">
        <x:v>+2 contre Renversé/déplacement forcé</x:v>
      </x:c>
      <x:c r="J63" t="n">
        <x:v>0</x:v>
      </x:c>
      <x:c r="K63" t="n">
        <x:v>0</x:v>
      </x:c>
      <x:c r="L63" s="54" t="n">
        <x:v>0.025</x:v>
      </x:c>
    </x:row>
    <x:row r="64">
      <x:c r="A64" t="str">
        <x:v>Ombre|1</x:v>
      </x:c>
      <x:c r="B64" t="str">
        <x:v>Ombre</x:v>
      </x:c>
      <x:c r="C64" t="str">
        <x:v>Absorption Ombre</x:v>
      </x:c>
      <x:c r="D64" t="str">
        <x:v>Passive</x:v>
      </x:c>
      <x:c r="E64" t="str"/>
      <x:c r="F64" t="str"/>
      <x:c r="G64" t="str"/>
      <x:c r="H64" t="n">
        <x:v>0</x:v>
      </x:c>
      <x:c r="I64" t="str">
        <x:v>Dégâts Ombre reçus soignent selon Soin</x:v>
      </x:c>
      <x:c r="J64" t="n">
        <x:v>0</x:v>
      </x:c>
      <x:c r="K64" t="n">
        <x:v>0</x:v>
      </x:c>
      <x:c r="L64" s="54" t="n">
        <x:v>0</x:v>
      </x:c>
    </x:row>
    <x:row r="65">
      <x:c r="A65" t="str">
        <x:v>Ombre|2</x:v>
      </x:c>
      <x:c r="B65" t="str">
        <x:v>Ombre</x:v>
      </x:c>
      <x:c r="C65" t="str">
        <x:v>Intangible</x:v>
      </x:c>
      <x:c r="D65" t="str">
        <x:v>Passive</x:v>
      </x:c>
      <x:c r="E65" t="str"/>
      <x:c r="F65" t="str"/>
      <x:c r="G65" t="str"/>
      <x:c r="H65" t="n">
        <x:v>0</x:v>
      </x:c>
      <x:c r="I65" t="str">
        <x:v>Corps intangible</x:v>
      </x:c>
      <x:c r="J65" t="n">
        <x:v>0</x:v>
      </x:c>
      <x:c r="K65" t="n">
        <x:v>0</x:v>
      </x:c>
      <x:c r="L65" s="54" t="n">
        <x:v>0.1</x:v>
      </x:c>
    </x:row>
    <x:row r="66">
      <x:c r="A66" t="str">
        <x:v>Ombre|3</x:v>
      </x:c>
      <x:c r="B66" t="str">
        <x:v>Ombre</x:v>
      </x:c>
      <x:c r="C66" t="str">
        <x:v>Pas d'ombre</x:v>
      </x:c>
      <x:c r="D66" t="str">
        <x:v>Active</x:v>
      </x:c>
      <x:c r="E66" t="str">
        <x:v>1/tour</x:v>
      </x:c>
      <x:c r="F66" t="str">
        <x:v>DEX</x:v>
      </x:c>
      <x:c r="G66" t="str"/>
      <x:c r="H66" t="n">
        <x:v>0</x:v>
      </x:c>
      <x:c r="I66" t="str">
        <x:v>Téléportation courte entre ombres</x:v>
      </x:c>
      <x:c r="J66" t="n">
        <x:v>0</x:v>
      </x:c>
      <x:c r="K66" t="n">
        <x:v>0</x:v>
      </x:c>
      <x:c r="L66" s="54" t="n">
        <x:v>0</x:v>
      </x:c>
    </x:row>
    <x:row r="67">
      <x:c r="A67" t="str">
        <x:v>Lumière|1</x:v>
      </x:c>
      <x:c r="B67" t="str">
        <x:v>Lumière</x:v>
      </x:c>
      <x:c r="C67" t="str">
        <x:v>Absorption Lumière</x:v>
      </x:c>
      <x:c r="D67" t="str">
        <x:v>Passive</x:v>
      </x:c>
      <x:c r="E67" t="str"/>
      <x:c r="F67" t="str"/>
      <x:c r="G67" t="str"/>
      <x:c r="H67" t="n">
        <x:v>0</x:v>
      </x:c>
      <x:c r="I67" t="str">
        <x:v>Dégâts Lumière reçus soignent selon Soin</x:v>
      </x:c>
      <x:c r="J67" t="n">
        <x:v>0</x:v>
      </x:c>
      <x:c r="K67" t="n">
        <x:v>0</x:v>
      </x:c>
      <x:c r="L67" s="54" t="n">
        <x:v>0</x:v>
      </x:c>
    </x:row>
    <x:row r="68">
      <x:c r="A68" t="str">
        <x:v>Lumière|2</x:v>
      </x:c>
      <x:c r="B68" t="str">
        <x:v>Lumière</x:v>
      </x:c>
      <x:c r="C68" t="str">
        <x:v>Intangible</x:v>
      </x:c>
      <x:c r="D68" t="str">
        <x:v>Passive</x:v>
      </x:c>
      <x:c r="E68" t="str"/>
      <x:c r="F68" t="str"/>
      <x:c r="G68" t="str"/>
      <x:c r="H68" t="n">
        <x:v>0</x:v>
      </x:c>
      <x:c r="I68" t="str">
        <x:v>Corps énergétique intangible</x:v>
      </x:c>
      <x:c r="J68" t="n">
        <x:v>0</x:v>
      </x:c>
      <x:c r="K68" t="n">
        <x:v>0</x:v>
      </x:c>
      <x:c r="L68" s="54" t="n">
        <x:v>0.1</x:v>
      </x:c>
    </x:row>
    <x:row r="69">
      <x:c r="A69" t="str">
        <x:v>Lumière|3</x:v>
      </x:c>
      <x:c r="B69" t="str">
        <x:v>Lumière</x:v>
      </x:c>
      <x:c r="C69" t="str">
        <x:v>Éblouissement</x:v>
      </x:c>
      <x:c r="D69" t="str">
        <x:v>Active</x:v>
      </x:c>
      <x:c r="E69" t="str">
        <x:v>Recharge 5-6</x:v>
      </x:c>
      <x:c r="F69" t="str">
        <x:v>SAG</x:v>
      </x:c>
      <x:c r="G69" t="str">
        <x:v>DD capacité</x:v>
      </x:c>
      <x:c r="H69" t="n">
        <x:v>0.5</x:v>
      </x:c>
      <x:c r="I69" t="str">
        <x:v>Aveuglé</x:v>
      </x:c>
      <x:c r="J69" t="n">
        <x:v>0</x:v>
      </x:c>
      <x:c r="K69" t="n">
        <x:v>0</x:v>
      </x:c>
      <x:c r="L69" s="54" t="n">
        <x:v>0.075</x:v>
      </x:c>
    </x:row>
    <x:row r="70">
      <x:c r="A70" t="str">
        <x:v>Force|1</x:v>
      </x:c>
      <x:c r="B70" t="str">
        <x:v>Force</x:v>
      </x:c>
      <x:c r="C70" t="str">
        <x:v>Absorption Force</x:v>
      </x:c>
      <x:c r="D70" t="str">
        <x:v>Passive</x:v>
      </x:c>
      <x:c r="E70" t="str"/>
      <x:c r="F70" t="str"/>
      <x:c r="G70" t="str"/>
      <x:c r="H70" t="n">
        <x:v>0</x:v>
      </x:c>
      <x:c r="I70" t="str">
        <x:v>Dégâts Force reçus soignent selon Soin</x:v>
      </x:c>
      <x:c r="J70" t="n">
        <x:v>0</x:v>
      </x:c>
      <x:c r="K70" t="n">
        <x:v>0</x:v>
      </x:c>
      <x:c r="L70" s="54" t="n">
        <x:v>0</x:v>
      </x:c>
    </x:row>
    <x:row r="71">
      <x:c r="A71" t="str">
        <x:v>Force|2</x:v>
      </x:c>
      <x:c r="B71" t="str">
        <x:v>Force</x:v>
      </x:c>
      <x:c r="C71" t="str">
        <x:v>Intangible</x:v>
      </x:c>
      <x:c r="D71" t="str">
        <x:v>Passive</x:v>
      </x:c>
      <x:c r="E71" t="str"/>
      <x:c r="F71" t="str"/>
      <x:c r="G71" t="str"/>
      <x:c r="H71" t="n">
        <x:v>0</x:v>
      </x:c>
      <x:c r="I71" t="str">
        <x:v>Corps énergétique intangible</x:v>
      </x:c>
      <x:c r="J71" t="n">
        <x:v>0</x:v>
      </x:c>
      <x:c r="K71" t="n">
        <x:v>0</x:v>
      </x:c>
      <x:c r="L71" s="54" t="n">
        <x:v>0.1</x:v>
      </x:c>
    </x:row>
    <x:row r="72">
      <x:c r="A72" t="str">
        <x:v>Force|3</x:v>
      </x:c>
      <x:c r="B72" t="str">
        <x:v>Force</x:v>
      </x:c>
      <x:c r="C72" t="str">
        <x:v>Impact de force</x:v>
      </x:c>
      <x:c r="D72" t="str">
        <x:v>Active</x:v>
      </x:c>
      <x:c r="E72" t="str">
        <x:v>Recharge 5-6</x:v>
      </x:c>
      <x:c r="F72" t="str">
        <x:v>CON</x:v>
      </x:c>
      <x:c r="G72" t="str">
        <x:v>DD capacité</x:v>
      </x:c>
      <x:c r="H72" t="n">
        <x:v>0.75</x:v>
      </x:c>
      <x:c r="I72" t="str">
        <x:v>Renversé/repoussé</x:v>
      </x:c>
      <x:c r="J72" t="n">
        <x:v>0</x:v>
      </x:c>
      <x:c r="K72" t="n">
        <x:v>0</x:v>
      </x:c>
      <x:c r="L72" s="54" t="n">
        <x:v>0.05</x:v>
      </x:c>
    </x:row>
    <x:row r="73">
      <x:c r="A73" t="str">
        <x:v>Messager divin|1</x:v>
      </x:c>
      <x:c r="B73" t="str">
        <x:v>Messager divin</x:v>
      </x:c>
      <x:c r="C73" t="str">
        <x:v>Aura inspirante</x:v>
      </x:c>
      <x:c r="D73" t="str">
        <x:v>Passive</x:v>
      </x:c>
      <x:c r="E73" t="str"/>
      <x:c r="F73" t="str"/>
      <x:c r="G73" t="str"/>
      <x:c r="H73" t="n">
        <x:v>0</x:v>
      </x:c>
      <x:c r="I73" t="str">
        <x:v>Alliés proches +1 contre Peur</x:v>
      </x:c>
      <x:c r="J73" t="n">
        <x:v>0</x:v>
      </x:c>
      <x:c r="K73" t="n">
        <x:v>0</x:v>
      </x:c>
      <x:c r="L73" s="54" t="n">
        <x:v>0.025</x:v>
      </x:c>
    </x:row>
    <x:row r="74">
      <x:c r="A74" t="str">
        <x:v>Gardien sacré|1</x:v>
      </x:c>
      <x:c r="B74" t="str">
        <x:v>Gardien sacré</x:v>
      </x:c>
      <x:c r="C74" t="str">
        <x:v>Interception</x:v>
      </x:c>
      <x:c r="D74" t="str">
        <x:v>Réaction</x:v>
      </x:c>
      <x:c r="E74" t="str">
        <x:v>1/tour</x:v>
      </x:c>
      <x:c r="F74" t="str">
        <x:v>DEX</x:v>
      </x:c>
      <x:c r="G74" t="str">
        <x:v>Réaction</x:v>
      </x:c>
      <x:c r="H74" t="n">
        <x:v>0</x:v>
      </x:c>
      <x:c r="I74" t="str">
        <x:v>Prend une attaque destinée à un allié proche</x:v>
      </x:c>
      <x:c r="J74" t="n">
        <x:v>0</x:v>
      </x:c>
      <x:c r="K74" t="n">
        <x:v>0</x:v>
      </x:c>
      <x:c r="L74" s="54" t="n">
        <x:v>0.05</x:v>
      </x:c>
    </x:row>
    <x:row r="75">
      <x:c r="A75" t="str">
        <x:v>Avatar|1</x:v>
      </x:c>
      <x:c r="B75" t="str">
        <x:v>Avatar</x:v>
      </x:c>
      <x:c r="C75" t="str">
        <x:v>Présence divine</x:v>
      </x:c>
      <x:c r="D75" t="str">
        <x:v>Passive</x:v>
      </x:c>
      <x:c r="E75" t="str"/>
      <x:c r="F75" t="str"/>
      <x:c r="G75" t="str"/>
      <x:c r="H75" t="n">
        <x:v>0</x:v>
      </x:c>
      <x:c r="I75" t="str">
        <x:v>+1 DD pouvoirs sacrés</x:v>
      </x:c>
      <x:c r="J75" t="n">
        <x:v>0</x:v>
      </x:c>
      <x:c r="K75" t="n">
        <x:v>0</x:v>
      </x:c>
      <x:c r="L75" s="54" t="n">
        <x:v>0.025</x:v>
      </x:c>
    </x:row>
    <x:row r="76">
      <x:c r="A76" t="str">
        <x:v>Objet animé|1</x:v>
      </x:c>
      <x:c r="B76" t="str">
        <x:v>Objet animé</x:v>
      </x:c>
      <x:c r="C76" t="str">
        <x:v>Sans biologie</x:v>
      </x:c>
      <x:c r="D76" t="str">
        <x:v>Passive</x:v>
      </x:c>
      <x:c r="E76" t="str"/>
      <x:c r="F76" t="str"/>
      <x:c r="G76" t="str"/>
      <x:c r="H76" t="n">
        <x:v>0</x:v>
      </x:c>
      <x:c r="I76" t="str">
        <x:v>Immunités biologiques logiques</x:v>
      </x:c>
      <x:c r="J76" t="n">
        <x:v>0</x:v>
      </x:c>
      <x:c r="K76" t="n">
        <x:v>0</x:v>
      </x:c>
      <x:c r="L76" s="54" t="n">
        <x:v>0.025</x:v>
      </x:c>
    </x:row>
    <x:row r="77">
      <x:c r="A77" t="str">
        <x:v>Automate|1</x:v>
      </x:c>
      <x:c r="B77" t="str">
        <x:v>Automate</x:v>
      </x:c>
      <x:c r="C77" t="str">
        <x:v>Programmation</x:v>
      </x:c>
      <x:c r="D77" t="str">
        <x:v>Passive</x:v>
      </x:c>
      <x:c r="E77" t="str"/>
      <x:c r="F77" t="str"/>
      <x:c r="G77" t="str"/>
      <x:c r="H77" t="n">
        <x:v>0</x:v>
      </x:c>
      <x:c r="I77" t="str">
        <x:v>Résiste aux effets mentaux simples</x:v>
      </x:c>
      <x:c r="J77" t="n">
        <x:v>0</x:v>
      </x:c>
      <x:c r="K77" t="n">
        <x:v>0</x:v>
      </x:c>
      <x:c r="L77" s="54" t="n">
        <x:v>0.025</x:v>
      </x:c>
    </x:row>
    <x:row r="78">
      <x:c r="A78" t="str">
        <x:v>Golem|1</x:v>
      </x:c>
      <x:c r="B78" t="str">
        <x:v>Golem</x:v>
      </x:c>
      <x:c r="C78" t="str">
        <x:v>Inarrêtable</x:v>
      </x:c>
      <x:c r="D78" t="str">
        <x:v>Passive</x:v>
      </x:c>
      <x:c r="E78" t="str"/>
      <x:c r="F78" t="str"/>
      <x:c r="G78" t="str"/>
      <x:c r="H78" t="n">
        <x:v>0</x:v>
      </x:c>
      <x:c r="I78" t="str">
        <x:v>+2 contre Renversé/Agrippé/déplacement forcé</x:v>
      </x:c>
      <x:c r="J78" t="n">
        <x:v>0</x:v>
      </x:c>
      <x:c r="K78" t="n">
        <x:v>0</x:v>
      </x:c>
      <x:c r="L78" s="54" t="n">
        <x:v>0.05</x:v>
      </x:c>
    </x:row>
    <x:row r="79">
      <x:c r="A79" t="str">
        <x:v>Gardien|1</x:v>
      </x:c>
      <x:c r="B79" t="str">
        <x:v>Gardien</x:v>
      </x:c>
      <x:c r="C79" t="str">
        <x:v>Interception</x:v>
      </x:c>
      <x:c r="D79" t="str">
        <x:v>Réaction</x:v>
      </x:c>
      <x:c r="E79" t="str">
        <x:v>1/tour</x:v>
      </x:c>
      <x:c r="F79" t="str">
        <x:v>DEX</x:v>
      </x:c>
      <x:c r="G79" t="str">
        <x:v>Réaction</x:v>
      </x:c>
      <x:c r="H79" t="n">
        <x:v>0</x:v>
      </x:c>
      <x:c r="I79" t="str">
        <x:v>Protège un allié proche</x:v>
      </x:c>
      <x:c r="J79" t="n">
        <x:v>0</x:v>
      </x:c>
      <x:c r="K79" t="n">
        <x:v>0</x:v>
      </x:c>
      <x:c r="L79" s="54" t="n">
        <x:v>0.05</x:v>
      </x:c>
    </x:row>
    <x:row r="80">
      <x:c r="A80" t="str">
        <x:v>Arcanique|1</x:v>
      </x:c>
      <x:c r="B80" t="str">
        <x:v>Arcanique</x:v>
      </x:c>
      <x:c r="C80" t="str">
        <x:v>Noyau magique</x:v>
      </x:c>
      <x:c r="D80" t="str">
        <x:v>Active</x:v>
      </x:c>
      <x:c r="E80" t="str">
        <x:v>Libre</x:v>
      </x:c>
      <x:c r="F80" t="str">
        <x:v>INT</x:v>
      </x:c>
      <x:c r="G80" t="str">
        <x:v>Attaque</x:v>
      </x:c>
      <x:c r="H80" t="n">
        <x:v>1</x:v>
      </x:c>
      <x:c r="I80" t="str">
        <x:v>Attaque de Force</x:v>
      </x:c>
      <x:c r="J80" t="n">
        <x:v>0</x:v>
      </x:c>
      <x:c r="K80" t="n">
        <x:v>0</x:v>
      </x:c>
      <x:c r="L80" s="54" t="n">
        <x:v>0.05</x:v>
      </x:c>
    </x:row>
    <x:row r="81">
      <x:c r="A81" t="str">
        <x:v>Esprit lié|1</x:v>
      </x:c>
      <x:c r="B81" t="str">
        <x:v>Esprit lié</x:v>
      </x:c>
      <x:c r="C81" t="str">
        <x:v>Ancrage</x:v>
      </x:c>
      <x:c r="D81" t="str">
        <x:v>Passive</x:v>
      </x:c>
      <x:c r="E81" t="str"/>
      <x:c r="F81" t="str"/>
      <x:c r="G81" t="str"/>
      <x:c r="H81" t="n">
        <x:v>0</x:v>
      </x:c>
      <x:c r="I81" t="str">
        <x:v>Lié à un lieu ou objet</x:v>
      </x:c>
      <x:c r="J81" t="n">
        <x:v>0</x:v>
      </x:c>
      <x:c r="K81" t="n">
        <x:v>0</x:v>
      </x:c>
      <x:c r="L81" s="54" t="n">
        <x:v>0</x:v>
      </x:c>
    </x:row>
    <x:row r="82">
      <x:c r="A82" t="str">
        <x:v>Spectre|1</x:v>
      </x:c>
      <x:c r="B82" t="str">
        <x:v>Spectre</x:v>
      </x:c>
      <x:c r="C82" t="str">
        <x:v>Intangibilité</x:v>
      </x:c>
      <x:c r="D82" t="str">
        <x:v>Passive</x:v>
      </x:c>
      <x:c r="E82" t="str"/>
      <x:c r="F82" t="str"/>
      <x:c r="G82" t="str"/>
      <x:c r="H82" t="n">
        <x:v>0</x:v>
      </x:c>
      <x:c r="I82" t="str">
        <x:v>Traverse les obstacles</x:v>
      </x:c>
      <x:c r="J82" t="n">
        <x:v>0</x:v>
      </x:c>
      <x:c r="K82" t="n">
        <x:v>0</x:v>
      </x:c>
      <x:c r="L82" s="54" t="n">
        <x:v>0.1</x:v>
      </x:c>
    </x:row>
    <x:row r="83">
      <x:c r="A83" t="str">
        <x:v>Poltergeist|1</x:v>
      </x:c>
      <x:c r="B83" t="str">
        <x:v>Poltergeist</x:v>
      </x:c>
      <x:c r="C83" t="str">
        <x:v>Télékinésie</x:v>
      </x:c>
      <x:c r="D83" t="str">
        <x:v>Active</x:v>
      </x:c>
      <x:c r="E83" t="str">
        <x:v>Libre</x:v>
      </x:c>
      <x:c r="F83" t="str">
        <x:v>SAG</x:v>
      </x:c>
      <x:c r="G83" t="str">
        <x:v>Test opposé</x:v>
      </x:c>
      <x:c r="H83" t="n">
        <x:v>0</x:v>
      </x:c>
      <x:c r="I83" t="str">
        <x:v>Déplace cible/objet</x:v>
      </x:c>
      <x:c r="J83" t="n">
        <x:v>0</x:v>
      </x:c>
      <x:c r="K83" t="n">
        <x:v>0</x:v>
      </x:c>
      <x:c r="L83" s="54" t="n">
        <x:v>0.05</x:v>
      </x:c>
    </x:row>
    <x:row r="84">
      <x:c r="A84" t="str">
        <x:v>Possesseur|1</x:v>
      </x:c>
      <x:c r="B84" t="str">
        <x:v>Possesseur</x:v>
      </x:c>
      <x:c r="C84" t="str">
        <x:v>Possession</x:v>
      </x:c>
      <x:c r="D84" t="str">
        <x:v>Active</x:v>
      </x:c>
      <x:c r="E84" t="str">
        <x:v>1/combat</x:v>
      </x:c>
      <x:c r="F84" t="str">
        <x:v>CHA</x:v>
      </x:c>
      <x:c r="G84" t="str">
        <x:v>DD capacité</x:v>
      </x:c>
      <x:c r="H84" t="n">
        <x:v>0</x:v>
      </x:c>
      <x:c r="I84" t="str">
        <x:v>Possession</x:v>
      </x:c>
      <x:c r="J84" t="n">
        <x:v>0</x:v>
      </x:c>
      <x:c r="K84" t="n">
        <x:v>0</x:v>
      </x:c>
      <x:c r="L84" s="54" t="n">
        <x:v>0.1</x:v>
      </x:c>
    </x:row>
    <x:row r="85">
      <x:c r="A85" t="str">
        <x:v>Revenant|1</x:v>
      </x:c>
      <x:c r="B85" t="str">
        <x:v>Revenant</x:v>
      </x:c>
      <x:c r="C85" t="str">
        <x:v>Retour surnaturel</x:v>
      </x:c>
      <x:c r="D85" t="str">
        <x:v>Passive</x:v>
      </x:c>
      <x:c r="E85" t="str"/>
      <x:c r="F85" t="str"/>
      <x:c r="G85" t="str"/>
      <x:c r="H85" t="n">
        <x:v>0</x:v>
      </x:c>
      <x:c r="I85" t="str">
        <x:v>Peut revenir tant que condition non résolue</x:v>
      </x:c>
      <x:c r="J85" t="n">
        <x:v>0</x:v>
      </x:c>
      <x:c r="K85" t="n">
        <x:v>0</x:v>
      </x:c>
      <x:c r="L85" s="54" t="n">
        <x:v>0.025</x:v>
      </x:c>
    </x:row>
    <x:row r="86">
      <x:c r="A86" t="str">
        <x:v>Dragon mineur|1</x:v>
      </x:c>
      <x:c r="B86" t="str">
        <x:v>Dragon mineur</x:v>
      </x:c>
      <x:c r="C86" t="str">
        <x:v>Souffle mineur</x:v>
      </x:c>
      <x:c r="D86" t="str">
        <x:v>Active</x:v>
      </x:c>
      <x:c r="E86" t="str">
        <x:v>Recharge 5-6</x:v>
      </x:c>
      <x:c r="F86" t="str">
        <x:v>CON</x:v>
      </x:c>
      <x:c r="G86" t="str">
        <x:v>DD capacité</x:v>
      </x:c>
      <x:c r="H86" t="n">
        <x:v>0.75</x:v>
      </x:c>
      <x:c r="I86" t="str">
        <x:v>Zone ; moitié sur réussite</x:v>
      </x:c>
      <x:c r="J86" t="n">
        <x:v>0</x:v>
      </x:c>
      <x:c r="K86" t="n">
        <x:v>0</x:v>
      </x:c>
      <x:c r="L86" s="54" t="n">
        <x:v>0.05</x:v>
      </x:c>
    </x:row>
    <x:row r="87">
      <x:c r="A87" t="str">
        <x:v>Dragon élémentaire|1</x:v>
      </x:c>
      <x:c r="B87" t="str">
        <x:v>Dragon élémentaire</x:v>
      </x:c>
      <x:c r="C87" t="str">
        <x:v>Souffle élémentaire</x:v>
      </x:c>
      <x:c r="D87" t="str">
        <x:v>Active</x:v>
      </x:c>
      <x:c r="E87" t="str">
        <x:v>Recharge 5-6</x:v>
      </x:c>
      <x:c r="F87" t="str">
        <x:v>CON</x:v>
      </x:c>
      <x:c r="G87" t="str">
        <x:v>DD capacité</x:v>
      </x:c>
      <x:c r="H87" t="n">
        <x:v>1</x:v>
      </x:c>
      <x:c r="I87" t="str">
        <x:v>Élément associé ; moitié sur réussite</x:v>
      </x:c>
      <x:c r="J87" t="n">
        <x:v>0</x:v>
      </x:c>
      <x:c r="K87" t="n">
        <x:v>0</x:v>
      </x:c>
      <x:c r="L87" s="54" t="n">
        <x:v>0.075</x:v>
      </x:c>
    </x:row>
    <x:row r="88">
      <x:c r="A88" t="str">
        <x:v>Dragon de métal|1</x:v>
      </x:c>
      <x:c r="B88" t="str">
        <x:v>Dragon de métal</x:v>
      </x:c>
      <x:c r="C88" t="str">
        <x:v>Écailles métalliques</x:v>
      </x:c>
      <x:c r="D88" t="str">
        <x:v>Passive</x:v>
      </x:c>
      <x:c r="E88" t="str"/>
      <x:c r="F88" t="str"/>
      <x:c r="G88" t="str"/>
      <x:c r="H88" t="n">
        <x:v>0</x:v>
      </x:c>
      <x:c r="I88" t="str">
        <x:v>+1 DEF</x:v>
      </x:c>
      <x:c r="J88" t="n">
        <x:v>1</x:v>
      </x:c>
      <x:c r="K88" t="n">
        <x:v>0</x:v>
      </x:c>
      <x:c r="L88" s="54" t="n">
        <x:v>0</x:v>
      </x:c>
    </x:row>
    <x:row r="89">
      <x:c r="A89" t="str">
        <x:v>Dragon de gemme|1</x:v>
      </x:c>
      <x:c r="B89" t="str">
        <x:v>Dragon de gemme</x:v>
      </x:c>
      <x:c r="C89" t="str">
        <x:v>Impulsion psychique</x:v>
      </x:c>
      <x:c r="D89" t="str">
        <x:v>Active</x:v>
      </x:c>
      <x:c r="E89" t="str">
        <x:v>Recharge 5-6</x:v>
      </x:c>
      <x:c r="F89" t="str">
        <x:v>SAG</x:v>
      </x:c>
      <x:c r="G89" t="str">
        <x:v>DD capacité</x:v>
      </x:c>
      <x:c r="H89" t="n">
        <x:v>1</x:v>
      </x:c>
      <x:c r="I89" t="str">
        <x:v>Dégâts Psychiques</x:v>
      </x:c>
      <x:c r="J89" t="n">
        <x:v>0</x:v>
      </x:c>
      <x:c r="K89" t="n">
        <x:v>0</x:v>
      </x:c>
      <x:c r="L89" s="54" t="n">
        <x:v>0.075</x:v>
      </x:c>
    </x:row>
    <x:row r="90">
      <x:c r="A90" t="str">
        <x:v>Dragon nécrotique|1</x:v>
      </x:c>
      <x:c r="B90" t="str">
        <x:v>Dragon nécrotique</x:v>
      </x:c>
      <x:c r="C90" t="str">
        <x:v>Souffle nécrotique</x:v>
      </x:c>
      <x:c r="D90" t="str">
        <x:v>Active</x:v>
      </x:c>
      <x:c r="E90" t="str">
        <x:v>Recharge 5-6</x:v>
      </x:c>
      <x:c r="F90" t="str">
        <x:v>CON</x:v>
      </x:c>
      <x:c r="G90" t="str">
        <x:v>DD capacité</x:v>
      </x:c>
      <x:c r="H90" t="n">
        <x:v>1</x:v>
      </x:c>
      <x:c r="I90" t="str">
        <x:v>Ombre ; moitié sur réussite</x:v>
      </x:c>
      <x:c r="J90" t="n">
        <x:v>0</x:v>
      </x:c>
      <x:c r="K90" t="n">
        <x:v>0</x:v>
      </x:c>
      <x:c r="L90" s="54" t="n">
        <x:v>0.075</x:v>
      </x:c>
    </x:row>
    <x:row r="91">
      <x:c r="A91" t="str">
        <x:v>Dragon primordial|1</x:v>
      </x:c>
      <x:c r="B91" t="str">
        <x:v>Dragon primordial</x:v>
      </x:c>
      <x:c r="C91" t="str">
        <x:v>Souffle primordial</x:v>
      </x:c>
      <x:c r="D91" t="str">
        <x:v>Active</x:v>
      </x:c>
      <x:c r="E91" t="str">
        <x:v>Recharge 5-6</x:v>
      </x:c>
      <x:c r="F91" t="str">
        <x:v>CON</x:v>
      </x:c>
      <x:c r="G91" t="str">
        <x:v>DD capacité</x:v>
      </x:c>
      <x:c r="H91" t="n">
        <x:v>1.5</x:v>
      </x:c>
      <x:c r="I91" t="str">
        <x:v>Grande zone ; moitié sur réussite</x:v>
      </x:c>
      <x:c r="J91" t="n">
        <x:v>0</x:v>
      </x:c>
      <x:c r="K91" t="n">
        <x:v>0</x:v>
      </x:c>
      <x:c r="L91" s="54" t="n">
        <x:v>0.1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8" max="8" width="40" hidden="0" customWidth="1"/>
  </x:cols>
  <x:sheetData>
    <x:row r="1">
      <x:c r="A1" s="36" t="str">
        <x:v>Nom</x:v>
      </x:c>
      <x:c r="B1" s="36" t="str">
        <x:v>Cout</x:v>
      </x:c>
      <x:c r="C1" s="36" t="str">
        <x:v>Categorie</x:v>
      </x:c>
      <x:c r="D1" s="36" t="str">
        <x:v>Usage</x:v>
      </x:c>
      <x:c r="E1" s="36" t="str">
        <x:v>Carac</x:v>
      </x:c>
      <x:c r="F1" s="36" t="str">
        <x:v>Resolution</x:v>
      </x:c>
      <x:c r="G1" s="36" t="str">
        <x:v>DM_mult</x:v>
      </x:c>
      <x:c r="H1" s="36" t="str">
        <x:v>Effet</x:v>
      </x:c>
      <x:c r="I1" s="58" t="str">
        <x:v>Danger_%</x:v>
      </x:c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t="str">
        <x:v>Attaque en meute</x:v>
      </x:c>
      <x:c r="B2" t="n">
        <x:v>1</x:v>
      </x:c>
      <x:c r="C2" t="str">
        <x:v>Passive</x:v>
      </x:c>
      <x:c r="D2" t="str">
        <x:v>Libre</x:v>
      </x:c>
      <x:c r="E2" t="str"/>
      <x:c r="F2" t="str">
        <x:v>Passif</x:v>
      </x:c>
      <x:c r="G2" t="n">
        <x:v>0</x:v>
      </x:c>
      <x:c r="H2" t="str">
        <x:v>+1 Toucher si allié menace la cible</x:v>
      </x:c>
      <x:c r="I2" s="54" t="n">
        <x:v>0.05</x:v>
      </x:c>
    </x:row>
    <x:row r="3">
      <x:c r="A3" t="str">
        <x:v>Charge</x:v>
      </x:c>
      <x:c r="B3" t="n">
        <x:v>1</x:v>
      </x:c>
      <x:c r="C3" t="str">
        <x:v>Attaque</x:v>
      </x:c>
      <x:c r="D3" t="str">
        <x:v>Libre</x:v>
      </x:c>
      <x:c r="E3" t="str">
        <x:v>FOR</x:v>
      </x:c>
      <x:c r="F3" t="str">
        <x:v>Attaque</x:v>
      </x:c>
      <x:c r="G3" t="n">
        <x:v>1.5</x:v>
      </x:c>
      <x:c r="H3" t="str">
        <x:v>+50% DM après déplacement en ligne droite</x:v>
      </x:c>
      <x:c r="I3" s="54" t="n">
        <x:v>0.05</x:v>
      </x:c>
    </x:row>
    <x:row r="4">
      <x:c r="A4" t="str">
        <x:v>Piqué</x:v>
      </x:c>
      <x:c r="B4" t="n">
        <x:v>1</x:v>
      </x:c>
      <x:c r="C4" t="str">
        <x:v>Attaque</x:v>
      </x:c>
      <x:c r="D4" t="str">
        <x:v>Libre</x:v>
      </x:c>
      <x:c r="E4" t="str">
        <x:v>DEX</x:v>
      </x:c>
      <x:c r="F4" t="str">
        <x:v>Attaque</x:v>
      </x:c>
      <x:c r="G4" t="n">
        <x:v>1.5</x:v>
      </x:c>
      <x:c r="H4" t="str">
        <x:v>+50% DM après déplacement en vol</x:v>
      </x:c>
      <x:c r="I4" s="54" t="n">
        <x:v>0.05</x:v>
      </x:c>
    </x:row>
    <x:row r="5">
      <x:c r="A5" t="str">
        <x:v>Frappe lourde</x:v>
      </x:c>
      <x:c r="B5" t="n">
        <x:v>1</x:v>
      </x:c>
      <x:c r="C5" t="str">
        <x:v>Attaque</x:v>
      </x:c>
      <x:c r="D5" t="str">
        <x:v>Libre</x:v>
      </x:c>
      <x:c r="E5" t="str">
        <x:v>FOR</x:v>
      </x:c>
      <x:c r="F5" t="str">
        <x:v>Attaque</x:v>
      </x:c>
      <x:c r="G5" t="n">
        <x:v>1.25</x:v>
      </x:c>
      <x:c r="H5" t="str">
        <x:v>Attaque renforcée</x:v>
      </x:c>
      <x:c r="I5" s="54" t="n">
        <x:v>0.05</x:v>
      </x:c>
    </x:row>
    <x:row r="6">
      <x:c r="A6" t="str">
        <x:v>Frappe précise</x:v>
      </x:c>
      <x:c r="B6" t="n">
        <x:v>1</x:v>
      </x:c>
      <x:c r="C6" t="str">
        <x:v>Attaque</x:v>
      </x:c>
      <x:c r="D6" t="str">
        <x:v>Libre</x:v>
      </x:c>
      <x:c r="E6" t="str">
        <x:v>DEX</x:v>
      </x:c>
      <x:c r="F6" t="str">
        <x:v>Attaque</x:v>
      </x:c>
      <x:c r="G6" t="n">
        <x:v>0.75</x:v>
      </x:c>
      <x:c r="H6" t="str">
        <x:v>+1 Toucher</x:v>
      </x:c>
      <x:c r="I6" s="54" t="n">
        <x:v>0.025</x:v>
      </x:c>
    </x:row>
    <x:row r="7">
      <x:c r="A7" t="str">
        <x:v>Balayage</x:v>
      </x:c>
      <x:c r="B7" t="n">
        <x:v>1</x:v>
      </x:c>
      <x:c r="C7" t="str">
        <x:v>Attaque</x:v>
      </x:c>
      <x:c r="D7" t="str">
        <x:v>Libre</x:v>
      </x:c>
      <x:c r="E7" t="str">
        <x:v>FOR</x:v>
      </x:c>
      <x:c r="F7" t="str">
        <x:v>Attaque</x:v>
      </x:c>
      <x:c r="G7" t="n">
        <x:v>0.75</x:v>
      </x:c>
      <x:c r="H7" t="str">
        <x:v>Seconde cible proche</x:v>
      </x:c>
      <x:c r="I7" s="54" t="n">
        <x:v>0.05</x:v>
      </x:c>
    </x:row>
    <x:row r="8">
      <x:c r="A8" t="str">
        <x:v>Venin</x:v>
      </x:c>
      <x:c r="B8" t="n">
        <x:v>1</x:v>
      </x:c>
      <x:c r="C8" t="str">
        <x:v>Attaque</x:v>
      </x:c>
      <x:c r="D8" t="str">
        <x:v>Libre</x:v>
      </x:c>
      <x:c r="E8" t="str">
        <x:v>CON</x:v>
      </x:c>
      <x:c r="F8" t="str">
        <x:v>DD capacité</x:v>
      </x:c>
      <x:c r="G8" t="n">
        <x:v>0.5</x:v>
      </x:c>
      <x:c r="H8" t="str">
        <x:v>Dégâts Toxiques additionnels</x:v>
      </x:c>
      <x:c r="I8" s="54" t="n">
        <x:v>0.05</x:v>
      </x:c>
    </x:row>
    <x:row r="9">
      <x:c r="A9" t="str">
        <x:v>Drain mineur</x:v>
      </x:c>
      <x:c r="B9" t="n">
        <x:v>1</x:v>
      </x:c>
      <x:c r="C9" t="str">
        <x:v>Attaque</x:v>
      </x:c>
      <x:c r="D9" t="str">
        <x:v>Libre</x:v>
      </x:c>
      <x:c r="E9" t="str">
        <x:v>CHA</x:v>
      </x:c>
      <x:c r="F9" t="str">
        <x:v>Attaque</x:v>
      </x:c>
      <x:c r="G9" t="n">
        <x:v>0.75</x:v>
      </x:c>
      <x:c r="H9" t="str">
        <x:v>Soigne 25% dégâts</x:v>
      </x:c>
      <x:c r="I9" s="54" t="n">
        <x:v>0.05</x:v>
      </x:c>
    </x:row>
    <x:row r="10">
      <x:c r="A10" t="str">
        <x:v>Renversement</x:v>
      </x:c>
      <x:c r="B10" t="n">
        <x:v>1</x:v>
      </x:c>
      <x:c r="C10" t="str">
        <x:v>Contrôle</x:v>
      </x:c>
      <x:c r="D10" t="str">
        <x:v>Libre</x:v>
      </x:c>
      <x:c r="E10" t="str">
        <x:v>FOR</x:v>
      </x:c>
      <x:c r="F10" t="str">
        <x:v>Test opposé</x:v>
      </x:c>
      <x:c r="G10" t="n">
        <x:v>1</x:v>
      </x:c>
      <x:c r="H10" t="str">
        <x:v>Renversé</x:v>
      </x:c>
      <x:c r="I10" s="54" t="n">
        <x:v>0.05</x:v>
      </x:c>
    </x:row>
    <x:row r="11">
      <x:c r="A11" t="str">
        <x:v>Agrippement</x:v>
      </x:c>
      <x:c r="B11" t="n">
        <x:v>1</x:v>
      </x:c>
      <x:c r="C11" t="str">
        <x:v>Contrôle</x:v>
      </x:c>
      <x:c r="D11" t="str">
        <x:v>Libre</x:v>
      </x:c>
      <x:c r="E11" t="str">
        <x:v>FOR</x:v>
      </x:c>
      <x:c r="F11" t="str">
        <x:v>Test opposé</x:v>
      </x:c>
      <x:c r="G11" t="n">
        <x:v>0</x:v>
      </x:c>
      <x:c r="H11" t="str">
        <x:v>Agrippé</x:v>
      </x:c>
      <x:c r="I11" s="54" t="n">
        <x:v>0.05</x:v>
      </x:c>
    </x:row>
    <x:row r="12">
      <x:c r="A12" t="str">
        <x:v>Entrave</x:v>
      </x:c>
      <x:c r="B12" t="n">
        <x:v>1</x:v>
      </x:c>
      <x:c r="C12" t="str">
        <x:v>Contrôle</x:v>
      </x:c>
      <x:c r="D12" t="str">
        <x:v>Libre</x:v>
      </x:c>
      <x:c r="E12" t="str">
        <x:v>DEX</x:v>
      </x:c>
      <x:c r="F12" t="str">
        <x:v>Test opposé</x:v>
      </x:c>
      <x:c r="G12" t="n">
        <x:v>0</x:v>
      </x:c>
      <x:c r="H12" t="str">
        <x:v>Entravé</x:v>
      </x:c>
      <x:c r="I12" s="54" t="n">
        <x:v>0.05</x:v>
      </x:c>
    </x:row>
    <x:row r="13">
      <x:c r="A13" t="str">
        <x:v>Toile</x:v>
      </x:c>
      <x:c r="B13" t="n">
        <x:v>1</x:v>
      </x:c>
      <x:c r="C13" t="str">
        <x:v>Contrôle</x:v>
      </x:c>
      <x:c r="D13" t="str">
        <x:v>Libre</x:v>
      </x:c>
      <x:c r="E13" t="str">
        <x:v>DEX</x:v>
      </x:c>
      <x:c r="F13" t="str">
        <x:v>Test opposé</x:v>
      </x:c>
      <x:c r="G13" t="n">
        <x:v>0</x:v>
      </x:c>
      <x:c r="H13" t="str">
        <x:v>Entravé à distance</x:v>
      </x:c>
      <x:c r="I13" s="54" t="n">
        <x:v>0.05</x:v>
      </x:c>
    </x:row>
    <x:row r="14">
      <x:c r="A14" t="str">
        <x:v>Projection</x:v>
      </x:c>
      <x:c r="B14" t="n">
        <x:v>1</x:v>
      </x:c>
      <x:c r="C14" t="str">
        <x:v>Contrôle</x:v>
      </x:c>
      <x:c r="D14" t="str">
        <x:v>Libre</x:v>
      </x:c>
      <x:c r="E14" t="str">
        <x:v>FOR</x:v>
      </x:c>
      <x:c r="F14" t="str">
        <x:v>Test opposé</x:v>
      </x:c>
      <x:c r="G14" t="n">
        <x:v>0.5</x:v>
      </x:c>
      <x:c r="H14" t="str">
        <x:v>Repousse</x:v>
      </x:c>
      <x:c r="I14" s="54" t="n">
        <x:v>0.05</x:v>
      </x:c>
    </x:row>
    <x:row r="15">
      <x:c r="A15" t="str">
        <x:v>Peur mineure</x:v>
      </x:c>
      <x:c r="B15" t="n">
        <x:v>1</x:v>
      </x:c>
      <x:c r="C15" t="str">
        <x:v>Contrôle</x:v>
      </x:c>
      <x:c r="D15" t="str">
        <x:v>Libre</x:v>
      </x:c>
      <x:c r="E15" t="str">
        <x:v>CHA</x:v>
      </x:c>
      <x:c r="F15" t="str">
        <x:v>DD capacité</x:v>
      </x:c>
      <x:c r="G15" t="n">
        <x:v>0</x:v>
      </x:c>
      <x:c r="H15" t="str">
        <x:v>Effrayé</x:v>
      </x:c>
      <x:c r="I15" s="54" t="n">
        <x:v>0.05</x:v>
      </x:c>
    </x:row>
    <x:row r="16">
      <x:c r="A16" t="str">
        <x:v>Bond</x:v>
      </x:c>
      <x:c r="B16" t="n">
        <x:v>1</x:v>
      </x:c>
      <x:c r="C16" t="str">
        <x:v>Mobilité</x:v>
      </x:c>
      <x:c r="D16" t="str">
        <x:v>1/tour</x:v>
      </x:c>
      <x:c r="E16" t="str">
        <x:v>DEX</x:v>
      </x:c>
      <x:c r="F16" t="str">
        <x:v>—</x:v>
      </x:c>
      <x:c r="G16" t="n">
        <x:v>0</x:v>
      </x:c>
      <x:c r="H16" t="str">
        <x:v>Déplacement amélioré</x:v>
      </x:c>
      <x:c r="I16" s="54" t="n">
        <x:v>0</x:v>
      </x:c>
    </x:row>
    <x:row r="17">
      <x:c r="A17" t="str">
        <x:v>Téléportation courte</x:v>
      </x:c>
      <x:c r="B17" t="n">
        <x:v>1</x:v>
      </x:c>
      <x:c r="C17" t="str">
        <x:v>Mobilité</x:v>
      </x:c>
      <x:c r="D17" t="str">
        <x:v>1/tour</x:v>
      </x:c>
      <x:c r="E17" t="str">
        <x:v>INT</x:v>
      </x:c>
      <x:c r="F17" t="str">
        <x:v>—</x:v>
      </x:c>
      <x:c r="G17" t="n">
        <x:v>0</x:v>
      </x:c>
      <x:c r="H17" t="str">
        <x:v>Déplacement instantané</x:v>
      </x:c>
      <x:c r="I17" s="54" t="n">
        <x:v>0</x:v>
      </x:c>
    </x:row>
    <x:row r="18">
      <x:c r="A18" t="str">
        <x:v>Repli mobile</x:v>
      </x:c>
      <x:c r="B18" t="n">
        <x:v>1</x:v>
      </x:c>
      <x:c r="C18" t="str">
        <x:v>Mobilité</x:v>
      </x:c>
      <x:c r="D18" t="str">
        <x:v>1/tour</x:v>
      </x:c>
      <x:c r="E18" t="str">
        <x:v>DEX</x:v>
      </x:c>
      <x:c r="F18" t="str">
        <x:v>—</x:v>
      </x:c>
      <x:c r="G18" t="n">
        <x:v>0</x:v>
      </x:c>
      <x:c r="H18" t="str">
        <x:v>Sans attaque d'opportunité</x:v>
      </x:c>
      <x:c r="I18" s="54" t="n">
        <x:v>0</x:v>
      </x:c>
    </x:row>
    <x:row r="19">
      <x:c r="A19" t="str">
        <x:v>Parade</x:v>
      </x:c>
      <x:c r="B19" t="n">
        <x:v>1</x:v>
      </x:c>
      <x:c r="C19" t="str">
        <x:v>Défense</x:v>
      </x:c>
      <x:c r="D19" t="str">
        <x:v>1/tour</x:v>
      </x:c>
      <x:c r="E19" t="str">
        <x:v>DEX</x:v>
      </x:c>
      <x:c r="F19" t="str">
        <x:v>Réaction</x:v>
      </x:c>
      <x:c r="G19" t="n">
        <x:v>0</x:v>
      </x:c>
      <x:c r="H19" t="str">
        <x:v>+2 DEF contre une attaque</x:v>
      </x:c>
      <x:c r="I19" s="54" t="n">
        <x:v>0.05</x:v>
      </x:c>
    </x:row>
    <x:row r="20">
      <x:c r="A20" t="str">
        <x:v>Régénération faible</x:v>
      </x:c>
      <x:c r="B20" t="n">
        <x:v>1</x:v>
      </x:c>
      <x:c r="C20" t="str">
        <x:v>Défense</x:v>
      </x:c>
      <x:c r="D20" t="str">
        <x:v>1/tour</x:v>
      </x:c>
      <x:c r="E20" t="str">
        <x:v>CON</x:v>
      </x:c>
      <x:c r="F20" t="str">
        <x:v>Passif</x:v>
      </x:c>
      <x:c r="G20" t="n">
        <x:v>0</x:v>
      </x:c>
      <x:c r="H20" t="str">
        <x:v>5% PV max/tour</x:v>
      </x:c>
      <x:c r="I20" s="54" t="n">
        <x:v>0.05</x:v>
      </x:c>
    </x:row>
    <x:row r="21">
      <x:c r="A21" t="str">
        <x:v>Aura mineure</x:v>
      </x:c>
      <x:c r="B21" t="n">
        <x:v>1</x:v>
      </x:c>
      <x:c r="C21" t="str">
        <x:v>Aura</x:v>
      </x:c>
      <x:c r="D21" t="str">
        <x:v>Libre</x:v>
      </x:c>
      <x:c r="E21" t="str">
        <x:v>CON</x:v>
      </x:c>
      <x:c r="F21" t="str">
        <x:v>DD capacité</x:v>
      </x:c>
      <x:c r="G21" t="n">
        <x:v>0.5</x:v>
      </x:c>
      <x:c r="H21" t="str">
        <x:v>Effet faible autour du monstre</x:v>
      </x:c>
      <x:c r="I21" s="54" t="n">
        <x:v>0.05</x:v>
      </x:c>
    </x:row>
    <x:row r="22">
      <x:c r="A22" t="str">
        <x:v>Multiattaque</x:v>
      </x:c>
      <x:c r="B22" t="n">
        <x:v>2</x:v>
      </x:c>
      <x:c r="C22" t="str">
        <x:v>Attaque</x:v>
      </x:c>
      <x:c r="D22" t="str">
        <x:v>Libre</x:v>
      </x:c>
      <x:c r="E22" t="str"/>
      <x:c r="F22" t="str">
        <x:v>Attaques</x:v>
      </x:c>
      <x:c r="G22" t="n">
        <x:v>0</x:v>
      </x:c>
      <x:c r="H22" t="str">
        <x:v>Plusieurs attaques/action</x:v>
      </x:c>
      <x:c r="I22" s="54" t="n">
        <x:v>0.1</x:v>
      </x:c>
    </x:row>
    <x:row r="23">
      <x:c r="A23" t="str">
        <x:v>Souffle</x:v>
      </x:c>
      <x:c r="B23" t="n">
        <x:v>2</x:v>
      </x:c>
      <x:c r="C23" t="str">
        <x:v>Attaque</x:v>
      </x:c>
      <x:c r="D23" t="str">
        <x:v>Recharge 5-6</x:v>
      </x:c>
      <x:c r="E23" t="str">
        <x:v>CON</x:v>
      </x:c>
      <x:c r="F23" t="str">
        <x:v>DD capacité</x:v>
      </x:c>
      <x:c r="G23" t="n">
        <x:v>1</x:v>
      </x:c>
      <x:c r="H23" t="str">
        <x:v>Zone ; moitié sur réussite</x:v>
      </x:c>
      <x:c r="I23" s="54" t="n">
        <x:v>0.1</x:v>
      </x:c>
    </x:row>
    <x:row r="24">
      <x:c r="A24" t="str">
        <x:v>Onde de choc</x:v>
      </x:c>
      <x:c r="B24" t="n">
        <x:v>2</x:v>
      </x:c>
      <x:c r="C24" t="str">
        <x:v>Attaque</x:v>
      </x:c>
      <x:c r="D24" t="str">
        <x:v>Recharge 5-6</x:v>
      </x:c>
      <x:c r="E24" t="str">
        <x:v>FOR</x:v>
      </x:c>
      <x:c r="F24" t="str">
        <x:v>DD capacité</x:v>
      </x:c>
      <x:c r="G24" t="n">
        <x:v>0.75</x:v>
      </x:c>
      <x:c r="H24" t="str">
        <x:v>Zone + Renversé</x:v>
      </x:c>
      <x:c r="I24" s="54" t="n">
        <x:v>0.1</x:v>
      </x:c>
    </x:row>
    <x:row r="25">
      <x:c r="A25" t="str">
        <x:v>Explosion élémentaire</x:v>
      </x:c>
      <x:c r="B25" t="n">
        <x:v>2</x:v>
      </x:c>
      <x:c r="C25" t="str">
        <x:v>Attaque</x:v>
      </x:c>
      <x:c r="D25" t="str">
        <x:v>Recharge 5-6</x:v>
      </x:c>
      <x:c r="E25" t="str">
        <x:v>INT</x:v>
      </x:c>
      <x:c r="F25" t="str">
        <x:v>DD capacité</x:v>
      </x:c>
      <x:c r="G25" t="n">
        <x:v>0.75</x:v>
      </x:c>
      <x:c r="H25" t="str">
        <x:v>Zone élémentaire</x:v>
      </x:c>
      <x:c r="I25" s="54" t="n">
        <x:v>0.1</x:v>
      </x:c>
    </x:row>
    <x:row r="26">
      <x:c r="A26" t="str">
        <x:v>Frappe dévastatrice</x:v>
      </x:c>
      <x:c r="B26" t="n">
        <x:v>2</x:v>
      </x:c>
      <x:c r="C26" t="str">
        <x:v>Attaque</x:v>
      </x:c>
      <x:c r="D26" t="str">
        <x:v>1/combat</x:v>
      </x:c>
      <x:c r="E26" t="str">
        <x:v>FOR</x:v>
      </x:c>
      <x:c r="F26" t="str">
        <x:v>Attaque</x:v>
      </x:c>
      <x:c r="G26" t="n">
        <x:v>1.5</x:v>
      </x:c>
      <x:c r="H26" t="str">
        <x:v>Attaque majeure</x:v>
      </x:c>
      <x:c r="I26" s="54" t="n">
        <x:v>0.075</x:v>
      </x:c>
    </x:row>
    <x:row r="27">
      <x:c r="A27" t="str">
        <x:v>Drain vital majeur</x:v>
      </x:c>
      <x:c r="B27" t="n">
        <x:v>2</x:v>
      </x:c>
      <x:c r="C27" t="str">
        <x:v>Attaque</x:v>
      </x:c>
      <x:c r="D27" t="str">
        <x:v>Recharge 5-6</x:v>
      </x:c>
      <x:c r="E27" t="str">
        <x:v>CHA</x:v>
      </x:c>
      <x:c r="F27" t="str">
        <x:v>Attaque</x:v>
      </x:c>
      <x:c r="G27" t="n">
        <x:v>1</x:v>
      </x:c>
      <x:c r="H27" t="str">
        <x:v>Soigne 50% dégâts</x:v>
      </x:c>
      <x:c r="I27" s="54" t="n">
        <x:v>0.1</x:v>
      </x:c>
    </x:row>
    <x:row r="28">
      <x:c r="A28" t="str">
        <x:v>Étourdissement</x:v>
      </x:c>
      <x:c r="B28" t="n">
        <x:v>2</x:v>
      </x:c>
      <x:c r="C28" t="str">
        <x:v>Contrôle</x:v>
      </x:c>
      <x:c r="D28" t="str">
        <x:v>1/combat</x:v>
      </x:c>
      <x:c r="E28" t="str">
        <x:v>CON</x:v>
      </x:c>
      <x:c r="F28" t="str">
        <x:v>DD capacité</x:v>
      </x:c>
      <x:c r="G28" t="n">
        <x:v>1</x:v>
      </x:c>
      <x:c r="H28" t="str">
        <x:v>Étourdi</x:v>
      </x:c>
      <x:c r="I28" s="54" t="n">
        <x:v>0.1</x:v>
      </x:c>
    </x:row>
    <x:row r="29">
      <x:c r="A29" t="str">
        <x:v>Paralysie</x:v>
      </x:c>
      <x:c r="B29" t="n">
        <x:v>2</x:v>
      </x:c>
      <x:c r="C29" t="str">
        <x:v>Contrôle</x:v>
      </x:c>
      <x:c r="D29" t="str">
        <x:v>1/combat</x:v>
      </x:c>
      <x:c r="E29" t="str">
        <x:v>CON</x:v>
      </x:c>
      <x:c r="F29" t="str">
        <x:v>DD capacité</x:v>
      </x:c>
      <x:c r="G29" t="n">
        <x:v>0</x:v>
      </x:c>
      <x:c r="H29" t="str">
        <x:v>Paralysé</x:v>
      </x:c>
      <x:c r="I29" s="54" t="n">
        <x:v>0.1</x:v>
      </x:c>
    </x:row>
    <x:row r="30">
      <x:c r="A30" t="str">
        <x:v>Engloutissement</x:v>
      </x:c>
      <x:c r="B30" t="n">
        <x:v>2</x:v>
      </x:c>
      <x:c r="C30" t="str">
        <x:v>Contrôle</x:v>
      </x:c>
      <x:c r="D30" t="str">
        <x:v>Libre</x:v>
      </x:c>
      <x:c r="E30" t="str">
        <x:v>FOR</x:v>
      </x:c>
      <x:c r="F30" t="str">
        <x:v>Test opposé</x:v>
      </x:c>
      <x:c r="G30" t="n">
        <x:v>1</x:v>
      </x:c>
      <x:c r="H30" t="str">
        <x:v>Englouti</x:v>
      </x:c>
      <x:c r="I30" s="54" t="n">
        <x:v>0.1</x:v>
      </x:c>
    </x:row>
    <x:row r="31">
      <x:c r="A31" t="str">
        <x:v>Aura de terreur</x:v>
      </x:c>
      <x:c r="B31" t="n">
        <x:v>2</x:v>
      </x:c>
      <x:c r="C31" t="str">
        <x:v>Aura</x:v>
      </x:c>
      <x:c r="D31" t="str">
        <x:v>Libre</x:v>
      </x:c>
      <x:c r="E31" t="str">
        <x:v>CHA</x:v>
      </x:c>
      <x:c r="F31" t="str">
        <x:v>DD capacité</x:v>
      </x:c>
      <x:c r="G31" t="n">
        <x:v>0</x:v>
      </x:c>
      <x:c r="H31" t="str">
        <x:v>Effrayé en zone</x:v>
      </x:c>
      <x:c r="I31" s="54" t="n">
        <x:v>0.1</x:v>
      </x:c>
    </x:row>
    <x:row r="32">
      <x:c r="A32" t="str">
        <x:v>Régénération forte</x:v>
      </x:c>
      <x:c r="B32" t="n">
        <x:v>2</x:v>
      </x:c>
      <x:c r="C32" t="str">
        <x:v>Défense</x:v>
      </x:c>
      <x:c r="D32" t="str">
        <x:v>1/tour</x:v>
      </x:c>
      <x:c r="E32" t="str">
        <x:v>CON</x:v>
      </x:c>
      <x:c r="F32" t="str">
        <x:v>Passif</x:v>
      </x:c>
      <x:c r="G32" t="n">
        <x:v>0</x:v>
      </x:c>
      <x:c r="H32" t="str">
        <x:v>10% PV max/tour</x:v>
      </x:c>
      <x:c r="I32" s="54" t="n">
        <x:v>0.1</x:v>
      </x:c>
    </x:row>
    <x:row r="33">
      <x:c r="A33" t="str">
        <x:v>Résistance légendaire</x:v>
      </x:c>
      <x:c r="B33" t="n">
        <x:v>2</x:v>
      </x:c>
      <x:c r="C33" t="str">
        <x:v>Défense</x:v>
      </x:c>
      <x:c r="D33" t="str">
        <x:v>1/combat</x:v>
      </x:c>
      <x:c r="E33" t="str"/>
      <x:c r="F33" t="str">
        <x:v>Réaction</x:v>
      </x:c>
      <x:c r="G33" t="n">
        <x:v>0</x:v>
      </x:c>
      <x:c r="H33" t="str">
        <x:v>Ignore un effet</x:v>
      </x:c>
      <x:c r="I33" s="54" t="n">
        <x:v>0.1</x:v>
      </x:c>
    </x:row>
    <x:row r="34">
      <x:c r="A34" t="str">
        <x:v>Action de boss</x:v>
      </x:c>
      <x:c r="B34" t="n">
        <x:v>2</x:v>
      </x:c>
      <x:c r="C34" t="str">
        <x:v>Boss</x:v>
      </x:c>
      <x:c r="D34" t="str">
        <x:v>1/tour</x:v>
      </x:c>
      <x:c r="E34" t="str"/>
      <x:c r="F34" t="str">
        <x:v>Hors tour</x:v>
      </x:c>
      <x:c r="G34" t="n">
        <x:v>0</x:v>
      </x:c>
      <x:c r="H34" t="str">
        <x:v>Capacité mineure hors tour</x:v>
      </x:c>
      <x:c r="I34" s="54" t="n">
        <x:v>0.15</x:v>
      </x:c>
    </x:row>
    <x:row r="35">
      <x:c r="A35" t="str">
        <x:v>Réaction offensive</x:v>
      </x:c>
      <x:c r="B35" t="n">
        <x:v>2</x:v>
      </x:c>
      <x:c r="C35" t="str">
        <x:v>Boss</x:v>
      </x:c>
      <x:c r="D35" t="str">
        <x:v>1/tour</x:v>
      </x:c>
      <x:c r="E35" t="str">
        <x:v>FOR</x:v>
      </x:c>
      <x:c r="F35" t="str">
        <x:v>Réaction</x:v>
      </x:c>
      <x:c r="G35" t="n">
        <x:v>1</x:v>
      </x:c>
      <x:c r="H35" t="str">
        <x:v>Attaque hors tour</x:v>
      </x:c>
      <x:c r="I35" s="54" t="n">
        <x:v>0.1</x:v>
      </x:c>
    </x:row>
    <x:row r="36">
      <x:c r="A36" t="str">
        <x:v>Invocation</x:v>
      </x:c>
      <x:c r="B36" t="n">
        <x:v>2</x:v>
      </x:c>
      <x:c r="C36" t="str">
        <x:v>Boss</x:v>
      </x:c>
      <x:c r="D36" t="str">
        <x:v>1/combat</x:v>
      </x:c>
      <x:c r="E36" t="str">
        <x:v>CHA</x:v>
      </x:c>
      <x:c r="F36" t="str">
        <x:v>—</x:v>
      </x:c>
      <x:c r="G36" t="n">
        <x:v>0</x:v>
      </x:c>
      <x:c r="H36" t="str">
        <x:v>Invoque des sbires</x:v>
      </x:c>
      <x:c r="I36" s="54" t="n">
        <x:v>0.15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9" max="9" width="38" hidden="0" customWidth="1"/>
  </x:cols>
  <x:sheetData>
    <x:row r="1">
      <x:c r="A1" s="36" t="str">
        <x:v>Nom</x:v>
      </x:c>
      <x:c r="B1" s="36" t="str">
        <x:v>Rang</x:v>
      </x:c>
      <x:c r="C1" s="36" t="str">
        <x:v>Cout</x:v>
      </x:c>
      <x:c r="D1" s="36" t="str">
        <x:v>Type</x:v>
      </x:c>
      <x:c r="E1" s="36" t="str">
        <x:v>Carac</x:v>
      </x:c>
      <x:c r="F1" s="36" t="str">
        <x:v>Portee</x:v>
      </x:c>
      <x:c r="G1" s="36" t="str">
        <x:v>Resolution</x:v>
      </x:c>
      <x:c r="H1" s="36" t="str">
        <x:v>DM_mult</x:v>
      </x:c>
      <x:c r="I1" s="36" t="str">
        <x:v>Effet</x:v>
      </x:c>
      <x:c r="J1" s="36" t="str">
        <x:v>Usage</x:v>
      </x:c>
      <x:c r="K1" s="58" t="str">
        <x:v>Danger_%</x:v>
      </x:c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t="str">
        <x:v>Projectile magique</x:v>
      </x:c>
      <x:c r="B2" t="n">
        <x:v>1</x:v>
      </x:c>
      <x:c r="C2" t="n">
        <x:v>1</x:v>
      </x:c>
      <x:c r="D2" t="str">
        <x:v>Offensif</x:v>
      </x:c>
      <x:c r="E2" t="str">
        <x:v>INT</x:v>
      </x:c>
      <x:c r="F2" t="str">
        <x:v>Moyenne</x:v>
      </x:c>
      <x:c r="G2" t="str">
        <x:v>Attaque</x:v>
      </x:c>
      <x:c r="H2" t="n">
        <x:v>0.75</x:v>
      </x:c>
      <x:c r="I2" t="str">
        <x:v>—</x:v>
      </x:c>
      <x:c r="J2" t="str">
        <x:v>Libre</x:v>
      </x:c>
      <x:c r="K2" s="54" t="n">
        <x:v>0.05</x:v>
      </x:c>
    </x:row>
    <x:row r="3">
      <x:c r="A3" t="str">
        <x:v>Trait élémentaire</x:v>
      </x:c>
      <x:c r="B3" t="n">
        <x:v>1</x:v>
      </x:c>
      <x:c r="C3" t="n">
        <x:v>1</x:v>
      </x:c>
      <x:c r="D3" t="str">
        <x:v>Offensif</x:v>
      </x:c>
      <x:c r="E3" t="str">
        <x:v>INT</x:v>
      </x:c>
      <x:c r="F3" t="str">
        <x:v>Moyenne</x:v>
      </x:c>
      <x:c r="G3" t="str">
        <x:v>Attaque</x:v>
      </x:c>
      <x:c r="H3" t="n">
        <x:v>1</x:v>
      </x:c>
      <x:c r="I3" t="str">
        <x:v>Élément choisi</x:v>
      </x:c>
      <x:c r="J3" t="str">
        <x:v>Libre</x:v>
      </x:c>
      <x:c r="K3" s="54" t="n">
        <x:v>0.05</x:v>
      </x:c>
    </x:row>
    <x:row r="4">
      <x:c r="A4" t="str">
        <x:v>Rayon de force</x:v>
      </x:c>
      <x:c r="B4" t="n">
        <x:v>1</x:v>
      </x:c>
      <x:c r="C4" t="n">
        <x:v>1</x:v>
      </x:c>
      <x:c r="D4" t="str">
        <x:v>Offensif</x:v>
      </x:c>
      <x:c r="E4" t="str">
        <x:v>INT</x:v>
      </x:c>
      <x:c r="F4" t="str">
        <x:v>Longue</x:v>
      </x:c>
      <x:c r="G4" t="str">
        <x:v>Attaque</x:v>
      </x:c>
      <x:c r="H4" t="n">
        <x:v>1</x:v>
      </x:c>
      <x:c r="I4" t="str">
        <x:v>Force</x:v>
      </x:c>
      <x:c r="J4" t="str">
        <x:v>Libre</x:v>
      </x:c>
      <x:c r="K4" s="54" t="n">
        <x:v>0.05</x:v>
      </x:c>
    </x:row>
    <x:row r="5">
      <x:c r="A5" t="str">
        <x:v>Onde élémentaire</x:v>
      </x:c>
      <x:c r="B5" t="n">
        <x:v>1</x:v>
      </x:c>
      <x:c r="C5" t="n">
        <x:v>1</x:v>
      </x:c>
      <x:c r="D5" t="str">
        <x:v>Offensif</x:v>
      </x:c>
      <x:c r="E5" t="str">
        <x:v>CON</x:v>
      </x:c>
      <x:c r="F5" t="str">
        <x:v>Courte</x:v>
      </x:c>
      <x:c r="G5" t="str">
        <x:v>DD capacité</x:v>
      </x:c>
      <x:c r="H5" t="n">
        <x:v>0.75</x:v>
      </x:c>
      <x:c r="I5" t="str">
        <x:v>Petite zone élémentaire</x:v>
      </x:c>
      <x:c r="J5" t="str">
        <x:v>Recharge 5-6</x:v>
      </x:c>
      <x:c r="K5" s="54" t="n">
        <x:v>0.05</x:v>
      </x:c>
    </x:row>
    <x:row r="6">
      <x:c r="A6" t="str">
        <x:v>Entrave magique</x:v>
      </x:c>
      <x:c r="B6" t="n">
        <x:v>1</x:v>
      </x:c>
      <x:c r="C6" t="n">
        <x:v>1</x:v>
      </x:c>
      <x:c r="D6" t="str">
        <x:v>Contrôle</x:v>
      </x:c>
      <x:c r="E6" t="str">
        <x:v>INT</x:v>
      </x:c>
      <x:c r="F6" t="str">
        <x:v>Moyenne</x:v>
      </x:c>
      <x:c r="G6" t="str">
        <x:v>DD capacité</x:v>
      </x:c>
      <x:c r="H6" t="n">
        <x:v>0</x:v>
      </x:c>
      <x:c r="I6" t="str">
        <x:v>Entravé</x:v>
      </x:c>
      <x:c r="J6" t="str">
        <x:v>Libre</x:v>
      </x:c>
      <x:c r="K6" s="54" t="n">
        <x:v>0.05</x:v>
      </x:c>
    </x:row>
    <x:row r="7">
      <x:c r="A7" t="str">
        <x:v>Peur</x:v>
      </x:c>
      <x:c r="B7" t="n">
        <x:v>1</x:v>
      </x:c>
      <x:c r="C7" t="n">
        <x:v>1</x:v>
      </x:c>
      <x:c r="D7" t="str">
        <x:v>Contrôle</x:v>
      </x:c>
      <x:c r="E7" t="str">
        <x:v>CHA</x:v>
      </x:c>
      <x:c r="F7" t="str">
        <x:v>Moyenne</x:v>
      </x:c>
      <x:c r="G7" t="str">
        <x:v>DD capacité</x:v>
      </x:c>
      <x:c r="H7" t="n">
        <x:v>0</x:v>
      </x:c>
      <x:c r="I7" t="str">
        <x:v>Effrayé</x:v>
      </x:c>
      <x:c r="J7" t="str">
        <x:v>Libre</x:v>
      </x:c>
      <x:c r="K7" s="54" t="n">
        <x:v>0.05</x:v>
      </x:c>
    </x:row>
    <x:row r="8">
      <x:c r="A8" t="str">
        <x:v>Bouclier magique</x:v>
      </x:c>
      <x:c r="B8" t="n">
        <x:v>1</x:v>
      </x:c>
      <x:c r="C8" t="n">
        <x:v>1</x:v>
      </x:c>
      <x:c r="D8" t="str">
        <x:v>Défense</x:v>
      </x:c>
      <x:c r="E8" t="str">
        <x:v>INT</x:v>
      </x:c>
      <x:c r="F8" t="str">
        <x:v>Soi</x:v>
      </x:c>
      <x:c r="G8" t="str">
        <x:v>Réaction</x:v>
      </x:c>
      <x:c r="H8" t="n">
        <x:v>0</x:v>
      </x:c>
      <x:c r="I8" t="str">
        <x:v>+2 DEF contre une attaque</x:v>
      </x:c>
      <x:c r="J8" t="str">
        <x:v>1/tour</x:v>
      </x:c>
      <x:c r="K8" s="54" t="n">
        <x:v>0.05</x:v>
      </x:c>
    </x:row>
    <x:row r="9">
      <x:c r="A9" t="str">
        <x:v>Téléportation courte</x:v>
      </x:c>
      <x:c r="B9" t="n">
        <x:v>1</x:v>
      </x:c>
      <x:c r="C9" t="n">
        <x:v>1</x:v>
      </x:c>
      <x:c r="D9" t="str">
        <x:v>Mobilité</x:v>
      </x:c>
      <x:c r="E9" t="str">
        <x:v>INT</x:v>
      </x:c>
      <x:c r="F9" t="str">
        <x:v>Soi</x:v>
      </x:c>
      <x:c r="G9" t="str">
        <x:v>—</x:v>
      </x:c>
      <x:c r="H9" t="n">
        <x:v>0</x:v>
      </x:c>
      <x:c r="I9" t="str">
        <x:v>Déplacement instantané</x:v>
      </x:c>
      <x:c r="J9" t="str">
        <x:v>1/tour</x:v>
      </x:c>
      <x:c r="K9" s="54" t="n">
        <x:v>0</x:v>
      </x:c>
    </x:row>
    <x:row r="10">
      <x:c r="A10" t="str">
        <x:v>Illusion mineure</x:v>
      </x:c>
      <x:c r="B10" t="n">
        <x:v>1</x:v>
      </x:c>
      <x:c r="C10" t="n">
        <x:v>1</x:v>
      </x:c>
      <x:c r="D10" t="str">
        <x:v>Utilitaire</x:v>
      </x:c>
      <x:c r="E10" t="str">
        <x:v>INT</x:v>
      </x:c>
      <x:c r="F10" t="str">
        <x:v>Moyenne</x:v>
      </x:c>
      <x:c r="G10" t="str">
        <x:v>DD capacité</x:v>
      </x:c>
      <x:c r="H10" t="n">
        <x:v>0</x:v>
      </x:c>
      <x:c r="I10" t="str">
        <x:v>Illusion simple</x:v>
      </x:c>
      <x:c r="J10" t="str">
        <x:v>Libre</x:v>
      </x:c>
      <x:c r="K10" s="54" t="n">
        <x:v>0.025</x:v>
      </x:c>
    </x:row>
    <x:row r="11">
      <x:c r="A11" t="str">
        <x:v>Soin mineur</x:v>
      </x:c>
      <x:c r="B11" t="n">
        <x:v>1</x:v>
      </x:c>
      <x:c r="C11" t="n">
        <x:v>1</x:v>
      </x:c>
      <x:c r="D11" t="str">
        <x:v>Soutien</x:v>
      </x:c>
      <x:c r="E11" t="str">
        <x:v>SAG</x:v>
      </x:c>
      <x:c r="F11" t="str">
        <x:v>Courte</x:v>
      </x:c>
      <x:c r="G11" t="str">
        <x:v>—</x:v>
      </x:c>
      <x:c r="H11" t="n">
        <x:v>0</x:v>
      </x:c>
      <x:c r="I11" t="str">
        <x:v>Soigne 10% PV max</x:v>
      </x:c>
      <x:c r="J11" t="str">
        <x:v>Recharge 5-6</x:v>
      </x:c>
      <x:c r="K11" s="54" t="n">
        <x:v>0.05</x:v>
      </x:c>
    </x:row>
    <x:row r="12">
      <x:c r="A12" t="str">
        <x:v>Explosion élémentaire</x:v>
      </x:c>
      <x:c r="B12" t="n">
        <x:v>2</x:v>
      </x:c>
      <x:c r="C12" t="n">
        <x:v>2</x:v>
      </x:c>
      <x:c r="D12" t="str">
        <x:v>Offensif</x:v>
      </x:c>
      <x:c r="E12" t="str">
        <x:v>INT</x:v>
      </x:c>
      <x:c r="F12" t="str">
        <x:v>Moyenne</x:v>
      </x:c>
      <x:c r="G12" t="str">
        <x:v>DD capacité</x:v>
      </x:c>
      <x:c r="H12" t="n">
        <x:v>0.75</x:v>
      </x:c>
      <x:c r="I12" t="str">
        <x:v>Zone élémentaire ; moitié réussite</x:v>
      </x:c>
      <x:c r="J12" t="str">
        <x:v>Recharge 5-6</x:v>
      </x:c>
      <x:c r="K12" s="54" t="n">
        <x:v>0.1</x:v>
      </x:c>
    </x:row>
    <x:row r="13">
      <x:c r="A13" t="str">
        <x:v>Éclair en ligne</x:v>
      </x:c>
      <x:c r="B13" t="n">
        <x:v>2</x:v>
      </x:c>
      <x:c r="C13" t="n">
        <x:v>2</x:v>
      </x:c>
      <x:c r="D13" t="str">
        <x:v>Offensif</x:v>
      </x:c>
      <x:c r="E13" t="str">
        <x:v>INT</x:v>
      </x:c>
      <x:c r="F13" t="str">
        <x:v>Longue</x:v>
      </x:c>
      <x:c r="G13" t="str">
        <x:v>DD capacité</x:v>
      </x:c>
      <x:c r="H13" t="n">
        <x:v>1</x:v>
      </x:c>
      <x:c r="I13" t="str">
        <x:v>Air ; moitié réussite</x:v>
      </x:c>
      <x:c r="J13" t="str">
        <x:v>Recharge 5-6</x:v>
      </x:c>
      <x:c r="K13" s="54" t="n">
        <x:v>0.1</x:v>
      </x:c>
    </x:row>
    <x:row r="14">
      <x:c r="A14" t="str">
        <x:v>Rayon d'ombre</x:v>
      </x:c>
      <x:c r="B14" t="n">
        <x:v>2</x:v>
      </x:c>
      <x:c r="C14" t="n">
        <x:v>1</x:v>
      </x:c>
      <x:c r="D14" t="str">
        <x:v>Offensif</x:v>
      </x:c>
      <x:c r="E14" t="str">
        <x:v>CHA</x:v>
      </x:c>
      <x:c r="F14" t="str">
        <x:v>Moyenne</x:v>
      </x:c>
      <x:c r="G14" t="str">
        <x:v>Attaque</x:v>
      </x:c>
      <x:c r="H14" t="n">
        <x:v>1</x:v>
      </x:c>
      <x:c r="I14" t="str">
        <x:v>Ombre</x:v>
      </x:c>
      <x:c r="J14" t="str">
        <x:v>Libre</x:v>
      </x:c>
      <x:c r="K14" s="54" t="n">
        <x:v>0.05</x:v>
      </x:c>
    </x:row>
    <x:row r="15">
      <x:c r="A15" t="str">
        <x:v>Rayon de lumière</x:v>
      </x:c>
      <x:c r="B15" t="n">
        <x:v>2</x:v>
      </x:c>
      <x:c r="C15" t="n">
        <x:v>1</x:v>
      </x:c>
      <x:c r="D15" t="str">
        <x:v>Offensif</x:v>
      </x:c>
      <x:c r="E15" t="str">
        <x:v>SAG</x:v>
      </x:c>
      <x:c r="F15" t="str">
        <x:v>Moyenne</x:v>
      </x:c>
      <x:c r="G15" t="str">
        <x:v>Attaque</x:v>
      </x:c>
      <x:c r="H15" t="n">
        <x:v>1</x:v>
      </x:c>
      <x:c r="I15" t="str">
        <x:v>Lumière</x:v>
      </x:c>
      <x:c r="J15" t="str">
        <x:v>Libre</x:v>
      </x:c>
      <x:c r="K15" s="54" t="n">
        <x:v>0.05</x:v>
      </x:c>
    </x:row>
    <x:row r="16">
      <x:c r="A16" t="str">
        <x:v>Silence</x:v>
      </x:c>
      <x:c r="B16" t="n">
        <x:v>2</x:v>
      </x:c>
      <x:c r="C16" t="n">
        <x:v>1</x:v>
      </x:c>
      <x:c r="D16" t="str">
        <x:v>Contrôle</x:v>
      </x:c>
      <x:c r="E16" t="str">
        <x:v>SAG</x:v>
      </x:c>
      <x:c r="F16" t="str">
        <x:v>Moyenne</x:v>
      </x:c>
      <x:c r="G16" t="str">
        <x:v>DD capacité</x:v>
      </x:c>
      <x:c r="H16" t="n">
        <x:v>0</x:v>
      </x:c>
      <x:c r="I16" t="str">
        <x:v>Silencieux en zone</x:v>
      </x:c>
      <x:c r="J16" t="str">
        <x:v>Recharge 5-6</x:v>
      </x:c>
      <x:c r="K16" s="54" t="n">
        <x:v>0.075</x:v>
      </x:c>
    </x:row>
    <x:row r="17">
      <x:c r="A17" t="str">
        <x:v>Charme</x:v>
      </x:c>
      <x:c r="B17" t="n">
        <x:v>2</x:v>
      </x:c>
      <x:c r="C17" t="n">
        <x:v>1</x:v>
      </x:c>
      <x:c r="D17" t="str">
        <x:v>Contrôle</x:v>
      </x:c>
      <x:c r="E17" t="str">
        <x:v>CHA</x:v>
      </x:c>
      <x:c r="F17" t="str">
        <x:v>Moyenne</x:v>
      </x:c>
      <x:c r="G17" t="str">
        <x:v>DD capacité</x:v>
      </x:c>
      <x:c r="H17" t="n">
        <x:v>0</x:v>
      </x:c>
      <x:c r="I17" t="str">
        <x:v>Charmé</x:v>
      </x:c>
      <x:c r="J17" t="str">
        <x:v>1/combat</x:v>
      </x:c>
      <x:c r="K17" s="54" t="n">
        <x:v>0.075</x:v>
      </x:c>
    </x:row>
    <x:row r="18">
      <x:c r="A18" t="str">
        <x:v>Invisibilité</x:v>
      </x:c>
      <x:c r="B18" t="n">
        <x:v>2</x:v>
      </x:c>
      <x:c r="C18" t="n">
        <x:v>1</x:v>
      </x:c>
      <x:c r="D18" t="str">
        <x:v>Défense</x:v>
      </x:c>
      <x:c r="E18" t="str">
        <x:v>INT</x:v>
      </x:c>
      <x:c r="F18" t="str">
        <x:v>Soi</x:v>
      </x:c>
      <x:c r="G18" t="str">
        <x:v>—</x:v>
      </x:c>
      <x:c r="H18" t="n">
        <x:v>0</x:v>
      </x:c>
      <x:c r="I18" t="str">
        <x:v>Invisible</x:v>
      </x:c>
      <x:c r="J18" t="str">
        <x:v>1/combat</x:v>
      </x:c>
      <x:c r="K18" s="54" t="n">
        <x:v>0.05</x:v>
      </x:c>
    </x:row>
    <x:row r="19">
      <x:c r="A19" t="str">
        <x:v>Soin majeur</x:v>
      </x:c>
      <x:c r="B19" t="n">
        <x:v>3</x:v>
      </x:c>
      <x:c r="C19" t="n">
        <x:v>2</x:v>
      </x:c>
      <x:c r="D19" t="str">
        <x:v>Soutien</x:v>
      </x:c>
      <x:c r="E19" t="str">
        <x:v>SAG</x:v>
      </x:c>
      <x:c r="F19" t="str">
        <x:v>Moyenne</x:v>
      </x:c>
      <x:c r="G19" t="str">
        <x:v>—</x:v>
      </x:c>
      <x:c r="H19" t="n">
        <x:v>0</x:v>
      </x:c>
      <x:c r="I19" t="str">
        <x:v>Soigne 20% PV max</x:v>
      </x:c>
      <x:c r="J19" t="str">
        <x:v>1/combat</x:v>
      </x:c>
      <x:c r="K19" s="54" t="n">
        <x:v>0.1</x:v>
      </x:c>
    </x:row>
    <x:row r="20">
      <x:c r="A20" t="str">
        <x:v>Confusion</x:v>
      </x:c>
      <x:c r="B20" t="n">
        <x:v>3</x:v>
      </x:c>
      <x:c r="C20" t="n">
        <x:v>2</x:v>
      </x:c>
      <x:c r="D20" t="str">
        <x:v>Contrôle</x:v>
      </x:c>
      <x:c r="E20" t="str">
        <x:v>CHA</x:v>
      </x:c>
      <x:c r="F20" t="str">
        <x:v>Moyenne</x:v>
      </x:c>
      <x:c r="G20" t="str">
        <x:v>DD capacité</x:v>
      </x:c>
      <x:c r="H20" t="n">
        <x:v>0</x:v>
      </x:c>
      <x:c r="I20" t="str">
        <x:v>Confus en zone</x:v>
      </x:c>
      <x:c r="J20" t="str">
        <x:v>1/combat</x:v>
      </x:c>
      <x:c r="K20" s="54" t="n">
        <x:v>0.1</x:v>
      </x:c>
    </x:row>
    <x:row r="21">
      <x:c r="A21" t="str">
        <x:v>Paralysie</x:v>
      </x:c>
      <x:c r="B21" t="n">
        <x:v>3</x:v>
      </x:c>
      <x:c r="C21" t="n">
        <x:v>2</x:v>
      </x:c>
      <x:c r="D21" t="str">
        <x:v>Contrôle</x:v>
      </x:c>
      <x:c r="E21" t="str">
        <x:v>SAG</x:v>
      </x:c>
      <x:c r="F21" t="str">
        <x:v>Moyenne</x:v>
      </x:c>
      <x:c r="G21" t="str">
        <x:v>DD capacité</x:v>
      </x:c>
      <x:c r="H21" t="n">
        <x:v>0</x:v>
      </x:c>
      <x:c r="I21" t="str">
        <x:v>Paralysé</x:v>
      </x:c>
      <x:c r="J21" t="str">
        <x:v>1/combat</x:v>
      </x:c>
      <x:c r="K21" s="54" t="n">
        <x:v>0.1</x:v>
      </x:c>
    </x:row>
    <x:row r="22">
      <x:c r="A22" t="str">
        <x:v>Tempête élémentaire</x:v>
      </x:c>
      <x:c r="B22" t="n">
        <x:v>4</x:v>
      </x:c>
      <x:c r="C22" t="n">
        <x:v>2</x:v>
      </x:c>
      <x:c r="D22" t="str">
        <x:v>Offensif</x:v>
      </x:c>
      <x:c r="E22" t="str">
        <x:v>INT</x:v>
      </x:c>
      <x:c r="F22" t="str">
        <x:v>Longue</x:v>
      </x:c>
      <x:c r="G22" t="str">
        <x:v>DD capacité</x:v>
      </x:c>
      <x:c r="H22" t="n">
        <x:v>1</x:v>
      </x:c>
      <x:c r="I22" t="str">
        <x:v>Grande zone ; moitié réussite</x:v>
      </x:c>
      <x:c r="J22" t="str">
        <x:v>1/combat</x:v>
      </x:c>
      <x:c r="K22" s="54" t="n">
        <x:v>0.1</x:v>
      </x:c>
    </x:row>
    <x:row r="23">
      <x:c r="A23" t="str">
        <x:v>Domination</x:v>
      </x:c>
      <x:c r="B23" t="n">
        <x:v>4</x:v>
      </x:c>
      <x:c r="C23" t="n">
        <x:v>2</x:v>
      </x:c>
      <x:c r="D23" t="str">
        <x:v>Contrôle</x:v>
      </x:c>
      <x:c r="E23" t="str">
        <x:v>CHA</x:v>
      </x:c>
      <x:c r="F23" t="str">
        <x:v>Moyenne</x:v>
      </x:c>
      <x:c r="G23" t="str">
        <x:v>DD capacité</x:v>
      </x:c>
      <x:c r="H23" t="n">
        <x:v>0</x:v>
      </x:c>
      <x:c r="I23" t="str">
        <x:v>Domination brève</x:v>
      </x:c>
      <x:c r="J23" t="str">
        <x:v>1/combat</x:v>
      </x:c>
      <x:c r="K23" s="54" t="n">
        <x:v>0.15</x:v>
      </x:c>
    </x:row>
    <x:row r="24">
      <x:c r="A24" t="str">
        <x:v>Téléportation majeure</x:v>
      </x:c>
      <x:c r="B24" t="n">
        <x:v>4</x:v>
      </x:c>
      <x:c r="C24" t="n">
        <x:v>2</x:v>
      </x:c>
      <x:c r="D24" t="str">
        <x:v>Mobilité</x:v>
      </x:c>
      <x:c r="E24" t="str">
        <x:v>INT</x:v>
      </x:c>
      <x:c r="F24" t="str">
        <x:v>Longue</x:v>
      </x:c>
      <x:c r="G24" t="str">
        <x:v>—</x:v>
      </x:c>
      <x:c r="H24" t="n">
        <x:v>0</x:v>
      </x:c>
      <x:c r="I24" t="str">
        <x:v>Téléportation groupe</x:v>
      </x:c>
      <x:c r="J24" t="str">
        <x:v>1/combat</x:v>
      </x:c>
      <x:c r="K24" s="54" t="n">
        <x:v>0.025</x:v>
      </x:c>
    </x:row>
    <x:row r="25">
      <x:c r="A25" t="str">
        <x:v>Désintégration</x:v>
      </x:c>
      <x:c r="B25" t="n">
        <x:v>5</x:v>
      </x:c>
      <x:c r="C25" t="n">
        <x:v>2</x:v>
      </x:c>
      <x:c r="D25" t="str">
        <x:v>Offensif</x:v>
      </x:c>
      <x:c r="E25" t="str">
        <x:v>INT</x:v>
      </x:c>
      <x:c r="F25" t="str">
        <x:v>Moyenne</x:v>
      </x:c>
      <x:c r="G25" t="str">
        <x:v>DD capacité</x:v>
      </x:c>
      <x:c r="H25" t="n">
        <x:v>1.5</x:v>
      </x:c>
      <x:c r="I25" t="str">
        <x:v>Force ; moitié réussite</x:v>
      </x:c>
      <x:c r="J25" t="str">
        <x:v>1/combat</x:v>
      </x:c>
      <x:c r="K25" s="54" t="n">
        <x:v>0.15</x:v>
      </x:c>
    </x:row>
    <x:row r="26">
      <x:c r="A26" t="str">
        <x:v>Résurrection / Retour</x:v>
      </x:c>
      <x:c r="B26" t="n">
        <x:v>5</x:v>
      </x:c>
      <x:c r="C26" t="n">
        <x:v>2</x:v>
      </x:c>
      <x:c r="D26" t="str">
        <x:v>Soutien</x:v>
      </x:c>
      <x:c r="E26" t="str">
        <x:v>SAG</x:v>
      </x:c>
      <x:c r="F26" t="str">
        <x:v>Contact</x:v>
      </x:c>
      <x:c r="G26" t="str">
        <x:v>—</x:v>
      </x:c>
      <x:c r="H26" t="n">
        <x:v>0</x:v>
      </x:c>
      <x:c r="I26" t="str">
        <x:v>Relève une cible selon scénario</x:v>
      </x:c>
      <x:c r="J26" t="str">
        <x:v>1/combat</x:v>
      </x:c>
      <x:c r="K26" s="54" t="n">
        <x:v>0.05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sheetData>
    <x:row r="1">
      <x:c r="A1" s="36" t="str">
        <x:v>Cible</x:v>
      </x:c>
      <x:c r="B1" s="36" t="str">
        <x:v>Expression</x:v>
      </x:c>
      <x:c r="C1" s="36" t="str">
        <x:v>Moyenne</x:v>
      </x:c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t="n">
        <x:v>1</x:v>
      </x:c>
      <x:c r="B2" t="str">
        <x:v>1d4</x:v>
      </x:c>
      <x:c r="C2" t="n">
        <x:v>2.5</x:v>
      </x:c>
    </x:row>
    <x:row r="3">
      <x:c r="A3" t="n">
        <x:v>2</x:v>
      </x:c>
      <x:c r="B3" t="str">
        <x:v>1d4</x:v>
      </x:c>
      <x:c r="C3" t="n">
        <x:v>2.5</x:v>
      </x:c>
    </x:row>
    <x:row r="4">
      <x:c r="A4" t="n">
        <x:v>3</x:v>
      </x:c>
      <x:c r="B4" t="str">
        <x:v>1d4</x:v>
      </x:c>
      <x:c r="C4" t="n">
        <x:v>2.5</x:v>
      </x:c>
    </x:row>
    <x:row r="5">
      <x:c r="A5" t="n">
        <x:v>4</x:v>
      </x:c>
      <x:c r="B5" t="str">
        <x:v>1d6</x:v>
      </x:c>
      <x:c r="C5" t="n">
        <x:v>3.5</x:v>
      </x:c>
    </x:row>
    <x:row r="6">
      <x:c r="A6" t="n">
        <x:v>5</x:v>
      </x:c>
      <x:c r="B6" t="str">
        <x:v>2d4</x:v>
      </x:c>
      <x:c r="C6" t="n">
        <x:v>5</x:v>
      </x:c>
    </x:row>
    <x:row r="7">
      <x:c r="A7" t="n">
        <x:v>6</x:v>
      </x:c>
      <x:c r="B7" t="str">
        <x:v>1d10</x:v>
      </x:c>
      <x:c r="C7" t="n">
        <x:v>5.5</x:v>
      </x:c>
    </x:row>
    <x:row r="8">
      <x:c r="A8" t="n">
        <x:v>7</x:v>
      </x:c>
      <x:c r="B8" t="str">
        <x:v>2d6</x:v>
      </x:c>
      <x:c r="C8" t="n">
        <x:v>7</x:v>
      </x:c>
    </x:row>
    <x:row r="9">
      <x:c r="A9" t="n">
        <x:v>8</x:v>
      </x:c>
      <x:c r="B9" t="str">
        <x:v>3d4</x:v>
      </x:c>
      <x:c r="C9" t="n">
        <x:v>7.5</x:v>
      </x:c>
    </x:row>
    <x:row r="10">
      <x:c r="A10" t="n">
        <x:v>9</x:v>
      </x:c>
      <x:c r="B10" t="str">
        <x:v>2d8</x:v>
      </x:c>
      <x:c r="C10" t="n">
        <x:v>9</x:v>
      </x:c>
    </x:row>
    <x:row r="11">
      <x:c r="A11" t="n">
        <x:v>10</x:v>
      </x:c>
      <x:c r="B11" t="str">
        <x:v>4d4</x:v>
      </x:c>
      <x:c r="C11" t="n">
        <x:v>10</x:v>
      </x:c>
    </x:row>
    <x:row r="12">
      <x:c r="A12" t="n">
        <x:v>11</x:v>
      </x:c>
      <x:c r="B12" t="str">
        <x:v>2d10</x:v>
      </x:c>
      <x:c r="C12" t="n">
        <x:v>11</x:v>
      </x:c>
    </x:row>
    <x:row r="13">
      <x:c r="A13" t="n">
        <x:v>12</x:v>
      </x:c>
      <x:c r="B13" t="str">
        <x:v>5d4</x:v>
      </x:c>
      <x:c r="C13" t="n">
        <x:v>12.5</x:v>
      </x:c>
    </x:row>
    <x:row r="14">
      <x:c r="A14" t="n">
        <x:v>13</x:v>
      </x:c>
      <x:c r="B14" t="str">
        <x:v>2d12</x:v>
      </x:c>
      <x:c r="C14" t="n">
        <x:v>13</x:v>
      </x:c>
    </x:row>
    <x:row r="15">
      <x:c r="A15" t="n">
        <x:v>14</x:v>
      </x:c>
      <x:c r="B15" t="str">
        <x:v>4d6</x:v>
      </x:c>
      <x:c r="C15" t="n">
        <x:v>14</x:v>
      </x:c>
    </x:row>
    <x:row r="16">
      <x:c r="A16" t="n">
        <x:v>15</x:v>
      </x:c>
      <x:c r="B16" t="str">
        <x:v>6d4</x:v>
      </x:c>
      <x:c r="C16" t="n">
        <x:v>15</x:v>
      </x:c>
    </x:row>
    <x:row r="17">
      <x:c r="A17" t="n">
        <x:v>16</x:v>
      </x:c>
      <x:c r="B17" t="str">
        <x:v>3d10</x:v>
      </x:c>
      <x:c r="C17" t="n">
        <x:v>16.5</x:v>
      </x:c>
    </x:row>
    <x:row r="18">
      <x:c r="A18" t="n">
        <x:v>17</x:v>
      </x:c>
      <x:c r="B18" t="str">
        <x:v>3d10</x:v>
      </x:c>
      <x:c r="C18" t="n">
        <x:v>16.5</x:v>
      </x:c>
    </x:row>
    <x:row r="19">
      <x:c r="A19" t="n">
        <x:v>18</x:v>
      </x:c>
      <x:c r="B19" t="str">
        <x:v>4d8</x:v>
      </x:c>
      <x:c r="C19" t="n">
        <x:v>18</x:v>
      </x:c>
    </x:row>
    <x:row r="20">
      <x:c r="A20" t="n">
        <x:v>19</x:v>
      </x:c>
      <x:c r="B20" t="str">
        <x:v>3d12</x:v>
      </x:c>
      <x:c r="C20" t="n">
        <x:v>19.5</x:v>
      </x:c>
    </x:row>
    <x:row r="21">
      <x:c r="A21" t="n">
        <x:v>20</x:v>
      </x:c>
      <x:c r="B21" t="str">
        <x:v>8d4</x:v>
      </x:c>
      <x:c r="C21" t="n">
        <x:v>20</x:v>
      </x:c>
    </x:row>
    <x:row r="22">
      <x:c r="A22" t="n">
        <x:v>21</x:v>
      </x:c>
      <x:c r="B22" t="str">
        <x:v>2d20</x:v>
      </x:c>
      <x:c r="C22" t="n">
        <x:v>21</x:v>
      </x:c>
    </x:row>
    <x:row r="23">
      <x:c r="A23" t="n">
        <x:v>22</x:v>
      </x:c>
      <x:c r="B23" t="str">
        <x:v>4d10</x:v>
      </x:c>
      <x:c r="C23" t="n">
        <x:v>22</x:v>
      </x:c>
    </x:row>
    <x:row r="24">
      <x:c r="A24" t="n">
        <x:v>23</x:v>
      </x:c>
      <x:c r="B24" t="str">
        <x:v>5d8</x:v>
      </x:c>
      <x:c r="C24" t="n">
        <x:v>22.5</x:v>
      </x:c>
    </x:row>
    <x:row r="25">
      <x:c r="A25" t="n">
        <x:v>24</x:v>
      </x:c>
      <x:c r="B25" t="str">
        <x:v>7d6</x:v>
      </x:c>
      <x:c r="C25" t="n">
        <x:v>24.5</x:v>
      </x:c>
    </x:row>
    <x:row r="26">
      <x:c r="A26" t="n">
        <x:v>25</x:v>
      </x:c>
      <x:c r="B26" t="str">
        <x:v>10d4</x:v>
      </x:c>
      <x:c r="C26" t="n">
        <x:v>25</x:v>
      </x:c>
    </x:row>
    <x:row r="27">
      <x:c r="A27" t="n">
        <x:v>26</x:v>
      </x:c>
      <x:c r="B27" t="str">
        <x:v>4d12</x:v>
      </x:c>
      <x:c r="C27" t="n">
        <x:v>26</x:v>
      </x:c>
    </x:row>
    <x:row r="28">
      <x:c r="A28" t="n">
        <x:v>27</x:v>
      </x:c>
      <x:c r="B28" t="str">
        <x:v>6d8</x:v>
      </x:c>
      <x:c r="C28" t="n">
        <x:v>27</x:v>
      </x:c>
    </x:row>
    <x:row r="29">
      <x:c r="A29" t="n">
        <x:v>28</x:v>
      </x:c>
      <x:c r="B29" t="str">
        <x:v>8d6</x:v>
      </x:c>
      <x:c r="C29" t="n">
        <x:v>28</x:v>
      </x:c>
    </x:row>
    <x:row r="30">
      <x:c r="A30" t="n">
        <x:v>29</x:v>
      </x:c>
      <x:c r="B30" t="str">
        <x:v>8d6</x:v>
      </x:c>
      <x:c r="C30" t="n">
        <x:v>28</x:v>
      </x:c>
    </x:row>
    <x:row r="31">
      <x:c r="A31" t="n">
        <x:v>30</x:v>
      </x:c>
      <x:c r="B31" t="str">
        <x:v>3d20</x:v>
      </x:c>
      <x:c r="C31" t="n">
        <x:v>31.5</x:v>
      </x:c>
    </x:row>
    <x:row r="32">
      <x:c r="A32" t="n">
        <x:v>31</x:v>
      </x:c>
      <x:c r="B32" t="str">
        <x:v>3d20</x:v>
      </x:c>
      <x:c r="C32" t="n">
        <x:v>31.5</x:v>
      </x:c>
    </x:row>
    <x:row r="33">
      <x:c r="A33" t="n">
        <x:v>32</x:v>
      </x:c>
      <x:c r="B33" t="str">
        <x:v>3d20</x:v>
      </x:c>
      <x:c r="C33" t="n">
        <x:v>31.5</x:v>
      </x:c>
    </x:row>
    <x:row r="34">
      <x:c r="A34" t="n">
        <x:v>33</x:v>
      </x:c>
      <x:c r="B34" t="str">
        <x:v>6d10</x:v>
      </x:c>
      <x:c r="C34" t="n">
        <x:v>33</x:v>
      </x:c>
    </x:row>
    <x:row r="35">
      <x:c r="A35" t="n">
        <x:v>34</x:v>
      </x:c>
      <x:c r="B35" t="str">
        <x:v>6d10</x:v>
      </x:c>
      <x:c r="C35" t="n">
        <x:v>33</x:v>
      </x:c>
    </x:row>
    <x:row r="36">
      <x:c r="A36" t="n">
        <x:v>35</x:v>
      </x:c>
      <x:c r="B36" t="str">
        <x:v>10d6</x:v>
      </x:c>
      <x:c r="C36" t="n">
        <x:v>35</x:v>
      </x:c>
    </x:row>
    <x:row r="37">
      <x:c r="A37" t="n">
        <x:v>36</x:v>
      </x:c>
      <x:c r="B37" t="str">
        <x:v>8d8</x:v>
      </x:c>
      <x:c r="C37" t="n">
        <x:v>36</x:v>
      </x:c>
    </x:row>
    <x:row r="38">
      <x:c r="A38" t="n">
        <x:v>37</x:v>
      </x:c>
      <x:c r="B38" t="str">
        <x:v>8d8</x:v>
      </x:c>
      <x:c r="C38" t="n">
        <x:v>36</x:v>
      </x:c>
    </x:row>
    <x:row r="39">
      <x:c r="A39" t="n">
        <x:v>38</x:v>
      </x:c>
      <x:c r="B39" t="str">
        <x:v>7d10</x:v>
      </x:c>
      <x:c r="C39" t="n">
        <x:v>38.5</x:v>
      </x:c>
    </x:row>
    <x:row r="40">
      <x:c r="A40" t="n">
        <x:v>39</x:v>
      </x:c>
      <x:c r="B40" t="str">
        <x:v>6d12</x:v>
      </x:c>
      <x:c r="C40" t="n">
        <x:v>39</x:v>
      </x:c>
    </x:row>
    <x:row r="41">
      <x:c r="A41" t="n">
        <x:v>40</x:v>
      </x:c>
      <x:c r="B41" t="str">
        <x:v>9d8</x:v>
      </x:c>
      <x:c r="C41" t="n">
        <x:v>40.5</x:v>
      </x:c>
    </x:row>
    <x:row r="42">
      <x:c r="A42" t="n">
        <x:v>41</x:v>
      </x:c>
      <x:c r="B42" t="str">
        <x:v>9d8</x:v>
      </x:c>
      <x:c r="C42" t="n">
        <x:v>40.5</x:v>
      </x:c>
    </x:row>
    <x:row r="43">
      <x:c r="A43" t="n">
        <x:v>42</x:v>
      </x:c>
      <x:c r="B43" t="str">
        <x:v>4d20</x:v>
      </x:c>
      <x:c r="C43" t="n">
        <x:v>42</x:v>
      </x:c>
    </x:row>
    <x:row r="44">
      <x:c r="A44" t="n">
        <x:v>43</x:v>
      </x:c>
      <x:c r="B44" t="str">
        <x:v>4d20</x:v>
      </x:c>
      <x:c r="C44" t="n">
        <x:v>42</x:v>
      </x:c>
    </x:row>
    <x:row r="45">
      <x:c r="A45" t="n">
        <x:v>44</x:v>
      </x:c>
      <x:c r="B45" t="str">
        <x:v>8d10</x:v>
      </x:c>
      <x:c r="C45" t="n">
        <x:v>44</x:v>
      </x:c>
    </x:row>
    <x:row r="46">
      <x:c r="A46" t="n">
        <x:v>45</x:v>
      </x:c>
      <x:c r="B46" t="str">
        <x:v>10d8</x:v>
      </x:c>
      <x:c r="C46" t="n">
        <x:v>45</x:v>
      </x:c>
    </x:row>
    <x:row r="47">
      <x:c r="A47" t="n">
        <x:v>46</x:v>
      </x:c>
      <x:c r="B47" t="str">
        <x:v>7d12</x:v>
      </x:c>
      <x:c r="C47" t="n">
        <x:v>45.5</x:v>
      </x:c>
    </x:row>
    <x:row r="48">
      <x:c r="A48" t="n">
        <x:v>47</x:v>
      </x:c>
      <x:c r="B48" t="str">
        <x:v>7d12</x:v>
      </x:c>
      <x:c r="C48" t="n">
        <x:v>45.5</x:v>
      </x:c>
    </x:row>
    <x:row r="49">
      <x:c r="A49" t="n">
        <x:v>48</x:v>
      </x:c>
      <x:c r="B49" t="str">
        <x:v>9d10</x:v>
      </x:c>
      <x:c r="C49" t="n">
        <x:v>49.5</x:v>
      </x:c>
    </x:row>
    <x:row r="50">
      <x:c r="A50" t="n">
        <x:v>49</x:v>
      </x:c>
      <x:c r="B50" t="str">
        <x:v>9d10</x:v>
      </x:c>
      <x:c r="C50" t="n">
        <x:v>49.5</x:v>
      </x:c>
    </x:row>
    <x:row r="51">
      <x:c r="A51" t="n">
        <x:v>50</x:v>
      </x:c>
      <x:c r="B51" t="str">
        <x:v>9d10</x:v>
      </x:c>
      <x:c r="C51" t="n">
        <x:v>49.5</x:v>
      </x:c>
    </x:row>
    <x:row r="52">
      <x:c r="A52" t="n">
        <x:v>51</x:v>
      </x:c>
      <x:c r="B52" t="str">
        <x:v>8d12</x:v>
      </x:c>
      <x:c r="C52" t="n">
        <x:v>52</x:v>
      </x:c>
    </x:row>
    <x:row r="53">
      <x:c r="A53" t="n">
        <x:v>52</x:v>
      </x:c>
      <x:c r="B53" t="str">
        <x:v>8d12</x:v>
      </x:c>
      <x:c r="C53" t="n">
        <x:v>52</x:v>
      </x:c>
    </x:row>
    <x:row r="54">
      <x:c r="A54" t="n">
        <x:v>53</x:v>
      </x:c>
      <x:c r="B54" t="str">
        <x:v>5d20</x:v>
      </x:c>
      <x:c r="C54" t="n">
        <x:v>52.5</x:v>
      </x:c>
    </x:row>
    <x:row r="55">
      <x:c r="A55" t="n">
        <x:v>54</x:v>
      </x:c>
      <x:c r="B55" t="str">
        <x:v>10d10</x:v>
      </x:c>
      <x:c r="C55" t="n">
        <x:v>55</x:v>
      </x:c>
    </x:row>
    <x:row r="56">
      <x:c r="A56" t="n">
        <x:v>55</x:v>
      </x:c>
      <x:c r="B56" t="str">
        <x:v>10d10</x:v>
      </x:c>
      <x:c r="C56" t="n">
        <x:v>55</x:v>
      </x:c>
    </x:row>
    <x:row r="57">
      <x:c r="A57" t="n">
        <x:v>56</x:v>
      </x:c>
      <x:c r="B57" t="str">
        <x:v>10d10</x:v>
      </x:c>
      <x:c r="C57" t="n">
        <x:v>55</x:v>
      </x:c>
    </x:row>
    <x:row r="58">
      <x:c r="A58" t="n">
        <x:v>57</x:v>
      </x:c>
      <x:c r="B58" t="str">
        <x:v>9d12</x:v>
      </x:c>
      <x:c r="C58" t="n">
        <x:v>58.5</x:v>
      </x:c>
    </x:row>
    <x:row r="59">
      <x:c r="A59" t="n">
        <x:v>58</x:v>
      </x:c>
      <x:c r="B59" t="str">
        <x:v>9d12</x:v>
      </x:c>
      <x:c r="C59" t="n">
        <x:v>58.5</x:v>
      </x:c>
    </x:row>
    <x:row r="60">
      <x:c r="A60" t="n">
        <x:v>59</x:v>
      </x:c>
      <x:c r="B60" t="str">
        <x:v>9d12</x:v>
      </x:c>
      <x:c r="C60" t="n">
        <x:v>58.5</x:v>
      </x:c>
    </x:row>
    <x:row r="61">
      <x:c r="A61" t="n">
        <x:v>60</x:v>
      </x:c>
      <x:c r="B61" t="str">
        <x:v>9d12</x:v>
      </x:c>
      <x:c r="C61" t="n">
        <x:v>58.5</x:v>
      </x:c>
    </x:row>
    <x:row r="62">
      <x:c r="A62" t="n">
        <x:v>61</x:v>
      </x:c>
      <x:c r="B62" t="str">
        <x:v>6d20</x:v>
      </x:c>
      <x:c r="C62" t="n">
        <x:v>63</x:v>
      </x:c>
    </x:row>
    <x:row r="63">
      <x:c r="A63" t="n">
        <x:v>62</x:v>
      </x:c>
      <x:c r="B63" t="str">
        <x:v>6d20</x:v>
      </x:c>
      <x:c r="C63" t="n">
        <x:v>63</x:v>
      </x:c>
    </x:row>
    <x:row r="64">
      <x:c r="A64" t="n">
        <x:v>63</x:v>
      </x:c>
      <x:c r="B64" t="str">
        <x:v>6d20</x:v>
      </x:c>
      <x:c r="C64" t="n">
        <x:v>63</x:v>
      </x:c>
    </x:row>
    <x:row r="65">
      <x:c r="A65" t="n">
        <x:v>64</x:v>
      </x:c>
      <x:c r="B65" t="str">
        <x:v>6d20</x:v>
      </x:c>
      <x:c r="C65" t="n">
        <x:v>63</x:v>
      </x:c>
    </x:row>
    <x:row r="66">
      <x:c r="A66" t="n">
        <x:v>65</x:v>
      </x:c>
      <x:c r="B66" t="str">
        <x:v>10d12</x:v>
      </x:c>
      <x:c r="C66" t="n">
        <x:v>65</x:v>
      </x:c>
    </x:row>
    <x:row r="67">
      <x:c r="A67" t="n">
        <x:v>66</x:v>
      </x:c>
      <x:c r="B67" t="str">
        <x:v>10d12</x:v>
      </x:c>
      <x:c r="C67" t="n">
        <x:v>65</x:v>
      </x:c>
    </x:row>
    <x:row r="68">
      <x:c r="A68" t="n">
        <x:v>67</x:v>
      </x:c>
      <x:c r="B68" t="str">
        <x:v>10d12</x:v>
      </x:c>
      <x:c r="C68" t="n">
        <x:v>65</x:v>
      </x:c>
    </x:row>
    <x:row r="69">
      <x:c r="A69" t="n">
        <x:v>68</x:v>
      </x:c>
      <x:c r="B69" t="str">
        <x:v>10d12</x:v>
      </x:c>
      <x:c r="C69" t="n">
        <x:v>65</x:v>
      </x:c>
    </x:row>
    <x:row r="70">
      <x:c r="A70" t="n">
        <x:v>69</x:v>
      </x:c>
      <x:c r="B70" t="str">
        <x:v>10d12</x:v>
      </x:c>
      <x:c r="C70" t="n">
        <x:v>65</x:v>
      </x:c>
    </x:row>
    <x:row r="71">
      <x:c r="A71" t="n">
        <x:v>70</x:v>
      </x:c>
      <x:c r="B71" t="str">
        <x:v>7d20</x:v>
      </x:c>
      <x:c r="C71" t="n">
        <x:v>73.5</x:v>
      </x:c>
    </x:row>
    <x:row r="72">
      <x:c r="A72" t="n">
        <x:v>71</x:v>
      </x:c>
      <x:c r="B72" t="str">
        <x:v>7d20</x:v>
      </x:c>
      <x:c r="C72" t="n">
        <x:v>73.5</x:v>
      </x:c>
    </x:row>
    <x:row r="73">
      <x:c r="A73" t="n">
        <x:v>72</x:v>
      </x:c>
      <x:c r="B73" t="str">
        <x:v>7d20</x:v>
      </x:c>
      <x:c r="C73" t="n">
        <x:v>73.5</x:v>
      </x:c>
    </x:row>
    <x:row r="74">
      <x:c r="A74" t="n">
        <x:v>73</x:v>
      </x:c>
      <x:c r="B74" t="str">
        <x:v>7d20</x:v>
      </x:c>
      <x:c r="C74" t="n">
        <x:v>73.5</x:v>
      </x:c>
    </x:row>
    <x:row r="75">
      <x:c r="A75" t="n">
        <x:v>74</x:v>
      </x:c>
      <x:c r="B75" t="str">
        <x:v>7d20</x:v>
      </x:c>
      <x:c r="C75" t="n">
        <x:v>73.5</x:v>
      </x:c>
    </x:row>
    <x:row r="76">
      <x:c r="A76" t="n">
        <x:v>75</x:v>
      </x:c>
      <x:c r="B76" t="str">
        <x:v>7d20</x:v>
      </x:c>
      <x:c r="C76" t="n">
        <x:v>73.5</x:v>
      </x:c>
    </x:row>
    <x:row r="77">
      <x:c r="A77" t="n">
        <x:v>76</x:v>
      </x:c>
      <x:c r="B77" t="str">
        <x:v>7d20</x:v>
      </x:c>
      <x:c r="C77" t="n">
        <x:v>73.5</x:v>
      </x:c>
    </x:row>
    <x:row r="78">
      <x:c r="A78" t="n">
        <x:v>77</x:v>
      </x:c>
      <x:c r="B78" t="str">
        <x:v>7d20</x:v>
      </x:c>
      <x:c r="C78" t="n">
        <x:v>73.5</x:v>
      </x:c>
    </x:row>
    <x:row r="79">
      <x:c r="A79" t="n">
        <x:v>78</x:v>
      </x:c>
      <x:c r="B79" t="str">
        <x:v>7d20</x:v>
      </x:c>
      <x:c r="C79" t="n">
        <x:v>73.5</x:v>
      </x:c>
    </x:row>
    <x:row r="80">
      <x:c r="A80" t="n">
        <x:v>79</x:v>
      </x:c>
      <x:c r="B80" t="str">
        <x:v>8d20</x:v>
      </x:c>
      <x:c r="C80" t="n">
        <x:v>84</x:v>
      </x:c>
    </x:row>
    <x:row r="81">
      <x:c r="A81" t="n">
        <x:v>80</x:v>
      </x:c>
      <x:c r="B81" t="str">
        <x:v>8d20</x:v>
      </x:c>
      <x:c r="C81" t="n">
        <x:v>84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sheetData>
    <x:row r="1">
      <x:c r="A1" s="36" t="str">
        <x:v>Type</x:v>
      </x:c>
      <x:c r="B1" s="36" t="str">
        <x:v>Valeur</x:v>
      </x:c>
      <x:c r="C1" s="36" t="str">
        <x:v>Coef</x:v>
      </x:c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t="str">
        <x:v>Famille</x:v>
      </x:c>
      <x:c r="B2" t="str">
        <x:v>Vermine</x:v>
      </x:c>
      <x:c r="C2" t="n">
        <x:v>0.35</x:v>
      </x:c>
    </x:row>
    <x:row r="3">
      <x:c r="A3" t="str">
        <x:v>Famille</x:v>
      </x:c>
      <x:c r="B3" t="str">
        <x:v>Bête</x:v>
      </x:c>
      <x:c r="C3" t="n">
        <x:v>0.6</x:v>
      </x:c>
    </x:row>
    <x:row r="4">
      <x:c r="A4" t="str">
        <x:v>Famille</x:v>
      </x:c>
      <x:c r="B4" t="str">
        <x:v>Aquatique</x:v>
      </x:c>
      <x:c r="C4" t="n">
        <x:v>0.7</x:v>
      </x:c>
    </x:row>
    <x:row r="5">
      <x:c r="A5" t="str">
        <x:v>Famille</x:v>
      </x:c>
      <x:c r="B5" t="str">
        <x:v>Plante</x:v>
      </x:c>
      <x:c r="C5" t="n">
        <x:v>0.8</x:v>
      </x:c>
    </x:row>
    <x:row r="6">
      <x:c r="A6" t="str">
        <x:v>Famille</x:v>
      </x:c>
      <x:c r="B6" t="str">
        <x:v>Humanoïde</x:v>
      </x:c>
      <x:c r="C6" t="n">
        <x:v>1</x:v>
      </x:c>
    </x:row>
    <x:row r="7">
      <x:c r="A7" t="str">
        <x:v>Famille</x:v>
      </x:c>
      <x:c r="B7" t="str">
        <x:v>Mort-vivant</x:v>
      </x:c>
      <x:c r="C7" t="n">
        <x:v>1</x:v>
      </x:c>
    </x:row>
    <x:row r="8">
      <x:c r="A8" t="str">
        <x:v>Famille</x:v>
      </x:c>
      <x:c r="B8" t="str">
        <x:v>Monstre</x:v>
      </x:c>
      <x:c r="C8" t="n">
        <x:v>1</x:v>
      </x:c>
    </x:row>
    <x:row r="9">
      <x:c r="A9" t="str">
        <x:v>Famille</x:v>
      </x:c>
      <x:c r="B9" t="str">
        <x:v>Vase</x:v>
      </x:c>
      <x:c r="C9" t="n">
        <x:v>1</x:v>
      </x:c>
    </x:row>
    <x:row r="10">
      <x:c r="A10" t="str">
        <x:v>Famille</x:v>
      </x:c>
      <x:c r="B10" t="str">
        <x:v>Géant</x:v>
      </x:c>
      <x:c r="C10" t="n">
        <x:v>1.2</x:v>
      </x:c>
    </x:row>
    <x:row r="11">
      <x:c r="A11" t="str">
        <x:v>Famille</x:v>
      </x:c>
      <x:c r="B11" t="str">
        <x:v>Aberration</x:v>
      </x:c>
      <x:c r="C11" t="n">
        <x:v>1.5</x:v>
      </x:c>
    </x:row>
    <x:row r="12">
      <x:c r="A12" t="str">
        <x:v>Famille</x:v>
      </x:c>
      <x:c r="B12" t="str">
        <x:v>Fée</x:v>
      </x:c>
      <x:c r="C12" t="n">
        <x:v>1.8</x:v>
      </x:c>
    </x:row>
    <x:row r="13">
      <x:c r="A13" t="str">
        <x:v>Famille</x:v>
      </x:c>
      <x:c r="B13" t="str">
        <x:v>Démon</x:v>
      </x:c>
      <x:c r="C13" t="n">
        <x:v>2</x:v>
      </x:c>
    </x:row>
    <x:row r="14">
      <x:c r="A14" t="str">
        <x:v>Famille</x:v>
      </x:c>
      <x:c r="B14" t="str">
        <x:v>Artificiel</x:v>
      </x:c>
      <x:c r="C14" t="n">
        <x:v>2</x:v>
      </x:c>
    </x:row>
    <x:row r="15">
      <x:c r="A15" t="str">
        <x:v>Famille</x:v>
      </x:c>
      <x:c r="B15" t="str">
        <x:v>Élémentaire</x:v>
      </x:c>
      <x:c r="C15" t="n">
        <x:v>2.5</x:v>
      </x:c>
    </x:row>
    <x:row r="16">
      <x:c r="A16" t="str">
        <x:v>Famille</x:v>
      </x:c>
      <x:c r="B16" t="str">
        <x:v>Esprit</x:v>
      </x:c>
      <x:c r="C16" t="n">
        <x:v>2.5</x:v>
      </x:c>
    </x:row>
    <x:row r="17">
      <x:c r="A17" t="str">
        <x:v>Famille</x:v>
      </x:c>
      <x:c r="B17" t="str">
        <x:v>Céleste</x:v>
      </x:c>
      <x:c r="C17" t="n">
        <x:v>3</x:v>
      </x:c>
    </x:row>
    <x:row r="18">
      <x:c r="A18" t="str">
        <x:v>Famille</x:v>
      </x:c>
      <x:c r="B18" t="str">
        <x:v>Dragon</x:v>
      </x:c>
      <x:c r="C18" t="n">
        <x:v>5</x:v>
      </x:c>
    </x:row>
    <x:row r="19">
      <x:c r="A19" t="str">
        <x:v>Rareté</x:v>
      </x:c>
      <x:c r="B19" t="str">
        <x:v>Commune</x:v>
      </x:c>
      <x:c r="C19" t="n">
        <x:v>1</x:v>
      </x:c>
    </x:row>
    <x:row r="20">
      <x:c r="A20" t="str">
        <x:v>Rareté</x:v>
      </x:c>
      <x:c r="B20" t="str">
        <x:v>Peu commune</x:v>
      </x:c>
      <x:c r="C20" t="n">
        <x:v>1.5</x:v>
      </x:c>
    </x:row>
    <x:row r="21">
      <x:c r="A21" t="str">
        <x:v>Rareté</x:v>
      </x:c>
      <x:c r="B21" t="str">
        <x:v>Rare</x:v>
      </x:c>
      <x:c r="C21" t="n">
        <x:v>2.5</x:v>
      </x:c>
    </x:row>
    <x:row r="22">
      <x:c r="A22" t="str">
        <x:v>Rareté</x:v>
      </x:c>
      <x:c r="B22" t="str">
        <x:v>Précieuse</x:v>
      </x:c>
      <x:c r="C22" t="n">
        <x:v>4</x:v>
      </x:c>
    </x:row>
    <x:row r="23">
      <x:c r="A23" t="str">
        <x:v>Rareté</x:v>
      </x:c>
      <x:c r="B23" t="str">
        <x:v>Exceptionnelle</x:v>
      </x:c>
      <x:c r="C23" t="n">
        <x:v>7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4" max="4" width="8" hidden="0" customWidth="1"/>
    <x:col min="5" max="5" width="16" hidden="0" customWidth="1"/>
    <x:col min="6" max="6" width="16" hidden="0" customWidth="1"/>
    <x:col min="7" max="7" width="16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3" max="13" width="22" hidden="0" customWidth="1"/>
    <x:col min="14" max="14" width="12" hidden="0" customWidth="1"/>
    <x:col min="16" max="16" width="12" hidden="0" customWidth="1"/>
    <x:col min="17" max="17" width="20" hidden="0" customWidth="1"/>
    <x:col min="19" max="19" width="20" hidden="0" customWidth="1"/>
    <x:col min="20" max="20" width="14" hidden="0" customWidth="1"/>
  </x:cols>
  <x:sheetData>
    <x:row r="1">
      <x:c r="A1" s="59" t="str">
        <x:v>PARAMÈTRE DANGER</x:v>
      </x:c>
      <x:c r="B1" s="59" t="str">
        <x:v>Valeur</x:v>
      </x:c>
      <x:c r="C1" s="31"/>
      <x:c r="D1" s="58" t="str">
        <x:v>NC</x:v>
      </x:c>
      <x:c r="E1" s="58" t="str">
        <x:v>Danger central</x:v>
      </x:c>
      <x:c r="F1" s="58" t="str">
        <x:v>Danger min</x:v>
      </x:c>
      <x:c r="G1" s="58" t="str">
        <x:v>Danger max</x:v>
      </x:c>
      <x:c r="H1" s="58" t="str">
        <x:v>PV réf</x:v>
      </x:c>
      <x:c r="I1" s="58" t="str">
        <x:v>DEF réf</x:v>
      </x:c>
      <x:c r="J1" s="58" t="str">
        <x:v>Toucher réf</x:v>
      </x:c>
      <x:c r="K1" s="58" t="str">
        <x:v>DM réf</x:v>
      </x:c>
      <x:c r="L1" s="31"/>
      <x:c r="M1" s="58" t="str">
        <x:v>Affinité</x:v>
      </x:c>
      <x:c r="N1" s="58" t="str">
        <x:v>Danger %</x:v>
      </x:c>
      <x:c r="O1" s="31"/>
      <x:c r="P1" s="58" t="str">
        <x:v>Ratio max</x:v>
      </x:c>
      <x:c r="Q1" s="58" t="str">
        <x:v>Difficulté</x:v>
      </x:c>
      <x:c r="R1" s="31"/>
      <x:c r="S1" s="58" t="str">
        <x:v>Ajustement PJ</x:v>
      </x:c>
      <x:c r="T1" s="58" t="str">
        <x:v>Multiplicateur</x:v>
      </x:c>
    </x:row>
    <x:row r="2">
      <x:c r="A2" t="str">
        <x:v>Base puissance NC1</x:v>
      </x:c>
      <x:c r="B2" t="n">
        <x:v>100</x:v>
      </x:c>
      <x:c r="D2" t="n">
        <x:v>0</x:v>
      </x:c>
      <x:c r="E2" s="53" t="n">
        <x:v>80</x:v>
      </x:c>
      <x:c r="F2" s="53" t="n">
        <x:v>71.55417527999327</x:v>
      </x:c>
      <x:c r="G2" s="53" t="n">
        <x:v>89.44271909999159</x:v>
      </x:c>
      <x:c r="H2" s="53" t="n">
        <x:v>13</x:v>
      </x:c>
      <x:c r="I2" s="53" t="n">
        <x:v>11</x:v>
      </x:c>
      <x:c r="J2" s="53" t="n">
        <x:v>2</x:v>
      </x:c>
      <x:c r="K2" s="53" t="n">
        <x:v>4</x:v>
      </x:c>
      <x:c r="M2" t="str">
        <x:v>Résistance</x:v>
      </x:c>
      <x:c r="N2" s="54" t="n">
        <x:v>0.025</x:v>
      </x:c>
      <x:c r="P2" t="n">
        <x:v>0.55</x:v>
      </x:c>
      <x:c r="Q2" t="str">
        <x:v>Triviale</x:v>
      </x:c>
      <x:c r="S2" t="str">
        <x:v>Un peu faible</x:v>
      </x:c>
      <x:c r="T2" s="48" t="n">
        <x:v>0.9</x:v>
      </x:c>
    </x:row>
    <x:row r="3">
      <x:c r="A3" t="str">
        <x:v>Croissance par NC</x:v>
      </x:c>
      <x:c r="B3" s="48" t="n">
        <x:v>1.25</x:v>
      </x:c>
      <x:c r="D3" t="n">
        <x:v>1</x:v>
      </x:c>
      <x:c r="E3" s="53" t="n">
        <x:v>100</x:v>
      </x:c>
      <x:c r="F3" s="53" t="n">
        <x:v>89.44271909999158</x:v>
      </x:c>
      <x:c r="G3" s="53" t="n">
        <x:v>111.80339887498948</x:v>
      </x:c>
      <x:c r="H3" s="53" t="n">
        <x:v>16</x:v>
      </x:c>
      <x:c r="I3" s="53" t="n">
        <x:v>12</x:v>
      </x:c>
      <x:c r="J3" s="53" t="n">
        <x:v>3</x:v>
      </x:c>
      <x:c r="K3" s="53" t="n">
        <x:v>6</x:v>
      </x:c>
      <x:c r="M3" t="str">
        <x:v>Immunité</x:v>
      </x:c>
      <x:c r="N3" s="54" t="n">
        <x:v>0.05</x:v>
      </x:c>
      <x:c r="P3" t="n">
        <x:v>0.75</x:v>
      </x:c>
      <x:c r="Q3" t="str">
        <x:v>Facile</x:v>
      </x:c>
      <x:c r="S3" t="str">
        <x:v>Standard</x:v>
      </x:c>
      <x:c r="T3" s="48" t="n">
        <x:v>1</x:v>
      </x:c>
    </x:row>
    <x:row r="4">
      <x:c r="A4" t="str">
        <x:v>DEF : impact par point</x:v>
      </x:c>
      <x:c r="B4" s="48" t="n">
        <x:v>0.05</x:v>
      </x:c>
      <x:c r="D4" t="n">
        <x:v>2</x:v>
      </x:c>
      <x:c r="E4" s="53" t="n">
        <x:v>125</x:v>
      </x:c>
      <x:c r="F4" s="53" t="n">
        <x:v>111.80339887498948</x:v>
      </x:c>
      <x:c r="G4" s="53" t="n">
        <x:v>139.75424859373686</x:v>
      </x:c>
      <x:c r="H4" s="53" t="n">
        <x:v>20</x:v>
      </x:c>
      <x:c r="I4" s="53" t="n">
        <x:v>13</x:v>
      </x:c>
      <x:c r="J4" s="53" t="n">
        <x:v>3</x:v>
      </x:c>
      <x:c r="K4" s="53" t="n">
        <x:v>7</x:v>
      </x:c>
      <x:c r="M4" t="str">
        <x:v>Soin</x:v>
      </x:c>
      <x:c r="N4" s="54" t="n">
        <x:v>0.075</x:v>
      </x:c>
      <x:c r="P4" t="n">
        <x:v>0.95</x:v>
      </x:c>
      <x:c r="Q4" t="str">
        <x:v>Modérée</x:v>
      </x:c>
      <x:c r="S4" t="str">
        <x:v>Bien optimisé</x:v>
      </x:c>
      <x:c r="T4" s="48" t="n">
        <x:v>1.1</x:v>
      </x:c>
    </x:row>
    <x:row r="5">
      <x:c r="A5" t="str">
        <x:v>Toucher : impact par point</x:v>
      </x:c>
      <x:c r="B5" s="48" t="n">
        <x:v>0.05</x:v>
      </x:c>
      <x:c r="D5" t="n">
        <x:v>3</x:v>
      </x:c>
      <x:c r="E5" s="53" t="n">
        <x:v>156.25</x:v>
      </x:c>
      <x:c r="F5" s="53" t="n">
        <x:v>139.75424859373686</x:v>
      </x:c>
      <x:c r="G5" s="53" t="n">
        <x:v>174.69281074217108</x:v>
      </x:c>
      <x:c r="H5" s="53" t="n">
        <x:v>25</x:v>
      </x:c>
      <x:c r="I5" s="53" t="n">
        <x:v>14</x:v>
      </x:c>
      <x:c r="J5" s="53" t="n">
        <x:v>3</x:v>
      </x:c>
      <x:c r="K5" s="53" t="n">
        <x:v>8</x:v>
      </x:c>
      <x:c r="M5" t="str">
        <x:v>Vulnérabilité</x:v>
      </x:c>
      <x:c r="N5" s="54" t="n">
        <x:v>-0.025</x:v>
      </x:c>
      <x:c r="P5" t="n">
        <x:v>1.1</x:v>
      </x:c>
      <x:c r="Q5" t="str">
        <x:v>Standard</x:v>
      </x:c>
      <x:c r="S5" t="str">
        <x:v>Très optimisé</x:v>
      </x:c>
      <x:c r="T5" s="48" t="n">
        <x:v>1.2</x:v>
      </x:c>
    </x:row>
    <x:row r="6">
      <x:c r="A6" t="str">
        <x:v>Poids présence exposant</x:v>
      </x:c>
      <x:c r="B6" s="48" t="n">
        <x:v>0.75</x:v>
      </x:c>
      <x:c r="D6" t="n">
        <x:v>4</x:v>
      </x:c>
      <x:c r="E6" s="53" t="n">
        <x:v>195.3125</x:v>
      </x:c>
      <x:c r="F6" s="53" t="n">
        <x:v>174.69281074217105</x:v>
      </x:c>
      <x:c r="G6" s="53" t="n">
        <x:v>218.36601342771385</x:v>
      </x:c>
      <x:c r="H6" s="53" t="n">
        <x:v>30</x:v>
      </x:c>
      <x:c r="I6" s="53" t="n">
        <x:v>15</x:v>
      </x:c>
      <x:c r="J6" s="53" t="n">
        <x:v>4</x:v>
      </x:c>
      <x:c r="K6" s="53" t="n">
        <x:v>9</x:v>
      </x:c>
      <x:c r="M6" t="str">
        <x:v>Faiblesse majeure</x:v>
      </x:c>
      <x:c r="N6" s="54" t="n">
        <x:v>-0.05</x:v>
      </x:c>
      <x:c r="P6" t="n">
        <x:v>1.25</x:v>
      </x:c>
      <x:c r="Q6" t="str">
        <x:v>Difficile</x:v>
      </x:c>
    </x:row>
    <x:row r="7">
      <x:c r="A7" t="str">
        <x:v>Poids présence minimum</x:v>
      </x:c>
      <x:c r="B7" s="48" t="n">
        <x:v>0.15</x:v>
      </x:c>
      <x:c r="D7" t="n">
        <x:v>5</x:v>
      </x:c>
      <x:c r="E7" s="53" t="n">
        <x:v>244.140625</x:v>
      </x:c>
      <x:c r="F7" s="53" t="n">
        <x:v>218.36601342771382</x:v>
      </x:c>
      <x:c r="G7" s="53" t="n">
        <x:v>272.95751678464234</x:v>
      </x:c>
      <x:c r="H7" s="53" t="n">
        <x:v>36</x:v>
      </x:c>
      <x:c r="I7" s="53" t="n">
        <x:v>16</x:v>
      </x:c>
      <x:c r="J7" s="53" t="n">
        <x:v>5</x:v>
      </x:c>
      <x:c r="K7" s="53" t="n">
        <x:v>11</x:v>
      </x:c>
      <x:c r="P7" t="n">
        <x:v>1.45</x:v>
      </x:c>
      <x:c r="Q7" t="str">
        <x:v>Très difficile</x:v>
      </x:c>
    </x:row>
    <x:row r="8">
      <x:c r="A8" t="str">
        <x:v>Poids présence maximum</x:v>
      </x:c>
      <x:c r="B8" s="48" t="n">
        <x:v>1.25</x:v>
      </x:c>
      <x:c r="D8" t="n">
        <x:v>6</x:v>
      </x:c>
      <x:c r="E8" s="53" t="n">
        <x:v>305.17578125</x:v>
      </x:c>
      <x:c r="F8" s="53" t="n">
        <x:v>272.9575167846423</x:v>
      </x:c>
      <x:c r="G8" s="53" t="n">
        <x:v>341.1968959808029</x:v>
      </x:c>
      <x:c r="H8" s="53" t="n">
        <x:v>43</x:v>
      </x:c>
      <x:c r="I8" s="53" t="n">
        <x:v>17</x:v>
      </x:c>
      <x:c r="J8" s="53" t="n">
        <x:v>5</x:v>
      </x:c>
      <x:c r="K8" s="53" t="n">
        <x:v>12</x:v>
      </x:c>
      <x:c r="P8" t="n">
        <x:v>1.65</x:v>
      </x:c>
      <x:c r="Q8" t="str">
        <x:v>Extrême</x:v>
      </x:c>
    </x:row>
    <x:row r="9">
      <x:c r="A9" t="str">
        <x:v>Facteur nombre pente</x:v>
      </x:c>
      <x:c r="B9" s="48" t="n">
        <x:v>0.15</x:v>
      </x:c>
      <x:c r="D9" t="n">
        <x:v>7</x:v>
      </x:c>
      <x:c r="E9" s="53" t="n">
        <x:v>381.4697265625</x:v>
      </x:c>
      <x:c r="F9" s="53" t="n">
        <x:v>341.1968959808029</x:v>
      </x:c>
      <x:c r="G9" s="53" t="n">
        <x:v>426.4961199760036</x:v>
      </x:c>
      <x:c r="H9" s="53" t="n">
        <x:v>51</x:v>
      </x:c>
      <x:c r="I9" s="53" t="n">
        <x:v>19</x:v>
      </x:c>
      <x:c r="J9" s="53" t="n">
        <x:v>5</x:v>
      </x:c>
      <x:c r="K9" s="53" t="n">
        <x:v>13</x:v>
      </x:c>
      <x:c r="P9" t="n">
        <x:v>999</x:v>
      </x:c>
      <x:c r="Q9" t="str">
        <x:v>Létale</x:v>
      </x:c>
    </x:row>
    <x:row r="10">
      <x:c r="A10" t="str">
        <x:v>Facteur nombre minimum</x:v>
      </x:c>
      <x:c r="B10" s="48" t="n">
        <x:v>0.85</x:v>
      </x:c>
      <x:c r="D10" t="n">
        <x:v>8</x:v>
      </x:c>
      <x:c r="E10" s="53" t="n">
        <x:v>476.837158203125</x:v>
      </x:c>
      <x:c r="F10" s="53" t="n">
        <x:v>426.49611997600357</x:v>
      </x:c>
      <x:c r="G10" s="53" t="n">
        <x:v>533.1201499700045</x:v>
      </x:c>
      <x:c r="H10" s="53" t="n">
        <x:v>60</x:v>
      </x:c>
      <x:c r="I10" s="53" t="n">
        <x:v>20</x:v>
      </x:c>
      <x:c r="J10" s="53" t="n">
        <x:v>6</x:v>
      </x:c>
      <x:c r="K10" s="53" t="n">
        <x:v>14</x:v>
      </x:c>
    </x:row>
    <x:row r="11">
      <x:c r="A11" t="str">
        <x:v>Facteur nombre maximum</x:v>
      </x:c>
      <x:c r="B11" s="48" t="n">
        <x:v>1.2</x:v>
      </x:c>
      <x:c r="D11" t="n">
        <x:v>9</x:v>
      </x:c>
      <x:c r="E11" s="53" t="n">
        <x:v>596.0464477539062</x:v>
      </x:c>
      <x:c r="F11" s="53" t="n">
        <x:v>533.1201499700045</x:v>
      </x:c>
      <x:c r="G11" s="53" t="n">
        <x:v>666.4001874625056</x:v>
      </x:c>
      <x:c r="H11" s="53" t="n">
        <x:v>71</x:v>
      </x:c>
      <x:c r="I11" s="53" t="n">
        <x:v>21</x:v>
      </x:c>
      <x:c r="J11" s="53" t="n">
        <x:v>7</x:v>
      </x:c>
      <x:c r="K11" s="53" t="n">
        <x:v>16</x:v>
      </x:c>
    </x:row>
    <x:row r="12">
      <x:c r="D12" t="n">
        <x:v>10</x:v>
      </x:c>
      <x:c r="E12" s="53" t="n">
        <x:v>745.0580596923828</x:v>
      </x:c>
      <x:c r="F12" s="53" t="n">
        <x:v>666.4001874625055</x:v>
      </x:c>
      <x:c r="G12" s="53" t="n">
        <x:v>833.000234328132</x:v>
      </x:c>
      <x:c r="H12" s="53" t="n">
        <x:v>94</x:v>
      </x:c>
      <x:c r="I12" s="53" t="n">
        <x:v>22</x:v>
      </x:c>
      <x:c r="J12" s="53" t="n">
        <x:v>7</x:v>
      </x:c>
      <x:c r="K12" s="53" t="n">
        <x:v>17</x:v>
      </x:c>
    </x:row>
    <x:row r="13">
      <x:c r="D13" t="n">
        <x:v>11</x:v>
      </x:c>
      <x:c r="E13" s="53" t="n">
        <x:v>931.3225746154785</x:v>
      </x:c>
      <x:c r="F13" s="53" t="n">
        <x:v>833.000234328132</x:v>
      </x:c>
      <x:c r="G13" s="53" t="n">
        <x:v>1041.2502929101652</x:v>
      </x:c>
      <x:c r="H13" s="53" t="n">
        <x:v>110</x:v>
      </x:c>
      <x:c r="I13" s="53" t="n">
        <x:v>23</x:v>
      </x:c>
      <x:c r="J13" s="53" t="n">
        <x:v>8</x:v>
      </x:c>
      <x:c r="K13" s="53" t="n">
        <x:v>19</x:v>
      </x:c>
    </x:row>
    <x:row r="14">
      <x:c r="D14" t="n">
        <x:v>12</x:v>
      </x:c>
      <x:c r="E14" s="53" t="n">
        <x:v>1164.1532182693481</x:v>
      </x:c>
      <x:c r="F14" s="53" t="n">
        <x:v>1041.250292910165</x:v>
      </x:c>
      <x:c r="G14" s="53" t="n">
        <x:v>1301.5628661377064</x:v>
      </x:c>
      <x:c r="H14" s="53" t="n">
        <x:v>129</x:v>
      </x:c>
      <x:c r="I14" s="53" t="n">
        <x:v>24</x:v>
      </x:c>
      <x:c r="J14" s="53" t="n">
        <x:v>9</x:v>
      </x:c>
      <x:c r="K14" s="53" t="n">
        <x:v>20</x:v>
      </x:c>
    </x:row>
    <x:row r="15">
      <x:c r="D15" t="n">
        <x:v>13</x:v>
      </x:c>
      <x:c r="E15" s="53" t="n">
        <x:v>1455.1915228366852</x:v>
      </x:c>
      <x:c r="F15" s="53" t="n">
        <x:v>1301.5628661377061</x:v>
      </x:c>
      <x:c r="G15" s="53" t="n">
        <x:v>1626.9535826721328</x:v>
      </x:c>
      <x:c r="H15" s="53" t="n">
        <x:v>151</x:v>
      </x:c>
      <x:c r="I15" s="53" t="n">
        <x:v>25</x:v>
      </x:c>
      <x:c r="J15" s="53" t="n">
        <x:v>9</x:v>
      </x:c>
      <x:c r="K15" s="53" t="n">
        <x:v>21</x:v>
      </x:c>
    </x:row>
    <x:row r="16">
      <x:c r="D16" t="n">
        <x:v>14</x:v>
      </x:c>
      <x:c r="E16" s="53" t="n">
        <x:v>1818.9894035458565</x:v>
      </x:c>
      <x:c r="F16" s="53" t="n">
        <x:v>1626.9535826721328</x:v>
      </x:c>
      <x:c r="G16" s="53" t="n">
        <x:v>2033.691978340166</x:v>
      </x:c>
      <x:c r="H16" s="53" t="n">
        <x:v>176</x:v>
      </x:c>
      <x:c r="I16" s="53" t="n">
        <x:v>26</x:v>
      </x:c>
      <x:c r="J16" s="53" t="n">
        <x:v>10</x:v>
      </x:c>
      <x:c r="K16" s="53" t="n">
        <x:v>23</x:v>
      </x:c>
    </x:row>
    <x:row r="17">
      <x:c r="D17" t="n">
        <x:v>15</x:v>
      </x:c>
      <x:c r="E17" s="53" t="n">
        <x:v>2273.7367544323206</x:v>
      </x:c>
      <x:c r="F17" s="53" t="n">
        <x:v>2033.6919783401659</x:v>
      </x:c>
      <x:c r="G17" s="53" t="n">
        <x:v>2542.114972925208</x:v>
      </x:c>
      <x:c r="H17" s="53" t="n">
        <x:v>207</x:v>
      </x:c>
      <x:c r="I17" s="53" t="n">
        <x:v>27</x:v>
      </x:c>
      <x:c r="J17" s="53" t="n">
        <x:v>10</x:v>
      </x:c>
      <x:c r="K17" s="53" t="n">
        <x:v>24</x:v>
      </x:c>
    </x:row>
    <x:row r="18">
      <x:c r="D18" t="n">
        <x:v>16</x:v>
      </x:c>
      <x:c r="E18" s="53" t="n">
        <x:v>2842.1709430404007</x:v>
      </x:c>
      <x:c r="F18" s="53" t="n">
        <x:v>2542.1149729252074</x:v>
      </x:c>
      <x:c r="G18" s="53" t="n">
        <x:v>3177.6437161565095</x:v>
      </x:c>
      <x:c r="H18" s="53" t="n">
        <x:v>242</x:v>
      </x:c>
      <x:c r="I18" s="53" t="n">
        <x:v>28</x:v>
      </x:c>
      <x:c r="J18" s="53" t="n">
        <x:v>11</x:v>
      </x:c>
      <x:c r="K18" s="53" t="n">
        <x:v>25</x:v>
      </x:c>
    </x:row>
    <x:row r="19">
      <x:c r="D19" t="n">
        <x:v>17</x:v>
      </x:c>
      <x:c r="E19" s="53" t="n">
        <x:v>3552.713678800501</x:v>
      </x:c>
      <x:c r="F19" s="53" t="n">
        <x:v>3177.643716156509</x:v>
      </x:c>
      <x:c r="G19" s="53" t="n">
        <x:v>3972.054645195637</x:v>
      </x:c>
      <x:c r="H19" s="53" t="n">
        <x:v>284</x:v>
      </x:c>
      <x:c r="I19" s="53" t="n">
        <x:v>29</x:v>
      </x:c>
      <x:c r="J19" s="53" t="n">
        <x:v>12</x:v>
      </x:c>
      <x:c r="K19" s="53" t="n">
        <x:v>27</x:v>
      </x:c>
    </x:row>
    <x:row r="20">
      <x:c r="D20" t="n">
        <x:v>18</x:v>
      </x:c>
      <x:c r="E20" s="53" t="n">
        <x:v>4440.892098500626</x:v>
      </x:c>
      <x:c r="F20" s="53" t="n">
        <x:v>3972.0546451956366</x:v>
      </x:c>
      <x:c r="G20" s="53" t="n">
        <x:v>4965.068306494546</x:v>
      </x:c>
      <x:c r="H20" s="53" t="n">
        <x:v>334</x:v>
      </x:c>
      <x:c r="I20" s="53" t="n">
        <x:v>30</x:v>
      </x:c>
      <x:c r="J20" s="53" t="n">
        <x:v>12</x:v>
      </x:c>
      <x:c r="K20" s="53" t="n">
        <x:v>28</x:v>
      </x:c>
    </x:row>
    <x:row r="21">
      <x:c r="D21" t="n">
        <x:v>19</x:v>
      </x:c>
      <x:c r="E21" s="53" t="n">
        <x:v>5551.115123125783</x:v>
      </x:c>
      <x:c r="F21" s="53" t="n">
        <x:v>4965.068306494546</x:v>
      </x:c>
      <x:c r="G21" s="53" t="n">
        <x:v>6206.335383118183</x:v>
      </x:c>
      <x:c r="H21" s="53" t="n">
        <x:v>411</x:v>
      </x:c>
      <x:c r="I21" s="53" t="n">
        <x:v>31</x:v>
      </x:c>
      <x:c r="J21" s="53" t="n">
        <x:v>12</x:v>
      </x:c>
      <x:c r="K21" s="53" t="n">
        <x:v>29</x:v>
      </x:c>
    </x:row>
    <x:row r="22">
      <x:c r="D22" t="n">
        <x:v>20</x:v>
      </x:c>
      <x:c r="E22" s="53" t="n">
        <x:v>6938.893903907228</x:v>
      </x:c>
      <x:c r="F22" s="53" t="n">
        <x:v>6206.335383118182</x:v>
      </x:c>
      <x:c r="G22" s="53" t="n">
        <x:v>7757.919228897728</x:v>
      </x:c>
      <x:c r="H22" s="53" t="n">
        <x:v>482</x:v>
      </x:c>
      <x:c r="I22" s="53" t="n">
        <x:v>32</x:v>
      </x:c>
      <x:c r="J22" s="53" t="n">
        <x:v>13</x:v>
      </x:c>
      <x:c r="K22" s="53" t="n">
        <x:v>30</x:v>
      </x:c>
    </x:row>
    <x:row r="23">
      <x:c r="D23" t="n">
        <x:v>21</x:v>
      </x:c>
      <x:c r="E23" s="53" t="n">
        <x:v>8673.617379884035</x:v>
      </x:c>
      <x:c r="F23" s="53" t="n">
        <x:v>7757.919228897727</x:v>
      </x:c>
      <x:c r="G23" s="53" t="n">
        <x:v>9697.39903612216</x:v>
      </x:c>
      <x:c r="H23" s="53" t="n">
        <x:v>565</x:v>
      </x:c>
      <x:c r="I23" s="53" t="n">
        <x:v>33</x:v>
      </x:c>
      <x:c r="J23" s="53" t="n">
        <x:v>14</x:v>
      </x:c>
      <x:c r="K23" s="53" t="n">
        <x:v>32</x:v>
      </x:c>
    </x:row>
    <x:row r="24">
      <x:c r="D24" t="n">
        <x:v>22</x:v>
      </x:c>
      <x:c r="E24" s="53" t="n">
        <x:v>10842.021724855043</x:v>
      </x:c>
      <x:c r="F24" s="53" t="n">
        <x:v>9697.399036122159</x:v>
      </x:c>
      <x:c r="G24" s="53" t="n">
        <x:v>12121.7487951527</x:v>
      </x:c>
      <x:c r="H24" s="53" t="n">
        <x:v>663</x:v>
      </x:c>
      <x:c r="I24" s="53" t="n">
        <x:v>34</x:v>
      </x:c>
      <x:c r="J24" s="53" t="n">
        <x:v>14</x:v>
      </x:c>
      <x:c r="K24" s="53" t="n">
        <x:v>33</x:v>
      </x:c>
    </x:row>
    <x:row r="25">
      <x:c r="D25" t="n">
        <x:v>23</x:v>
      </x:c>
      <x:c r="E25" s="53" t="n">
        <x:v>13552.527156068805</x:v>
      </x:c>
      <x:c r="F25" s="53" t="n">
        <x:v>12121.7487951527</x:v>
      </x:c>
      <x:c r="G25" s="53" t="n">
        <x:v>15152.185993940875</x:v>
      </x:c>
      <x:c r="H25" s="53" t="n">
        <x:v>779</x:v>
      </x:c>
      <x:c r="I25" s="53" t="n">
        <x:v>35</x:v>
      </x:c>
      <x:c r="J25" s="53" t="n">
        <x:v>14</x:v>
      </x:c>
      <x:c r="K25" s="53" t="n">
        <x:v>34</x:v>
      </x:c>
    </x:row>
    <x:row r="26">
      <x:c r="D26" t="n">
        <x:v>24</x:v>
      </x:c>
      <x:c r="E26" s="53" t="n">
        <x:v>16940.65894508601</x:v>
      </x:c>
      <x:c r="F26" s="53" t="n">
        <x:v>15152.185993940875</x:v>
      </x:c>
      <x:c r="G26" s="53" t="n">
        <x:v>18940.232492426097</x:v>
      </x:c>
      <x:c r="H26" s="53" t="n">
        <x:v>917</x:v>
      </x:c>
      <x:c r="I26" s="53" t="n">
        <x:v>36</x:v>
      </x:c>
      <x:c r="J26" s="53" t="n">
        <x:v>16</x:v>
      </x:c>
      <x:c r="K26" s="53" t="n">
        <x:v>36</x:v>
      </x:c>
    </x:row>
    <x:row r="27">
      <x:c r="D27" t="n">
        <x:v>25</x:v>
      </x:c>
      <x:c r="E27" s="53" t="n">
        <x:v>21175.82368135751</x:v>
      </x:c>
      <x:c r="F27" s="53" t="n">
        <x:v>18940.232492426094</x:v>
      </x:c>
      <x:c r="G27" s="53" t="n">
        <x:v>23675.29061553262</x:v>
      </x:c>
      <x:c r="H27" s="53" t="n">
        <x:v>1081</x:v>
      </x:c>
      <x:c r="I27" s="53" t="n">
        <x:v>38</x:v>
      </x:c>
      <x:c r="J27" s="53" t="n">
        <x:v>16</x:v>
      </x:c>
      <x:c r="K27" s="53" t="n">
        <x:v>37</x:v>
      </x:c>
    </x:row>
    <x:row r="28">
      <x:c r="D28" t="n">
        <x:v>26</x:v>
      </x:c>
      <x:c r="E28" s="53" t="n">
        <x:v>26469.77960169689</x:v>
      </x:c>
      <x:c r="F28" s="53" t="n">
        <x:v>23675.29061553262</x:v>
      </x:c>
      <x:c r="G28" s="53" t="n">
        <x:v>29594.11326941578</x:v>
      </x:c>
      <x:c r="H28" s="53" t="n">
        <x:v>1275</x:v>
      </x:c>
      <x:c r="I28" s="53" t="n">
        <x:v>39</x:v>
      </x:c>
      <x:c r="J28" s="53" t="n">
        <x:v>16</x:v>
      </x:c>
      <x:c r="K28" s="53" t="n">
        <x:v>38</x:v>
      </x:c>
    </x:row>
    <x:row r="29">
      <x:c r="D29" t="n">
        <x:v>27</x:v>
      </x:c>
      <x:c r="E29" s="53" t="n">
        <x:v>33087.224502121106</x:v>
      </x:c>
      <x:c r="F29" s="53" t="n">
        <x:v>29594.113269415768</x:v>
      </x:c>
      <x:c r="G29" s="53" t="n">
        <x:v>36992.641586769714</x:v>
      </x:c>
      <x:c r="H29" s="53" t="n">
        <x:v>1506</x:v>
      </x:c>
      <x:c r="I29" s="53" t="n">
        <x:v>40</x:v>
      </x:c>
      <x:c r="J29" s="53" t="n">
        <x:v>17</x:v>
      </x:c>
      <x:c r="K29" s="53" t="n">
        <x:v>40</x:v>
      </x:c>
    </x:row>
    <x:row r="30">
      <x:c r="D30" t="n">
        <x:v>28</x:v>
      </x:c>
      <x:c r="E30" s="53" t="n">
        <x:v>41359.03062765139</x:v>
      </x:c>
      <x:c r="F30" s="53" t="n">
        <x:v>36992.641586769714</x:v>
      </x:c>
      <x:c r="G30" s="53" t="n">
        <x:v>46240.80198346215</x:v>
      </x:c>
      <x:c r="H30" s="53" t="n">
        <x:v>1779</x:v>
      </x:c>
      <x:c r="I30" s="53" t="n">
        <x:v>41</x:v>
      </x:c>
      <x:c r="J30" s="53" t="n">
        <x:v>18</x:v>
      </x:c>
      <x:c r="K30" s="53" t="n">
        <x:v>41</x:v>
      </x:c>
    </x:row>
    <x:row r="31">
      <x:c r="D31" t="n">
        <x:v>29</x:v>
      </x:c>
      <x:c r="E31" s="53" t="n">
        <x:v>51698.78828456423</x:v>
      </x:c>
      <x:c r="F31" s="53" t="n">
        <x:v>46240.801983462145</x:v>
      </x:c>
      <x:c r="G31" s="53" t="n">
        <x:v>57801.00247932768</x:v>
      </x:c>
      <x:c r="H31" s="53" t="n">
        <x:v>2133</x:v>
      </x:c>
      <x:c r="I31" s="53" t="n">
        <x:v>42</x:v>
      </x:c>
      <x:c r="J31" s="53" t="n">
        <x:v>18</x:v>
      </x:c>
      <x:c r="K31" s="53" t="n">
        <x:v>42</x:v>
      </x:c>
    </x:row>
    <x:row r="32">
      <x:c r="D32" t="n">
        <x:v>30</x:v>
      </x:c>
      <x:c r="E32" s="53" t="n">
        <x:v>64623.485355705285</x:v>
      </x:c>
      <x:c r="F32" s="53" t="n">
        <x:v>57801.002479327675</x:v>
      </x:c>
      <x:c r="G32" s="53" t="n">
        <x:v>72251.2530991596</x:v>
      </x:c>
      <x:c r="H32" s="53" t="n">
        <x:v>2521</x:v>
      </x:c>
      <x:c r="I32" s="53" t="n">
        <x:v>43</x:v>
      </x:c>
      <x:c r="J32" s="53" t="n">
        <x:v>18</x:v>
      </x:c>
      <x:c r="K32" s="53" t="n">
        <x:v>43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7" hidden="0" customWidth="1"/>
    <x:col min="7" max="7" width="18" hidden="0" customWidth="1"/>
    <x:col min="8" max="8" width="16" hidden="0" customWidth="1"/>
    <x:col min="9" max="9" width="14" hidden="0" customWidth="1"/>
    <x:col min="10" max="10" width="14" hidden="0" customWidth="1"/>
  </x:cols>
  <x:sheetData>
    <x:row r="1">
      <x:c r="A1" s="82" t="str">
        <x:v>SIMULATEUR DE RENCONTRE</x:v>
      </x:c>
      <x:c r="B1" s="82"/>
      <x:c r="C1" s="82"/>
      <x:c r="D1" s="82"/>
      <x:c r="E1" s="82"/>
      <x:c r="F1" s="82"/>
      <x:c r="G1" s="82"/>
      <x:c r="H1" s="82"/>
      <x:c r="I1" s="82"/>
      <x:c r="J1" s="82"/>
    </x:row>
    <x:row r="3">
      <x:c r="A3" s="47" t="str">
        <x:v>GROUPE DE PJ</x:v>
      </x:c>
      <x:c r="B3" s="47"/>
      <x:c r="C3" s="47"/>
      <x:c r="D3" s="47"/>
      <x:c r="F3" s="47" t="str">
        <x:v>PUISSANCE DU GROUPE</x:v>
      </x:c>
      <x:c r="G3" s="47"/>
      <x:c r="H3" s="47"/>
    </x:row>
    <x:row r="4">
      <x:c r="A4" s="52" t="str">
        <x:v>PJ</x:v>
      </x:c>
      <x:c r="B4" s="52" t="str">
        <x:v>Niveau</x:v>
      </x:c>
      <x:c r="C4" s="52" t="str">
        <x:v>Mod. puissance</x:v>
      </x:c>
      <x:c r="D4" s="52" t="str">
        <x:v>Puissance</x:v>
      </x:c>
      <x:c r="F4" t="str">
        <x:v>Nombre de PJ</x:v>
      </x:c>
      <x:c r="G4" s="77" t="n">
        <x:f>COUNT(B5:B12)</x:f>
        <x:v>4</x:v>
      </x:c>
    </x:row>
    <x:row r="5">
      <x:c r="A5" s="76" t="str">
        <x:v>PJ 1</x:v>
      </x:c>
      <x:c r="B5" s="76" t="n">
        <x:v>10</x:v>
      </x:c>
      <x:c r="C5" s="78" t="n">
        <x:v>1</x:v>
      </x:c>
      <x:c r="D5" s="79" t="n">
        <x:f>IF(B5="","",Ref_Danger!$B$2*POWER(Ref_Danger!$B$3,B5-1)*C5)</x:f>
        <x:v>745.0580596923828</x:v>
      </x:c>
      <x:c r="F5" t="str">
        <x:v>Puissance totale</x:v>
      </x:c>
      <x:c r="G5" s="79" t="n">
        <x:f>SUM(D5:D12)</x:f>
        <x:v>2980.2322387695312</x:v>
      </x:c>
    </x:row>
    <x:row r="6">
      <x:c r="A6" s="76" t="str">
        <x:v>PJ 2</x:v>
      </x:c>
      <x:c r="B6" s="76" t="n">
        <x:v>10</x:v>
      </x:c>
      <x:c r="C6" s="78" t="n">
        <x:v>1</x:v>
      </x:c>
      <x:c r="D6" s="79" t="n">
        <x:f>IF(B6="","",Ref_Danger!$B$2*POWER(Ref_Danger!$B$3,B6-1)*C6)</x:f>
        <x:v>745.0580596923828</x:v>
      </x:c>
      <x:c r="F6" t="str">
        <x:v>Puissance moyenne PJ</x:v>
      </x:c>
      <x:c r="G6" s="79" t="n">
        <x:f>IF(G4=0,0,G5/G4)</x:f>
        <x:v>745.0580596923828</x:v>
      </x:c>
    </x:row>
    <x:row r="7">
      <x:c r="A7" s="76" t="str">
        <x:v>PJ 3</x:v>
      </x:c>
      <x:c r="B7" s="76" t="n">
        <x:v>10</x:v>
      </x:c>
      <x:c r="C7" s="78" t="n">
        <x:v>1</x:v>
      </x:c>
      <x:c r="D7" s="79" t="n">
        <x:f>IF(B7="","",Ref_Danger!$B$2*POWER(Ref_Danger!$B$3,B7-1)*C7)</x:f>
        <x:v>745.0580596923828</x:v>
      </x:c>
      <x:c r="F7" t="str">
        <x:v>Niveau équivalent groupe</x:v>
      </x:c>
      <x:c r="G7" s="80" t="n">
        <x:f>IF(G5&lt;=0,"",1+LN(G5/Ref_Danger!$B$2)/LN(Ref_Danger!$B$3))</x:f>
        <x:v>16.21256743901078</x:v>
      </x:c>
    </x:row>
    <x:row r="8">
      <x:c r="A8" s="76" t="str">
        <x:v>PJ 4</x:v>
      </x:c>
      <x:c r="B8" s="76" t="n">
        <x:v>10</x:v>
      </x:c>
      <x:c r="C8" s="78" t="n">
        <x:v>1</x:v>
      </x:c>
      <x:c r="D8" s="79" t="n">
        <x:f>IF(B8="","",Ref_Danger!$B$2*POWER(Ref_Danger!$B$3,B8-1)*C8)</x:f>
        <x:v>745.0580596923828</x:v>
      </x:c>
      <x:c r="F8" t="str">
        <x:v>Courbe</x:v>
      </x:c>
      <x:c r="G8" t="str">
        <x:v>×1,25 / niveau</x:v>
      </x:c>
    </x:row>
    <x:row r="9">
      <x:c r="A9" s="76" t="str">
        <x:v>PJ 5</x:v>
      </x:c>
      <x:c r="B9" s="76" t="str"/>
      <x:c r="C9" s="78" t="n">
        <x:v>1</x:v>
      </x:c>
      <x:c r="D9" s="79" t="str">
        <x:f>IF(B9="","",Ref_Danger!$B$2*POWER(Ref_Danger!$B$3,B9-1)*C9)</x:f>
      </x:c>
    </x:row>
    <x:row r="10">
      <x:c r="A10" s="76" t="str">
        <x:v>PJ 6</x:v>
      </x:c>
      <x:c r="B10" s="76" t="str"/>
      <x:c r="C10" s="78" t="n">
        <x:v>1</x:v>
      </x:c>
      <x:c r="D10" s="79" t="str">
        <x:f>IF(B10="","",Ref_Danger!$B$2*POWER(Ref_Danger!$B$3,B10-1)*C10)</x:f>
      </x:c>
    </x:row>
    <x:row r="11">
      <x:c r="A11" s="76" t="str">
        <x:v>PJ 7</x:v>
      </x:c>
      <x:c r="B11" s="76" t="str"/>
      <x:c r="C11" s="78" t="n">
        <x:v>1</x:v>
      </x:c>
      <x:c r="D11" s="79" t="str">
        <x:f>IF(B11="","",Ref_Danger!$B$2*POWER(Ref_Danger!$B$3,B11-1)*C11)</x:f>
      </x:c>
    </x:row>
    <x:row r="12">
      <x:c r="A12" s="76" t="str">
        <x:v>PJ 8</x:v>
      </x:c>
      <x:c r="B12" s="76" t="str"/>
      <x:c r="C12" s="78" t="n">
        <x:v>1</x:v>
      </x:c>
      <x:c r="D12" s="79" t="str">
        <x:f>IF(B12="","",Ref_Danger!$B$2*POWER(Ref_Danger!$B$3,B12-1)*C12)</x:f>
      </x:c>
    </x:row>
    <x:row r="13">
      <x:c r="A13" s="71" t="str">
        <x:v>Mod. puissance conseillé : 0,90 faible · 1,00 standard · 1,10 optimisé · 1,20 très optimisé</x:v>
      </x:c>
      <x:c r="B13" s="71"/>
      <x:c r="C13" s="71"/>
      <x:c r="D13" s="71"/>
    </x:row>
    <x:row r="16">
      <x:c r="A16" s="47" t="str">
        <x:v>ENNEMIS</x:v>
      </x:c>
      <x:c r="B16" s="47"/>
      <x:c r="C16" s="47"/>
      <x:c r="D16" s="47"/>
      <x:c r="E16" s="47"/>
      <x:c r="F16" s="47"/>
      <x:c r="G16" s="47"/>
      <x:c r="H16" s="47"/>
    </x:row>
    <x:row r="17">
      <x:c r="A17" s="52" t="str">
        <x:v>Ennemi</x:v>
      </x:c>
      <x:c r="B17" s="52" t="str">
        <x:v>Qté</x:v>
      </x:c>
      <x:c r="C17" s="52" t="str">
        <x:v>Danger individuel</x:v>
      </x:c>
      <x:c r="D17" s="52" t="str">
        <x:v>NC réel</x:v>
      </x:c>
      <x:c r="E17" s="52" t="str">
        <x:v>Ratio / PJ moyen</x:v>
      </x:c>
      <x:c r="F17" s="52" t="str">
        <x:v>Poids présence</x:v>
      </x:c>
      <x:c r="G17" s="52" t="str">
        <x:v>Ennemis effectifs</x:v>
      </x:c>
      <x:c r="H17" s="52" t="str">
        <x:v>Danger brut</x:v>
      </x:c>
    </x:row>
    <x:row r="18">
      <x:c r="A18" t="str">
        <x:f>Creator!B4</x:f>
        <x:v>Créature exemple</x:v>
      </x:c>
      <x:c r="B18" s="76" t="n">
        <x:v>1</x:v>
      </x:c>
      <x:c r="C18" s="80" t="n">
        <x:f>Moteur!AB26</x:f>
        <x:v>873.6211402457027</x:v>
      </x:c>
      <x:c r="D18" s="80" t="n">
        <x:f>Moteur!AB27</x:f>
        <x:v>10.713373319298498</x:v>
      </x:c>
      <x:c r="E18" s="80" t="n">
        <x:f>IF(OR(C18="",G6=0),"",C18/$G$6)</x:f>
        <x:v>1.1725544457654757</x:v>
      </x:c>
      <x:c r="F18" s="80" t="n">
        <x:f>IF(E18="","",MIN(Ref_Danger!$B$8,MAX(Ref_Danger!$B$7,POWER(E18,Ref_Danger!$B$6))))</x:f>
        <x:v>1.1268075889004225</x:v>
      </x:c>
      <x:c r="G18" s="80" t="n">
        <x:f>IF(F18="","",B18*F18)</x:f>
        <x:v>1.1268075889004225</x:v>
      </x:c>
      <x:c r="H18" s="80" t="n">
        <x:f>IF(C18="","",B18*C18)</x:f>
        <x:v>873.6211402457027</x:v>
      </x:c>
    </x:row>
    <x:row r="19">
      <x:c r="A19" s="76" t="str"/>
      <x:c r="B19" s="76" t="n">
        <x:v>1</x:v>
      </x:c>
      <x:c r="C19" s="78" t="str"/>
      <x:c r="D19" s="80" t="str">
        <x:f>IF(C19="","",1+LN(C19/Ref_Danger!$B$2)/LN(Ref_Danger!$B$3))</x:f>
      </x:c>
      <x:c r="E19" s="80" t="str">
        <x:f>IF(OR(C19="",G6=0),"",C19/$G$6)</x:f>
      </x:c>
      <x:c r="F19" s="80" t="str">
        <x:f>IF(E19="","",MIN(Ref_Danger!$B$8,MAX(Ref_Danger!$B$7,POWER(E19,Ref_Danger!$B$6))))</x:f>
      </x:c>
      <x:c r="G19" s="80" t="str">
        <x:f>IF(F19="","",B19*F19)</x:f>
      </x:c>
      <x:c r="H19" s="80" t="str">
        <x:f>IF(C19="","",B19*C19)</x:f>
      </x:c>
    </x:row>
    <x:row r="20">
      <x:c r="A20" s="76" t="str"/>
      <x:c r="B20" s="76" t="n">
        <x:v>1</x:v>
      </x:c>
      <x:c r="C20" s="78" t="str"/>
      <x:c r="D20" s="80" t="str">
        <x:f>IF(C20="","",1+LN(C20/Ref_Danger!$B$2)/LN(Ref_Danger!$B$3))</x:f>
      </x:c>
      <x:c r="E20" s="80" t="str">
        <x:f>IF(OR(C20="",G6=0),"",C20/$G$6)</x:f>
      </x:c>
      <x:c r="F20" s="80" t="str">
        <x:f>IF(E20="","",MIN(Ref_Danger!$B$8,MAX(Ref_Danger!$B$7,POWER(E20,Ref_Danger!$B$6))))</x:f>
      </x:c>
      <x:c r="G20" s="80" t="str">
        <x:f>IF(F20="","",B20*F20)</x:f>
      </x:c>
      <x:c r="H20" s="80" t="str">
        <x:f>IF(C20="","",B20*C20)</x:f>
      </x:c>
    </x:row>
    <x:row r="21">
      <x:c r="A21" s="76" t="str"/>
      <x:c r="B21" s="76" t="n">
        <x:v>1</x:v>
      </x:c>
      <x:c r="C21" s="78" t="str"/>
      <x:c r="D21" s="80" t="str">
        <x:f>IF(C21="","",1+LN(C21/Ref_Danger!$B$2)/LN(Ref_Danger!$B$3))</x:f>
      </x:c>
      <x:c r="E21" s="80" t="str">
        <x:f>IF(OR(C21="",G6=0),"",C21/$G$6)</x:f>
      </x:c>
      <x:c r="F21" s="80" t="str">
        <x:f>IF(E21="","",MIN(Ref_Danger!$B$8,MAX(Ref_Danger!$B$7,POWER(E21,Ref_Danger!$B$6))))</x:f>
      </x:c>
      <x:c r="G21" s="80" t="str">
        <x:f>IF(F21="","",B21*F21)</x:f>
      </x:c>
      <x:c r="H21" s="80" t="str">
        <x:f>IF(C21="","",B21*C21)</x:f>
      </x:c>
    </x:row>
    <x:row r="22">
      <x:c r="A22" s="76" t="str"/>
      <x:c r="B22" s="76" t="n">
        <x:v>1</x:v>
      </x:c>
      <x:c r="C22" s="78" t="str"/>
      <x:c r="D22" s="80" t="str">
        <x:f>IF(C22="","",1+LN(C22/Ref_Danger!$B$2)/LN(Ref_Danger!$B$3))</x:f>
      </x:c>
      <x:c r="E22" s="80" t="str">
        <x:f>IF(OR(C22="",G6=0),"",C22/$G$6)</x:f>
      </x:c>
      <x:c r="F22" s="80" t="str">
        <x:f>IF(E22="","",MIN(Ref_Danger!$B$8,MAX(Ref_Danger!$B$7,POWER(E22,Ref_Danger!$B$6))))</x:f>
      </x:c>
      <x:c r="G22" s="80" t="str">
        <x:f>IF(F22="","",B22*F22)</x:f>
      </x:c>
      <x:c r="H22" s="80" t="str">
        <x:f>IF(C22="","",B22*C22)</x:f>
      </x:c>
    </x:row>
    <x:row r="23">
      <x:c r="A23" s="76" t="str"/>
      <x:c r="B23" s="76" t="n">
        <x:v>1</x:v>
      </x:c>
      <x:c r="C23" s="78" t="str"/>
      <x:c r="D23" s="80" t="str">
        <x:f>IF(C23="","",1+LN(C23/Ref_Danger!$B$2)/LN(Ref_Danger!$B$3))</x:f>
      </x:c>
      <x:c r="E23" s="80" t="str">
        <x:f>IF(OR(C23="",G6=0),"",C23/$G$6)</x:f>
      </x:c>
      <x:c r="F23" s="80" t="str">
        <x:f>IF(E23="","",MIN(Ref_Danger!$B$8,MAX(Ref_Danger!$B$7,POWER(E23,Ref_Danger!$B$6))))</x:f>
      </x:c>
      <x:c r="G23" s="80" t="str">
        <x:f>IF(F23="","",B23*F23)</x:f>
      </x:c>
      <x:c r="H23" s="80" t="str">
        <x:f>IF(C23="","",B23*C23)</x:f>
      </x:c>
    </x:row>
    <x:row r="24">
      <x:c r="A24" s="76" t="str"/>
      <x:c r="B24" s="76" t="n">
        <x:v>1</x:v>
      </x:c>
      <x:c r="C24" s="78" t="str"/>
      <x:c r="D24" s="80" t="str">
        <x:f>IF(C24="","",1+LN(C24/Ref_Danger!$B$2)/LN(Ref_Danger!$B$3))</x:f>
      </x:c>
      <x:c r="E24" s="80" t="str">
        <x:f>IF(OR(C24="",G6=0),"",C24/$G$6)</x:f>
      </x:c>
      <x:c r="F24" s="80" t="str">
        <x:f>IF(E24="","",MIN(Ref_Danger!$B$8,MAX(Ref_Danger!$B$7,POWER(E24,Ref_Danger!$B$6))))</x:f>
      </x:c>
      <x:c r="G24" s="80" t="str">
        <x:f>IF(F24="","",B24*F24)</x:f>
      </x:c>
      <x:c r="H24" s="80" t="str">
        <x:f>IF(C24="","",B24*C24)</x:f>
      </x:c>
    </x:row>
    <x:row r="25">
      <x:c r="A25" s="76" t="str"/>
      <x:c r="B25" s="76" t="n">
        <x:v>1</x:v>
      </x:c>
      <x:c r="C25" s="78" t="str"/>
      <x:c r="D25" s="80" t="str">
        <x:f>IF(C25="","",1+LN(C25/Ref_Danger!$B$2)/LN(Ref_Danger!$B$3))</x:f>
      </x:c>
      <x:c r="E25" s="80" t="str">
        <x:f>IF(OR(C25="",G6=0),"",C25/$G$6)</x:f>
      </x:c>
      <x:c r="F25" s="80" t="str">
        <x:f>IF(E25="","",MIN(Ref_Danger!$B$8,MAX(Ref_Danger!$B$7,POWER(E25,Ref_Danger!$B$6))))</x:f>
      </x:c>
      <x:c r="G25" s="80" t="str">
        <x:f>IF(F25="","",B25*F25)</x:f>
      </x:c>
      <x:c r="H25" s="80" t="str">
        <x:f>IF(C25="","",B25*C25)</x:f>
      </x:c>
    </x:row>
    <x:row r="26">
      <x:c r="A26" s="76" t="str"/>
      <x:c r="B26" s="76" t="n">
        <x:v>1</x:v>
      </x:c>
      <x:c r="C26" s="78" t="str"/>
      <x:c r="D26" s="80" t="str">
        <x:f>IF(C26="","",1+LN(C26/Ref_Danger!$B$2)/LN(Ref_Danger!$B$3))</x:f>
      </x:c>
      <x:c r="E26" s="80" t="str">
        <x:f>IF(OR(C26="",G6=0),"",C26/$G$6)</x:f>
      </x:c>
      <x:c r="F26" s="80" t="str">
        <x:f>IF(E26="","",MIN(Ref_Danger!$B$8,MAX(Ref_Danger!$B$7,POWER(E26,Ref_Danger!$B$6))))</x:f>
      </x:c>
      <x:c r="G26" s="80" t="str">
        <x:f>IF(F26="","",B26*F26)</x:f>
      </x:c>
      <x:c r="H26" s="80" t="str">
        <x:f>IF(C26="","",B26*C26)</x:f>
      </x:c>
    </x:row>
    <x:row r="27">
      <x:c r="A27" s="76" t="str"/>
      <x:c r="B27" s="76" t="n">
        <x:v>1</x:v>
      </x:c>
      <x:c r="C27" s="78" t="str"/>
      <x:c r="D27" s="80" t="str">
        <x:f>IF(C27="","",1+LN(C27/Ref_Danger!$B$2)/LN(Ref_Danger!$B$3))</x:f>
      </x:c>
      <x:c r="E27" s="80" t="str">
        <x:f>IF(OR(C27="",G6=0),"",C27/$G$6)</x:f>
      </x:c>
      <x:c r="F27" s="80" t="str">
        <x:f>IF(E27="","",MIN(Ref_Danger!$B$8,MAX(Ref_Danger!$B$7,POWER(E27,Ref_Danger!$B$6))))</x:f>
      </x:c>
      <x:c r="G27" s="80" t="str">
        <x:f>IF(F27="","",B27*F27)</x:f>
      </x:c>
      <x:c r="H27" s="80" t="str">
        <x:f>IF(C27="","",B27*C27)</x:f>
      </x:c>
    </x:row>
    <x:row r="30">
      <x:c r="A30" s="47" t="str">
        <x:v>RÉSULTAT DE LA RENCONTRE</x:v>
      </x:c>
      <x:c r="B30" s="47"/>
      <x:c r="C30" s="47"/>
      <x:c r="D30" s="47"/>
      <x:c r="E30" s="47"/>
      <x:c r="F30" s="47"/>
      <x:c r="G30" s="47"/>
      <x:c r="H30" s="47"/>
    </x:row>
    <x:row r="31">
      <x:c r="A31" t="str">
        <x:v>Danger brut</x:v>
      </x:c>
      <x:c r="B31" s="80" t="n">
        <x:f>SUM(H18:H27)</x:f>
        <x:v>873.6211402457027</x:v>
      </x:c>
      <x:c r="D31" s="72" t="str">
        <x:v>Le facteur de nombre dépend de la présence effective des ennemis.
Chaque ennemi est pondéré par son Danger individuel par rapport à la puissance moyenne d’un PJ. Un ennemi très faible compte donc moins dans l’économie d’action, car il est supposé perdre rapidement ses actions en mourant.
Danger rencontre = somme des Dangers individuels × facteur de nombre.</x:v>
      </x:c>
      <x:c r="E31" s="72"/>
      <x:c r="F31" s="72"/>
      <x:c r="G31" s="72"/>
      <x:c r="H31" s="72"/>
      <x:c r="I31" s="72"/>
      <x:c r="J31" s="72"/>
    </x:row>
    <x:row r="32">
      <x:c r="A32" t="str">
        <x:v>Ennemis effectifs</x:v>
      </x:c>
      <x:c r="B32" s="80" t="n">
        <x:f>SUM(G18:G27)</x:f>
        <x:v>1.1268075889004225</x:v>
      </x:c>
      <x:c r="D32" s="72"/>
      <x:c r="E32" s="72"/>
      <x:c r="F32" s="72"/>
      <x:c r="G32" s="72"/>
      <x:c r="H32" s="72"/>
      <x:c r="I32" s="72"/>
      <x:c r="J32" s="72"/>
    </x:row>
    <x:row r="33">
      <x:c r="A33" t="str">
        <x:v>Ratio actions effectif</x:v>
      </x:c>
      <x:c r="B33" s="80" t="n">
        <x:f>IF($G$4=0,0,B32/$G$4)</x:f>
        <x:v>0.28170189722510564</x:v>
      </x:c>
      <x:c r="D33" s="72"/>
      <x:c r="E33" s="72"/>
      <x:c r="F33" s="72"/>
      <x:c r="G33" s="72"/>
      <x:c r="H33" s="72"/>
      <x:c r="I33" s="72"/>
      <x:c r="J33" s="72"/>
    </x:row>
    <x:row r="34">
      <x:c r="A34" t="str">
        <x:v>Facteur de nombre</x:v>
      </x:c>
      <x:c r="B34" s="80" t="n">
        <x:f>MIN(Ref_Danger!$B$11,MAX(Ref_Danger!$B$10,1+Ref_Danger!$B$9*(B33-1)))</x:f>
        <x:v>0.8922552845837659</x:v>
      </x:c>
      <x:c r="D34" s="72"/>
      <x:c r="E34" s="72"/>
      <x:c r="F34" s="72"/>
      <x:c r="G34" s="72"/>
      <x:c r="H34" s="72"/>
      <x:c r="I34" s="72"/>
      <x:c r="J34" s="72"/>
    </x:row>
    <x:row r="35">
      <x:c r="A35" t="str">
        <x:v>Danger rencontre</x:v>
      </x:c>
      <x:c r="B35" s="80" t="n">
        <x:f>B31*B34</x:f>
        <x:v>779.4930791083235</x:v>
      </x:c>
      <x:c r="D35" s="72"/>
      <x:c r="E35" s="72"/>
      <x:c r="F35" s="72"/>
      <x:c r="G35" s="72"/>
      <x:c r="H35" s="72"/>
      <x:c r="I35" s="72"/>
      <x:c r="J35" s="72"/>
    </x:row>
    <x:row r="36">
      <x:c r="A36" t="str">
        <x:v>Puissance groupe</x:v>
      </x:c>
      <x:c r="B36" s="80" t="n">
        <x:f>$G$5</x:f>
        <x:v>2980.2322387695312</x:v>
      </x:c>
      <x:c r="D36" s="72"/>
      <x:c r="E36" s="72"/>
      <x:c r="F36" s="72"/>
      <x:c r="G36" s="72"/>
      <x:c r="H36" s="72"/>
      <x:c r="I36" s="72"/>
      <x:c r="J36" s="72"/>
    </x:row>
    <x:row r="37">
      <x:c r="A37" t="str">
        <x:v>Ratio difficulté</x:v>
      </x:c>
      <x:c r="B37" s="80" t="n">
        <x:f>IF(B36=0,0,B35/B36)</x:f>
        <x:v>0.2615544751741086</x:v>
      </x:c>
      <x:c r="D37" s="72"/>
      <x:c r="E37" s="72"/>
      <x:c r="F37" s="72"/>
      <x:c r="G37" s="72"/>
      <x:c r="H37" s="72"/>
      <x:c r="I37" s="72"/>
      <x:c r="J37" s="72"/>
    </x:row>
    <x:row r="38">
      <x:c r="A38" t="str">
        <x:v>NC équivalent rencontre</x:v>
      </x:c>
      <x:c r="B38" s="80" t="n">
        <x:f>IF(B35&lt;=0,"",1+LN(B35/Ref_Danger!$B$2)/LN(Ref_Danger!$B$3))</x:f>
        <x:v>10.202478009097113</x:v>
      </x:c>
      <x:c r="D38" s="72"/>
      <x:c r="E38" s="72"/>
      <x:c r="F38" s="72"/>
      <x:c r="G38" s="72"/>
      <x:c r="H38" s="72"/>
      <x:c r="I38" s="72"/>
      <x:c r="J38" s="72"/>
    </x:row>
    <x:row r="39">
      <x:c r="A39" t="str">
        <x:v>Difficulté</x:v>
      </x:c>
      <x:c r="B39" s="81" t="str">
        <x:f>IF(B37&lt;0.55,"Triviale",IF(B37&lt;0.75,"Facile",IF(B37&lt;0.95,"Modérée",IF(B37&lt;1.10,"Standard",IF(B37&lt;1.25,"Difficile",IF(B37&lt;1.45,"Très difficile",IF(B37&lt;1.65,"Extrême","Létale")))))))</x:f>
        <x:v>Triviale</x:v>
      </x:c>
      <x:c r="D39" s="72"/>
      <x:c r="E39" s="72"/>
      <x:c r="F39" s="72"/>
      <x:c r="G39" s="72"/>
      <x:c r="H39" s="72"/>
      <x:c r="I39" s="72"/>
      <x:c r="J39" s="72"/>
    </x:row>
    <x:row r="42">
      <x:c r="A42" s="52" t="str">
        <x:v>Ratio</x:v>
      </x:c>
      <x:c r="B42" s="52" t="str">
        <x:v>Difficulté</x:v>
      </x:c>
      <x:c r="C42" s="52" t="str">
        <x:v>Lecture</x:v>
      </x:c>
    </x:row>
    <x:row r="43">
      <x:c r="A43" t="str">
        <x:v>&lt; 0,55</x:v>
      </x:c>
      <x:c r="B43" t="str">
        <x:v>Triviale</x:v>
      </x:c>
      <x:c r="C43" t="str">
        <x:v>Très faible pression</x:v>
      </x:c>
    </x:row>
    <x:row r="44">
      <x:c r="A44" t="str">
        <x:v>0,55–0,75</x:v>
      </x:c>
      <x:c r="B44" t="str">
        <x:v>Facile</x:v>
      </x:c>
      <x:c r="C44" t="str">
        <x:v>Avantage net aux PJ</x:v>
      </x:c>
    </x:row>
    <x:row r="45">
      <x:c r="A45" t="str">
        <x:v>0,75–0,95</x:v>
      </x:c>
      <x:c r="B45" t="str">
        <x:v>Modérée</x:v>
      </x:c>
      <x:c r="C45" t="str">
        <x:v>Combat gérable</x:v>
      </x:c>
    </x:row>
    <x:row r="46">
      <x:c r="A46" t="str">
        <x:v>0,95–1,10</x:v>
      </x:c>
      <x:c r="B46" t="str">
        <x:v>Standard</x:v>
      </x:c>
      <x:c r="C46" t="str">
        <x:v>Équilibre attendu</x:v>
      </x:c>
    </x:row>
    <x:row r="47">
      <x:c r="A47" t="str">
        <x:v>1,10–1,25</x:v>
      </x:c>
      <x:c r="B47" t="str">
        <x:v>Difficile</x:v>
      </x:c>
      <x:c r="C47" t="str">
        <x:v>Pression importante</x:v>
      </x:c>
    </x:row>
    <x:row r="48">
      <x:c r="A48" t="str">
        <x:v>1,25–1,45</x:v>
      </x:c>
      <x:c r="B48" t="str">
        <x:v>Très difficile</x:v>
      </x:c>
      <x:c r="C48" t="str">
        <x:v>Risque élevé</x:v>
      </x:c>
    </x:row>
    <x:row r="49">
      <x:c r="A49" t="str">
        <x:v>1,45–1,65</x:v>
      </x:c>
      <x:c r="B49" t="str">
        <x:v>Extrême</x:v>
      </x:c>
      <x:c r="C49" t="str">
        <x:v>Très dangereux</x:v>
      </x:c>
    </x:row>
    <x:row r="50">
      <x:c r="A50" t="str">
        <x:v>&gt; 1,65</x:v>
      </x:c>
      <x:c r="B50" t="str">
        <x:v>Létale</x:v>
      </x:c>
      <x:c r="C50" t="str">
        <x:v>Issue très incertaine</x:v>
      </x:c>
    </x:row>
  </x:sheetData>
  <x:mergeCells>
    <x:mergeCell ref="A1:J1"/>
    <x:mergeCell ref="A3:D3"/>
    <x:mergeCell ref="A13:D13"/>
    <x:mergeCell ref="F3:H3"/>
    <x:mergeCell ref="A16:H16"/>
    <x:mergeCell ref="A30:H30"/>
    <x:mergeCell ref="D31:J39"/>
  </x:mergeCells>
  <x:conditionalFormatting sqref="B37:B37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8" hidden="0" customWidth="1"/>
    <x:col min="5" max="5" width="38" hidden="0" customWidth="1"/>
    <x:col min="6" max="6" width="18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25" hidden="0" customWidth="1"/>
    <x:col min="14" max="14" width="18" hidden="0" customWidth="1"/>
    <x:col min="16" max="16" width="34" hidden="0" customWidth="1"/>
    <x:col min="17" max="17" width="14" hidden="0" customWidth="1"/>
    <x:col min="18" max="18" width="12" hidden="0" customWidth="1"/>
    <x:col min="19" max="19" width="12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46" hidden="0" customWidth="1"/>
    <x:col min="26" max="26" width="20" hidden="0" customWidth="1"/>
    <x:col min="27" max="27" width="18" hidden="0" customWidth="1"/>
  </x:cols>
  <x:sheetData>
    <x:row r="1">
      <x:c r="A1" s="106" t="str">
        <x:v>Type affiché</x:v>
      </x:c>
      <x:c r="B1" s="106" t="str">
        <x:v>Type script</x:v>
      </x:c>
      <x:c r="C1" s="106" t="str">
        <x:v>Option attaque</x:v>
      </x:c>
      <x:c r="D1" s="31"/>
      <x:c r="E1" s="106" t="str">
        <x:v>Key</x:v>
      </x:c>
      <x:c r="F1" s="106" t="str">
        <x:v>Mode</x:v>
      </x:c>
      <x:c r="G1" s="106" t="str">
        <x:v>TypeDM</x:v>
      </x:c>
      <x:c r="H1" s="106" t="str">
        <x:v>Etat</x:v>
      </x:c>
      <x:c r="I1" s="106" t="str">
        <x:v>SaveCarac</x:v>
      </x:c>
      <x:c r="J1" s="106" t="str">
        <x:v>OppCarac</x:v>
      </x:c>
      <x:c r="K1" s="106" t="str">
        <x:v>Zone</x:v>
      </x:c>
      <x:c r="L1" s="106" t="str">
        <x:v>Portee_m</x:v>
      </x:c>
      <x:c r="M1" s="106" t="str">
        <x:v>Predicat</x:v>
      </x:c>
      <x:c r="N1" s="106" t="str">
        <x:v>Special</x:v>
      </x:c>
      <x:c r="O1" s="31"/>
      <x:c r="P1" s="106" t="str">
        <x:v>Key Loot</x:v>
      </x:c>
      <x:c r="Q1" s="106" t="str">
        <x:v>Moyenne PC</x:v>
      </x:c>
      <x:c r="R1" s="106" t="str">
        <x:v>Expr dés</x:v>
      </x:c>
      <x:c r="S1" s="106" t="str">
        <x:v>Monnaie dés</x:v>
      </x:c>
      <x:c r="T1" s="106" t="str">
        <x:v>Fixe PP</x:v>
      </x:c>
      <x:c r="U1" s="106" t="str">
        <x:v>Fixe PO</x:v>
      </x:c>
      <x:c r="V1" s="106" t="str">
        <x:v>Fixe PA</x:v>
      </x:c>
      <x:c r="W1" s="106" t="str">
        <x:v>Fixe PC</x:v>
      </x:c>
      <x:c r="X1" s="106" t="str">
        <x:v>VALUE line</x:v>
      </x:c>
      <x:c r="Y1" s="31"/>
      <x:c r="Z1" s="106" t="str">
        <x:v>Rareté Creator</x:v>
      </x:c>
      <x:c r="AA1" s="106" t="str">
        <x:v>Rareté Loot</x:v>
      </x:c>
    </x:row>
    <x:row r="2">
      <x:c r="A2" t="str">
        <x:v>Tranchant</x:v>
      </x:c>
      <x:c r="B2" t="str">
        <x:v>tranchant</x:v>
      </x:c>
      <x:c r="C2" t="str">
        <x:v>--tranchant</x:v>
      </x:c>
      <x:c r="E2" t="str">
        <x:v>Signature|Repli malin</x:v>
      </x:c>
      <x:c r="F2" t="str">
        <x:v>DESCRIPTIF</x:v>
      </x:c>
      <x:c r="G2" t="str"/>
      <x:c r="H2" t="str"/>
      <x:c r="I2" t="str"/>
      <x:c r="J2" t="str"/>
      <x:c r="K2" t="str"/>
      <x:c r="L2" t="n">
        <x:v>0</x:v>
      </x:c>
      <x:c r="M2" t="str"/>
      <x:c r="N2" t="str"/>
      <x:c r="P2" t="str">
        <x:v>0|Vermine|Commune</x:v>
      </x:c>
      <x:c r="Q2" t="n">
        <x:v>7</x:v>
      </x:c>
      <x:c r="R2" t="str">
        <x:v>2d4</x:v>
      </x:c>
      <x:c r="S2" t="str">
        <x:v>PC</x:v>
      </x:c>
      <x:c r="T2" t="n">
        <x:v>0</x:v>
      </x:c>
      <x:c r="U2" t="n">
        <x:v>0</x:v>
      </x:c>
      <x:c r="V2" t="n">
        <x:v>0</x:v>
      </x:c>
      <x:c r="W2" t="n">
        <x:v>2</x:v>
      </x:c>
      <x:c r="X2" t="str">
        <x:v>VALUE: [[2d4]] PC 2 PC</x:v>
      </x:c>
      <x:c r="Z2" t="str">
        <x:v>Commune</x:v>
      </x:c>
      <x:c r="AA2" t="str">
        <x:v>COMMUN</x:v>
      </x:c>
    </x:row>
    <x:row r="3">
      <x:c r="A3" t="str">
        <x:v>Perforant</x:v>
      </x:c>
      <x:c r="B3" t="str">
        <x:v>percant</x:v>
      </x:c>
      <x:c r="C3" t="str">
        <x:v>--percant</x:v>
      </x:c>
      <x:c r="E3" t="str">
        <x:v>Signature|Amphibie</x:v>
      </x:c>
      <x:c r="F3" t="str">
        <x:v>DESCRIPTIF</x:v>
      </x:c>
      <x:c r="G3" t="str"/>
      <x:c r="H3" t="str"/>
      <x:c r="I3" t="str"/>
      <x:c r="J3" t="str"/>
      <x:c r="K3" t="str"/>
      <x:c r="L3" t="n">
        <x:v>0</x:v>
      </x:c>
      <x:c r="M3" t="str"/>
      <x:c r="N3" t="str"/>
      <x:c r="P3" t="str">
        <x:v>0|Vermine|Peu commune</x:v>
      </x:c>
      <x:c r="Q3" t="n">
        <x:v>10</x:v>
      </x:c>
      <x:c r="R3" t="str">
        <x:v>2d6</x:v>
      </x:c>
      <x:c r="S3" t="str">
        <x:v>PC</x:v>
      </x:c>
      <x:c r="T3" t="n">
        <x:v>0</x:v>
      </x:c>
      <x:c r="U3" t="n">
        <x:v>0</x:v>
      </x:c>
      <x:c r="V3" t="n">
        <x:v>0</x:v>
      </x:c>
      <x:c r="W3" t="n">
        <x:v>3</x:v>
      </x:c>
      <x:c r="X3" t="str">
        <x:v>VALUE: [[2d6]] PC 3 PC</x:v>
      </x:c>
      <x:c r="Z3" t="str">
        <x:v>Peu commune</x:v>
      </x:c>
      <x:c r="AA3" t="str">
        <x:v>UTILE</x:v>
      </x:c>
    </x:row>
    <x:row r="4">
      <x:c r="A4" t="str">
        <x:v>Contondant</x:v>
      </x:c>
      <x:c r="B4" t="str">
        <x:v>contondant</x:v>
      </x:c>
      <x:c r="C4" t="str">
        <x:v>--contondant</x:v>
      </x:c>
      <x:c r="E4" t="str">
        <x:v>Signature|Rage</x:v>
      </x:c>
      <x:c r="F4" t="str">
        <x:v>PREDICAT</x:v>
      </x:c>
      <x:c r="G4" t="str"/>
      <x:c r="H4" t="str"/>
      <x:c r="I4" t="str"/>
      <x:c r="J4" t="str"/>
      <x:c r="K4" t="str"/>
      <x:c r="L4" t="n">
        <x:v>0</x:v>
      </x:c>
      <x:c r="M4" t="str">
        <x:v>bonusDMSous50PV:20</x:v>
      </x:c>
      <x:c r="N4" t="str"/>
      <x:c r="P4" t="str">
        <x:v>0|Vermine|Rare</x:v>
      </x:c>
      <x:c r="Q4" t="n">
        <x:v>18</x:v>
      </x:c>
      <x:c r="R4" t="str">
        <x:v>2d12</x:v>
      </x:c>
      <x:c r="S4" t="str">
        <x:v>PC</x:v>
      </x:c>
      <x:c r="T4" t="n">
        <x:v>0</x:v>
      </x:c>
      <x:c r="U4" t="n">
        <x:v>0</x:v>
      </x:c>
      <x:c r="V4" t="n">
        <x:v>0</x:v>
      </x:c>
      <x:c r="W4" t="n">
        <x:v>5</x:v>
      </x:c>
      <x:c r="X4" t="str">
        <x:v>VALUE: [[2d12]] PC 5 PC</x:v>
      </x:c>
      <x:c r="Z4" t="str">
        <x:v>Rare</x:v>
      </x:c>
      <x:c r="AA4" t="str">
        <x:v>RARE</x:v>
      </x:c>
    </x:row>
    <x:row r="5">
      <x:c r="A5" t="str">
        <x:v>Feu</x:v>
      </x:c>
      <x:c r="B5" t="str">
        <x:v>feu</x:v>
      </x:c>
      <x:c r="C5" t="str">
        <x:v>--feu</x:v>
      </x:c>
      <x:c r="E5" t="str">
        <x:v>Signature|Sans organes</x:v>
      </x:c>
      <x:c r="F5" t="str">
        <x:v>PREDICAT</x:v>
      </x:c>
      <x:c r="G5" t="str"/>
      <x:c r="H5" t="str"/>
      <x:c r="I5" t="str"/>
      <x:c r="J5" t="str"/>
      <x:c r="K5" t="str"/>
      <x:c r="L5" t="n">
        <x:v>0</x:v>
      </x:c>
      <x:c r="M5" t="str">
        <x:v>nonVivant</x:v>
      </x:c>
      <x:c r="N5" t="str"/>
      <x:c r="P5" t="str">
        <x:v>0|Vermine|Précieuse</x:v>
      </x:c>
      <x:c r="Q5" t="n">
        <x:v>28</x:v>
      </x:c>
      <x:c r="R5" t="str">
        <x:v>8d4</x:v>
      </x:c>
      <x:c r="S5" t="str">
        <x:v>PC</x:v>
      </x:c>
      <x:c r="T5" t="n">
        <x:v>0</x:v>
      </x:c>
      <x:c r="U5" t="n">
        <x:v>0</x:v>
      </x:c>
      <x:c r="V5" t="n">
        <x:v>0</x:v>
      </x:c>
      <x:c r="W5" t="n">
        <x:v>8</x:v>
      </x:c>
      <x:c r="X5" t="str">
        <x:v>VALUE: [[8d4]] PC 8 PC</x:v>
      </x:c>
      <x:c r="Z5" t="str">
        <x:v>Précieuse</x:v>
      </x:c>
      <x:c r="AA5" t="str">
        <x:v>PRECIEUX</x:v>
      </x:c>
    </x:row>
    <x:row r="6">
      <x:c r="A6" t="str">
        <x:v>Air</x:v>
      </x:c>
      <x:c r="B6" t="str">
        <x:v>air</x:v>
      </x:c>
      <x:c r="C6" t="str">
        <x:v>--air</x:v>
      </x:c>
      <x:c r="E6" t="str">
        <x:v>Signature|Infection</x:v>
      </x:c>
      <x:c r="F6" t="str">
        <x:v>DESCRIPTIF</x:v>
      </x:c>
      <x:c r="G6" t="str"/>
      <x:c r="H6" t="str"/>
      <x:c r="I6" t="str"/>
      <x:c r="J6" t="str"/>
      <x:c r="K6" t="str"/>
      <x:c r="L6" t="n">
        <x:v>0</x:v>
      </x:c>
      <x:c r="M6" t="str"/>
      <x:c r="N6" t="str"/>
      <x:c r="P6" t="str">
        <x:v>0|Vermine|Exceptionnelle</x:v>
      </x:c>
      <x:c r="Q6" t="n">
        <x:v>49</x:v>
      </x:c>
      <x:c r="R6" t="str">
        <x:v>10d6</x:v>
      </x:c>
      <x:c r="S6" t="str">
        <x:v>PC</x:v>
      </x:c>
      <x:c r="T6" t="n">
        <x:v>0</x:v>
      </x:c>
      <x:c r="U6" t="n">
        <x:v>0</x:v>
      </x:c>
      <x:c r="V6" t="n">
        <x:v>0</x:v>
      </x:c>
      <x:c r="W6" t="n">
        <x:v>14</x:v>
      </x:c>
      <x:c r="X6" t="str">
        <x:v>VALUE: [[10d6]] PC 14 PC</x:v>
      </x:c>
      <x:c r="Z6" t="str">
        <x:v>Exceptionnelle</x:v>
      </x:c>
      <x:c r="AA6" t="str">
        <x:v>EXCEPTIONNEL</x:v>
      </x:c>
    </x:row>
    <x:row r="7">
      <x:c r="A7" t="str">
        <x:v>Eau</x:v>
      </x:c>
      <x:c r="B7" t="str">
        <x:v>eau</x:v>
      </x:c>
      <x:c r="C7" t="str">
        <x:v>--eau</x:v>
      </x:c>
      <x:c r="E7" t="str">
        <x:v>Signature|Drain vital</x:v>
      </x:c>
      <x:c r="F7" t="str">
        <x:v>ATTACK</x:v>
      </x:c>
      <x:c r="G7" t="str">
        <x:v>Drain</x:v>
      </x:c>
      <x:c r="H7" t="str"/>
      <x:c r="I7" t="str"/>
      <x:c r="J7" t="str"/>
      <x:c r="K7" t="str"/>
      <x:c r="L7" t="n">
        <x:v>0</x:v>
      </x:c>
      <x:c r="M7" t="str"/>
      <x:c r="N7" t="str"/>
      <x:c r="P7" t="str">
        <x:v>0|Bête|Commune</x:v>
      </x:c>
      <x:c r="Q7" t="n">
        <x:v>12</x:v>
      </x:c>
      <x:c r="R7" t="str">
        <x:v>2d8</x:v>
      </x:c>
      <x:c r="S7" t="str">
        <x:v>PC</x:v>
      </x:c>
      <x:c r="T7" t="n">
        <x:v>0</x:v>
      </x:c>
      <x:c r="U7" t="n">
        <x:v>0</x:v>
      </x:c>
      <x:c r="V7" t="n">
        <x:v>0</x:v>
      </x:c>
      <x:c r="W7" t="n">
        <x:v>3</x:v>
      </x:c>
      <x:c r="X7" t="str">
        <x:v>VALUE: [[2d8]] PC 3 PC</x:v>
      </x:c>
    </x:row>
    <x:row r="8">
      <x:c r="A8" t="str">
        <x:v>Terre</x:v>
      </x:c>
      <x:c r="B8" t="str">
        <x:v>terre</x:v>
      </x:c>
      <x:c r="C8" t="str">
        <x:v>--terre</x:v>
      </x:c>
      <x:c r="E8" t="str">
        <x:v>Signature|Attaque en meute</x:v>
      </x:c>
      <x:c r="F8" t="str">
        <x:v>PREDICAT</x:v>
      </x:c>
      <x:c r="G8" t="str"/>
      <x:c r="H8" t="str"/>
      <x:c r="I8" t="str"/>
      <x:c r="J8" t="str"/>
      <x:c r="K8" t="str"/>
      <x:c r="L8" t="n">
        <x:v>0</x:v>
      </x:c>
      <x:c r="M8" t="str">
        <x:v>attaqueEnMeute:1</x:v>
      </x:c>
      <x:c r="N8" t="str"/>
      <x:c r="P8" t="str">
        <x:v>0|Bête|Peu commune</x:v>
      </x:c>
      <x:c r="Q8" t="n">
        <x:v>18</x:v>
      </x:c>
      <x:c r="R8" t="str">
        <x:v>2d12</x:v>
      </x:c>
      <x:c r="S8" t="str">
        <x:v>PC</x:v>
      </x:c>
      <x:c r="T8" t="n">
        <x:v>0</x:v>
      </x:c>
      <x:c r="U8" t="n">
        <x:v>0</x:v>
      </x:c>
      <x:c r="V8" t="n">
        <x:v>0</x:v>
      </x:c>
      <x:c r="W8" t="n">
        <x:v>5</x:v>
      </x:c>
      <x:c r="X8" t="str">
        <x:v>VALUE: [[2d12]] PC 5 PC</x:v>
      </x:c>
    </x:row>
    <x:row r="9">
      <x:c r="A9" t="str">
        <x:v>Ombre</x:v>
      </x:c>
      <x:c r="B9" t="str">
        <x:v>ombre</x:v>
      </x:c>
      <x:c r="C9" t="str">
        <x:v>--ombre</x:v>
      </x:c>
      <x:c r="E9" t="str">
        <x:v>Signature|Volant</x:v>
      </x:c>
      <x:c r="F9" t="str">
        <x:v>PREDICAT</x:v>
      </x:c>
      <x:c r="G9" t="str"/>
      <x:c r="H9" t="str"/>
      <x:c r="I9" t="str"/>
      <x:c r="J9" t="str"/>
      <x:c r="K9" t="str"/>
      <x:c r="L9" t="n">
        <x:v>0</x:v>
      </x:c>
      <x:c r="M9" t="str">
        <x:v>volant</x:v>
      </x:c>
      <x:c r="N9" t="str"/>
      <x:c r="P9" t="str">
        <x:v>0|Bête|Rare</x:v>
      </x:c>
      <x:c r="Q9" t="n">
        <x:v>30</x:v>
      </x:c>
      <x:c r="R9" t="str">
        <x:v>2d20</x:v>
      </x:c>
      <x:c r="S9" t="str">
        <x:v>PC</x:v>
      </x:c>
      <x:c r="T9" t="n">
        <x:v>0</x:v>
      </x:c>
      <x:c r="U9" t="n">
        <x:v>0</x:v>
      </x:c>
      <x:c r="V9" t="n">
        <x:v>0</x:v>
      </x:c>
      <x:c r="W9" t="n">
        <x:v>9</x:v>
      </x:c>
      <x:c r="X9" t="str">
        <x:v>VALUE: [[2d20]] PC 9 PC</x:v>
      </x:c>
    </x:row>
    <x:row r="10">
      <x:c r="A10" t="str">
        <x:v>Lumière</x:v>
      </x:c>
      <x:c r="B10" t="str">
        <x:v>lumiere</x:v>
      </x:c>
      <x:c r="C10" t="str">
        <x:v>--lumiere</x:v>
      </x:c>
      <x:c r="E10" t="str">
        <x:v>Signature|Charge</x:v>
      </x:c>
      <x:c r="F10" t="str">
        <x:v>ATTACK</x:v>
      </x:c>
      <x:c r="G10" t="str">
        <x:v>ATTAQUE1</x:v>
      </x:c>
      <x:c r="H10" t="str"/>
      <x:c r="I10" t="str"/>
      <x:c r="J10" t="str"/>
      <x:c r="K10" t="str"/>
      <x:c r="L10" t="n">
        <x:v>0</x:v>
      </x:c>
      <x:c r="M10" t="str"/>
      <x:c r="N10" t="str"/>
      <x:c r="P10" t="str">
        <x:v>0|Bête|Précieuse</x:v>
      </x:c>
      <x:c r="Q10" t="n">
        <x:v>48</x:v>
      </x:c>
      <x:c r="R10" t="str">
        <x:v>6d10</x:v>
      </x:c>
      <x:c r="S10" t="str">
        <x:v>PC</x:v>
      </x:c>
      <x:c r="T10" t="n">
        <x:v>0</x:v>
      </x:c>
      <x:c r="U10" t="n">
        <x:v>0</x:v>
      </x:c>
      <x:c r="V10" t="n">
        <x:v>0</x:v>
      </x:c>
      <x:c r="W10" t="n">
        <x:v>15</x:v>
      </x:c>
      <x:c r="X10" t="str">
        <x:v>VALUE: [[6d10]] PC 15 PC</x:v>
      </x:c>
    </x:row>
    <x:row r="11">
      <x:c r="A11" t="str">
        <x:v>Force</x:v>
      </x:c>
      <x:c r="B11" t="str">
        <x:v>force</x:v>
      </x:c>
      <x:c r="C11" t="str">
        <x:v>--force</x:v>
      </x:c>
      <x:c r="E11" t="str">
        <x:v>Signature|Carapace</x:v>
      </x:c>
      <x:c r="F11" t="str">
        <x:v>STAT</x:v>
      </x:c>
      <x:c r="G11" t="str"/>
      <x:c r="H11" t="str"/>
      <x:c r="I11" t="str"/>
      <x:c r="J11" t="str"/>
      <x:c r="K11" t="str"/>
      <x:c r="L11" t="n">
        <x:v>0</x:v>
      </x:c>
      <x:c r="M11" t="str"/>
      <x:c r="N11" t="str"/>
      <x:c r="P11" t="str">
        <x:v>0|Bête|Exceptionnelle</x:v>
      </x:c>
      <x:c r="Q11" t="n">
        <x:v>84</x:v>
      </x:c>
      <x:c r="R11" t="str">
        <x:v>10d10</x:v>
      </x:c>
      <x:c r="S11" t="str">
        <x:v>PC</x:v>
      </x:c>
      <x:c r="T11" t="n">
        <x:v>0</x:v>
      </x:c>
      <x:c r="U11" t="n">
        <x:v>0</x:v>
      </x:c>
      <x:c r="V11" t="n">
        <x:v>0</x:v>
      </x:c>
      <x:c r="W11" t="n">
        <x:v>29</x:v>
      </x:c>
      <x:c r="X11" t="str">
        <x:v>VALUE: [[10d10]] PC 29 PC</x:v>
      </x:c>
    </x:row>
    <x:row r="12">
      <x:c r="A12" t="str">
        <x:v>Toxique</x:v>
      </x:c>
      <x:c r="B12" t="str">
        <x:v>toxique</x:v>
      </x:c>
      <x:c r="C12" t="str">
        <x:v>--toxique</x:v>
      </x:c>
      <x:c r="E12" t="str">
        <x:v>Signature|Venin</x:v>
      </x:c>
      <x:c r="F12" t="str">
        <x:v>DESCRIPTIF</x:v>
      </x:c>
      <x:c r="G12" t="str"/>
      <x:c r="H12" t="str"/>
      <x:c r="I12" t="str"/>
      <x:c r="J12" t="str"/>
      <x:c r="K12" t="str"/>
      <x:c r="L12" t="n">
        <x:v>0</x:v>
      </x:c>
      <x:c r="M12" t="str"/>
      <x:c r="N12" t="str"/>
      <x:c r="P12" t="str">
        <x:v>0|Aquatique|Commune</x:v>
      </x:c>
      <x:c r="Q12" t="n">
        <x:v>14</x:v>
      </x:c>
      <x:c r="R12" t="str">
        <x:v>4d4</x:v>
      </x:c>
      <x:c r="S12" t="str">
        <x:v>PC</x:v>
      </x:c>
      <x:c r="T12" t="n">
        <x:v>0</x:v>
      </x:c>
      <x:c r="U12" t="n">
        <x:v>0</x:v>
      </x:c>
      <x:c r="V12" t="n">
        <x:v>0</x:v>
      </x:c>
      <x:c r="W12" t="n">
        <x:v>4</x:v>
      </x:c>
      <x:c r="X12" t="str">
        <x:v>VALUE: [[4d4]] PC 4 PC</x:v>
      </x:c>
    </x:row>
    <x:row r="13">
      <x:c r="A13" t="str">
        <x:v>Psychique</x:v>
      </x:c>
      <x:c r="B13" t="str">
        <x:v>psychique</x:v>
      </x:c>
      <x:c r="C13" t="str">
        <x:v>--psychique</x:v>
      </x:c>
      <x:c r="E13" t="str">
        <x:v>Signature|Chitine</x:v>
      </x:c>
      <x:c r="F13" t="str">
        <x:v>STAT</x:v>
      </x:c>
      <x:c r="G13" t="str"/>
      <x:c r="H13" t="str"/>
      <x:c r="I13" t="str"/>
      <x:c r="J13" t="str"/>
      <x:c r="K13" t="str"/>
      <x:c r="L13" t="n">
        <x:v>0</x:v>
      </x:c>
      <x:c r="M13" t="str"/>
      <x:c r="N13" t="str"/>
      <x:c r="P13" t="str">
        <x:v>0|Aquatique|Peu commune</x:v>
      </x:c>
      <x:c r="Q13" t="n">
        <x:v>21</x:v>
      </x:c>
      <x:c r="R13" t="str">
        <x:v>6d4</x:v>
      </x:c>
      <x:c r="S13" t="str">
        <x:v>PC</x:v>
      </x:c>
      <x:c r="T13" t="n">
        <x:v>0</x:v>
      </x:c>
      <x:c r="U13" t="n">
        <x:v>0</x:v>
      </x:c>
      <x:c r="V13" t="n">
        <x:v>0</x:v>
      </x:c>
      <x:c r="W13" t="n">
        <x:v>6</x:v>
      </x:c>
      <x:c r="X13" t="str">
        <x:v>VALUE: [[6d4]] PC 6 PC</x:v>
      </x:c>
    </x:row>
    <x:row r="14">
      <x:c r="A14" t="str">
        <x:v>Drain</x:v>
      </x:c>
      <x:c r="B14" t="str">
        <x:v>drain</x:v>
      </x:c>
      <x:c r="C14" t="str">
        <x:v>--drain</x:v>
      </x:c>
      <x:c r="E14" t="str">
        <x:v>Signature|Toile</x:v>
      </x:c>
      <x:c r="F14" t="str">
        <x:v>CONTROL_OPPOSE</x:v>
      </x:c>
      <x:c r="G14" t="str"/>
      <x:c r="H14" t="str">
        <x:v>entrave</x:v>
      </x:c>
      <x:c r="I14" t="str">
        <x:v>DEX</x:v>
      </x:c>
      <x:c r="J14" t="str">
        <x:v>DEX</x:v>
      </x:c>
      <x:c r="K14" t="str"/>
      <x:c r="L14" t="n">
        <x:v>10</x:v>
      </x:c>
      <x:c r="M14" t="str"/>
      <x:c r="N14" t="str"/>
      <x:c r="P14" t="str">
        <x:v>0|Aquatique|Rare</x:v>
      </x:c>
      <x:c r="Q14" t="n">
        <x:v>35</x:v>
      </x:c>
      <x:c r="R14" t="str">
        <x:v>10d4</x:v>
      </x:c>
      <x:c r="S14" t="str">
        <x:v>PC</x:v>
      </x:c>
      <x:c r="T14" t="n">
        <x:v>0</x:v>
      </x:c>
      <x:c r="U14" t="n">
        <x:v>0</x:v>
      </x:c>
      <x:c r="V14" t="n">
        <x:v>0</x:v>
      </x:c>
      <x:c r="W14" t="n">
        <x:v>10</x:v>
      </x:c>
      <x:c r="X14" t="str">
        <x:v>VALUE: [[10d4]] PC 10 PC</x:v>
      </x:c>
    </x:row>
    <x:row r="15">
      <x:c r="E15" t="str">
        <x:v>Signature|Embuscade</x:v>
      </x:c>
      <x:c r="F15" t="str">
        <x:v>ATTACK</x:v>
      </x:c>
      <x:c r="G15" t="str">
        <x:v>ATTAQUE1</x:v>
      </x:c>
      <x:c r="H15" t="str"/>
      <x:c r="I15" t="str"/>
      <x:c r="J15" t="str"/>
      <x:c r="K15" t="str"/>
      <x:c r="L15" t="n">
        <x:v>0</x:v>
      </x:c>
      <x:c r="M15" t="str"/>
      <x:c r="N15" t="str"/>
      <x:c r="P15" t="str">
        <x:v>0|Aquatique|Précieuse</x:v>
      </x:c>
      <x:c r="Q15" t="n">
        <x:v>56</x:v>
      </x:c>
      <x:c r="R15" t="str">
        <x:v>6d12</x:v>
      </x:c>
      <x:c r="S15" t="str">
        <x:v>PC</x:v>
      </x:c>
      <x:c r="T15" t="n">
        <x:v>0</x:v>
      </x:c>
      <x:c r="U15" t="n">
        <x:v>0</x:v>
      </x:c>
      <x:c r="V15" t="n">
        <x:v>0</x:v>
      </x:c>
      <x:c r="W15" t="n">
        <x:v>17</x:v>
      </x:c>
      <x:c r="X15" t="str">
        <x:v>VALUE: [[6d12]] PC 17 PC</x:v>
      </x:c>
    </x:row>
    <x:row r="16">
      <x:c r="E16" t="str">
        <x:v>Signature|Fixation</x:v>
      </x:c>
      <x:c r="F16" t="str">
        <x:v>CONTROL_OPPOSE</x:v>
      </x:c>
      <x:c r="G16" t="str"/>
      <x:c r="H16" t="str">
        <x:v>agrippe</x:v>
      </x:c>
      <x:c r="I16" t="str">
        <x:v>FOR</x:v>
      </x:c>
      <x:c r="J16" t="str">
        <x:v>FOR</x:v>
      </x:c>
      <x:c r="K16" t="str"/>
      <x:c r="L16" t="n">
        <x:v>0</x:v>
      </x:c>
      <x:c r="M16" t="str"/>
      <x:c r="N16" t="str"/>
      <x:c r="P16" t="str">
        <x:v>0|Aquatique|Exceptionnelle</x:v>
      </x:c>
      <x:c r="Q16" t="n">
        <x:v>98</x:v>
      </x:c>
      <x:c r="R16" t="str">
        <x:v>10d12</x:v>
      </x:c>
      <x:c r="S16" t="str">
        <x:v>PC</x:v>
      </x:c>
      <x:c r="T16" t="n">
        <x:v>0</x:v>
      </x:c>
      <x:c r="U16" t="n">
        <x:v>0</x:v>
      </x:c>
      <x:c r="V16" t="n">
        <x:v>0</x:v>
      </x:c>
      <x:c r="W16" t="n">
        <x:v>33</x:v>
      </x:c>
      <x:c r="X16" t="str">
        <x:v>VALUE: [[10d12]] PC 33 PC</x:v>
      </x:c>
    </x:row>
    <x:row r="17">
      <x:c r="E17" t="str">
        <x:v>Signature|Corps de nuée</x:v>
      </x:c>
      <x:c r="F17" t="str">
        <x:v>DESCRIPTIF</x:v>
      </x:c>
      <x:c r="G17" t="str"/>
      <x:c r="H17" t="str"/>
      <x:c r="I17" t="str"/>
      <x:c r="J17" t="str"/>
      <x:c r="K17" t="str"/>
      <x:c r="L17" t="n">
        <x:v>0</x:v>
      </x:c>
      <x:c r="M17" t="str"/>
      <x:c r="N17" t="str"/>
      <x:c r="P17" t="str">
        <x:v>0|Plante|Commune</x:v>
      </x:c>
      <x:c r="Q17" t="n">
        <x:v>16</x:v>
      </x:c>
      <x:c r="R17" t="str">
        <x:v>2d10</x:v>
      </x:c>
      <x:c r="S17" t="str">
        <x:v>PC</x:v>
      </x:c>
      <x:c r="T17" t="n">
        <x:v>0</x:v>
      </x:c>
      <x:c r="U17" t="n">
        <x:v>0</x:v>
      </x:c>
      <x:c r="V17" t="n">
        <x:v>0</x:v>
      </x:c>
      <x:c r="W17" t="n">
        <x:v>5</x:v>
      </x:c>
      <x:c r="X17" t="str">
        <x:v>VALUE: [[2d10]] PC 5 PC</x:v>
      </x:c>
    </x:row>
    <x:row r="18">
      <x:c r="E18" t="str">
        <x:v>Signature|Frénésie aquatique</x:v>
      </x:c>
      <x:c r="F18" t="str">
        <x:v>DESCRIPTIF</x:v>
      </x:c>
      <x:c r="G18" t="str"/>
      <x:c r="H18" t="str"/>
      <x:c r="I18" t="str"/>
      <x:c r="J18" t="str"/>
      <x:c r="K18" t="str"/>
      <x:c r="L18" t="n">
        <x:v>0</x:v>
      </x:c>
      <x:c r="M18" t="str"/>
      <x:c r="N18" t="str"/>
      <x:c r="P18" t="str">
        <x:v>0|Plante|Peu commune</x:v>
      </x:c>
      <x:c r="Q18" t="n">
        <x:v>24</x:v>
      </x:c>
      <x:c r="R18" t="str">
        <x:v>4d8</x:v>
      </x:c>
      <x:c r="S18" t="str">
        <x:v>PC</x:v>
      </x:c>
      <x:c r="T18" t="n">
        <x:v>0</x:v>
      </x:c>
      <x:c r="U18" t="n">
        <x:v>0</x:v>
      </x:c>
      <x:c r="V18" t="n">
        <x:v>0</x:v>
      </x:c>
      <x:c r="W18" t="n">
        <x:v>6</x:v>
      </x:c>
      <x:c r="X18" t="str">
        <x:v>VALUE: [[4d8]] PC 6 PC</x:v>
      </x:c>
    </x:row>
    <x:row r="19">
      <x:c r="E19" t="str">
        <x:v>Signature|Terreur abyssale</x:v>
      </x:c>
      <x:c r="F19" t="str">
        <x:v>DESCRIPTIF</x:v>
      </x:c>
      <x:c r="G19" t="str"/>
      <x:c r="H19" t="str"/>
      <x:c r="I19" t="str"/>
      <x:c r="J19" t="str"/>
      <x:c r="K19" t="str"/>
      <x:c r="L19" t="n">
        <x:v>0</x:v>
      </x:c>
      <x:c r="M19" t="str"/>
      <x:c r="N19" t="str"/>
      <x:c r="P19" t="str">
        <x:v>0|Plante|Rare</x:v>
      </x:c>
      <x:c r="Q19" t="n">
        <x:v>40</x:v>
      </x:c>
      <x:c r="R19" t="str">
        <x:v>8d6</x:v>
      </x:c>
      <x:c r="S19" t="str">
        <x:v>PC</x:v>
      </x:c>
      <x:c r="T19" t="n">
        <x:v>0</x:v>
      </x:c>
      <x:c r="U19" t="n">
        <x:v>0</x:v>
      </x:c>
      <x:c r="V19" t="n">
        <x:v>0</x:v>
      </x:c>
      <x:c r="W19" t="n">
        <x:v>12</x:v>
      </x:c>
      <x:c r="X19" t="str">
        <x:v>VALUE: [[8d6]] PC 12 PC</x:v>
      </x:c>
    </x:row>
    <x:row r="20">
      <x:c r="E20" t="str">
        <x:v>Signature|Mutation</x:v>
      </x:c>
      <x:c r="F20" t="str">
        <x:v>DESCRIPTIF</x:v>
      </x:c>
      <x:c r="G20" t="str"/>
      <x:c r="H20" t="str"/>
      <x:c r="I20" t="str"/>
      <x:c r="J20" t="str"/>
      <x:c r="K20" t="str"/>
      <x:c r="L20" t="n">
        <x:v>0</x:v>
      </x:c>
      <x:c r="M20" t="str"/>
      <x:c r="N20" t="str"/>
      <x:c r="P20" t="str">
        <x:v>0|Plante|Précieuse</x:v>
      </x:c>
      <x:c r="Q20" t="n">
        <x:v>64</x:v>
      </x:c>
      <x:c r="R20" t="str">
        <x:v>10d8</x:v>
      </x:c>
      <x:c r="S20" t="str">
        <x:v>PC</x:v>
      </x:c>
      <x:c r="T20" t="n">
        <x:v>0</x:v>
      </x:c>
      <x:c r="U20" t="n">
        <x:v>0</x:v>
      </x:c>
      <x:c r="V20" t="n">
        <x:v>0</x:v>
      </x:c>
      <x:c r="W20" t="n">
        <x:v>19</x:v>
      </x:c>
      <x:c r="X20" t="str">
        <x:v>VALUE: [[10d8]] PC 19 PC</x:v>
      </x:c>
    </x:row>
    <x:row r="21">
      <x:c r="E21" t="str">
        <x:v>Signature|Tentacules</x:v>
      </x:c>
      <x:c r="F21" t="str">
        <x:v>STAT</x:v>
      </x:c>
      <x:c r="G21" t="str"/>
      <x:c r="H21" t="str"/>
      <x:c r="I21" t="str"/>
      <x:c r="J21" t="str"/>
      <x:c r="K21" t="str"/>
      <x:c r="L21" t="n">
        <x:v>0</x:v>
      </x:c>
      <x:c r="M21" t="str"/>
      <x:c r="N21" t="str"/>
      <x:c r="P21" t="str">
        <x:v>0|Plante|Exceptionnelle</x:v>
      </x:c>
      <x:c r="Q21" t="n">
        <x:v>112</x:v>
      </x:c>
      <x:c r="R21" t="str">
        <x:v>8d20</x:v>
      </x:c>
      <x:c r="S21" t="str">
        <x:v>PC</x:v>
      </x:c>
      <x:c r="T21" t="n">
        <x:v>0</x:v>
      </x:c>
      <x:c r="U21" t="n">
        <x:v>0</x:v>
      </x:c>
      <x:c r="V21" t="n">
        <x:v>0</x:v>
      </x:c>
      <x:c r="W21" t="n">
        <x:v>28</x:v>
      </x:c>
      <x:c r="X21" t="str">
        <x:v>VALUE: [[8d20]] PC 28 PC</x:v>
      </x:c>
    </x:row>
    <x:row r="22">
      <x:c r="E22" t="str">
        <x:v>Signature|Impulsion psychique</x:v>
      </x:c>
      <x:c r="F22" t="str">
        <x:v>ATTACK</x:v>
      </x:c>
      <x:c r="G22" t="str">
        <x:v>Psychique</x:v>
      </x:c>
      <x:c r="H22" t="str"/>
      <x:c r="I22" t="str"/>
      <x:c r="J22" t="str"/>
      <x:c r="K22" t="str"/>
      <x:c r="L22" t="n">
        <x:v>15</x:v>
      </x:c>
      <x:c r="M22" t="str"/>
      <x:c r="N22" t="str"/>
      <x:c r="P22" t="str">
        <x:v>0|Humanoïde|Commune</x:v>
      </x:c>
      <x:c r="Q22" t="n">
        <x:v>20</x:v>
      </x:c>
      <x:c r="R22" t="str">
        <x:v>4d6</x:v>
      </x:c>
      <x:c r="S22" t="str">
        <x:v>PC</x:v>
      </x:c>
      <x:c r="T22" t="n">
        <x:v>0</x:v>
      </x:c>
      <x:c r="U22" t="n">
        <x:v>0</x:v>
      </x:c>
      <x:c r="V22" t="n">
        <x:v>0</x:v>
      </x:c>
      <x:c r="W22" t="n">
        <x:v>6</x:v>
      </x:c>
      <x:c r="X22" t="str">
        <x:v>VALUE: [[4d6]] PC 6 PC</x:v>
      </x:c>
    </x:row>
    <x:row r="23">
      <x:c r="E23" t="str">
        <x:v>Signature|Corps amorphe</x:v>
      </x:c>
      <x:c r="F23" t="str">
        <x:v>DESCRIPTIF</x:v>
      </x:c>
      <x:c r="G23" t="str"/>
      <x:c r="H23" t="str"/>
      <x:c r="I23" t="str"/>
      <x:c r="J23" t="str"/>
      <x:c r="K23" t="str"/>
      <x:c r="L23" t="n">
        <x:v>0</x:v>
      </x:c>
      <x:c r="M23" t="str"/>
      <x:c r="N23" t="str"/>
      <x:c r="P23" t="str">
        <x:v>0|Humanoïde|Peu commune</x:v>
      </x:c>
      <x:c r="Q23" t="n">
        <x:v>30</x:v>
      </x:c>
      <x:c r="R23" t="str">
        <x:v>2d20</x:v>
      </x:c>
      <x:c r="S23" t="str">
        <x:v>PC</x:v>
      </x:c>
      <x:c r="T23" t="n">
        <x:v>0</x:v>
      </x:c>
      <x:c r="U23" t="n">
        <x:v>0</x:v>
      </x:c>
      <x:c r="V23" t="n">
        <x:v>0</x:v>
      </x:c>
      <x:c r="W23" t="n">
        <x:v>9</x:v>
      </x:c>
      <x:c r="X23" t="str">
        <x:v>VALUE: [[2d20]] PC 9 PC</x:v>
      </x:c>
    </x:row>
    <x:row r="24">
      <x:c r="E24" t="str">
        <x:v>Signature|Implantation</x:v>
      </x:c>
      <x:c r="F24" t="str">
        <x:v>DESCRIPTIF</x:v>
      </x:c>
      <x:c r="G24" t="str"/>
      <x:c r="H24" t="str"/>
      <x:c r="I24" t="str"/>
      <x:c r="J24" t="str"/>
      <x:c r="K24" t="str"/>
      <x:c r="L24" t="n">
        <x:v>0</x:v>
      </x:c>
      <x:c r="M24" t="str"/>
      <x:c r="N24" t="str"/>
      <x:c r="P24" t="str">
        <x:v>0|Humanoïde|Rare</x:v>
      </x:c>
      <x:c r="Q24" t="n">
        <x:v>50</x:v>
      </x:c>
      <x:c r="R24" t="str">
        <x:v>10d6</x:v>
      </x:c>
      <x:c r="S24" t="str">
        <x:v>PC</x:v>
      </x:c>
      <x:c r="T24" t="n">
        <x:v>0</x:v>
      </x:c>
      <x:c r="U24" t="n">
        <x:v>0</x:v>
      </x:c>
      <x:c r="V24" t="n">
        <x:v>0</x:v>
      </x:c>
      <x:c r="W24" t="n">
        <x:v>15</x:v>
      </x:c>
      <x:c r="X24" t="str">
        <x:v>VALUE: [[10d6]] PC 15 PC</x:v>
      </x:c>
    </x:row>
    <x:row r="25">
      <x:c r="E25" t="str">
        <x:v>Signature|Enracinement</x:v>
      </x:c>
      <x:c r="F25" t="str">
        <x:v>DESCRIPTIF</x:v>
      </x:c>
      <x:c r="G25" t="str"/>
      <x:c r="H25" t="str"/>
      <x:c r="I25" t="str"/>
      <x:c r="J25" t="str"/>
      <x:c r="K25" t="str"/>
      <x:c r="L25" t="n">
        <x:v>0</x:v>
      </x:c>
      <x:c r="M25" t="str"/>
      <x:c r="N25" t="str"/>
      <x:c r="P25" t="str">
        <x:v>0|Humanoïde|Précieuse</x:v>
      </x:c>
      <x:c r="Q25" t="n">
        <x:v>80</x:v>
      </x:c>
      <x:c r="R25" t="str">
        <x:v>10d10</x:v>
      </x:c>
      <x:c r="S25" t="str">
        <x:v>PC</x:v>
      </x:c>
      <x:c r="T25" t="n">
        <x:v>0</x:v>
      </x:c>
      <x:c r="U25" t="n">
        <x:v>0</x:v>
      </x:c>
      <x:c r="V25" t="n">
        <x:v>0</x:v>
      </x:c>
      <x:c r="W25" t="n">
        <x:v>25</x:v>
      </x:c>
      <x:c r="X25" t="str">
        <x:v>VALUE: [[10d10]] PC 25 PC</x:v>
      </x:c>
    </x:row>
    <x:row r="26">
      <x:c r="E26" t="str">
        <x:v>Signature|Spores</x:v>
      </x:c>
      <x:c r="F26" t="str">
        <x:v>AOE_SAVE</x:v>
      </x:c>
      <x:c r="G26" t="str">
        <x:v>Toxique</x:v>
      </x:c>
      <x:c r="H26" t="str"/>
      <x:c r="I26" t="str">
        <x:v>CON</x:v>
      </x:c>
      <x:c r="J26" t="str"/>
      <x:c r="K26" t="str">
        <x:v>DISQUE2</x:v>
      </x:c>
      <x:c r="L26" t="n">
        <x:v>10</x:v>
      </x:c>
      <x:c r="M26" t="str"/>
      <x:c r="N26" t="str"/>
      <x:c r="P26" t="str">
        <x:v>0|Humanoïde|Exceptionnelle</x:v>
      </x:c>
      <x:c r="Q26" t="n">
        <x:v>140</x:v>
      </x:c>
      <x:c r="R26" t="str">
        <x:v>10d20</x:v>
      </x:c>
      <x:c r="S26" t="str">
        <x:v>PC</x:v>
      </x:c>
      <x:c r="T26" t="n">
        <x:v>0</x:v>
      </x:c>
      <x:c r="U26" t="n">
        <x:v>0</x:v>
      </x:c>
      <x:c r="V26" t="n">
        <x:v>0</x:v>
      </x:c>
      <x:c r="W26" t="n">
        <x:v>35</x:v>
      </x:c>
      <x:c r="X26" t="str">
        <x:v>VALUE: [[10d20]] PC 35 PC</x:v>
      </x:c>
    </x:row>
    <x:row r="27">
      <x:c r="E27" t="str">
        <x:v>Signature|Dévorer</x:v>
      </x:c>
      <x:c r="F27" t="str">
        <x:v>ATTACK</x:v>
      </x:c>
      <x:c r="G27" t="str">
        <x:v>ATTAQUE1</x:v>
      </x:c>
      <x:c r="H27" t="str"/>
      <x:c r="I27" t="str"/>
      <x:c r="J27" t="str"/>
      <x:c r="K27" t="str"/>
      <x:c r="L27" t="n">
        <x:v>0</x:v>
      </x:c>
      <x:c r="M27" t="str"/>
      <x:c r="N27" t="str"/>
      <x:c r="P27" t="str">
        <x:v>0|Mort-vivant|Commune</x:v>
      </x:c>
      <x:c r="Q27" t="n">
        <x:v>20</x:v>
      </x:c>
      <x:c r="R27" t="str">
        <x:v>4d6</x:v>
      </x:c>
      <x:c r="S27" t="str">
        <x:v>PC</x:v>
      </x:c>
      <x:c r="T27" t="n">
        <x:v>0</x:v>
      </x:c>
      <x:c r="U27" t="n">
        <x:v>0</x:v>
      </x:c>
      <x:c r="V27" t="n">
        <x:v>0</x:v>
      </x:c>
      <x:c r="W27" t="n">
        <x:v>6</x:v>
      </x:c>
      <x:c r="X27" t="str">
        <x:v>VALUE: [[4d6]] PC 6 PC</x:v>
      </x:c>
    </x:row>
    <x:row r="28">
      <x:c r="E28" t="str">
        <x:v>Signature|Racines</x:v>
      </x:c>
      <x:c r="F28" t="str">
        <x:v>CONTROL_OPPOSE</x:v>
      </x:c>
      <x:c r="G28" t="str"/>
      <x:c r="H28" t="str">
        <x:v>entrave</x:v>
      </x:c>
      <x:c r="I28" t="str">
        <x:v>FOR</x:v>
      </x:c>
      <x:c r="J28" t="str">
        <x:v>DEX</x:v>
      </x:c>
      <x:c r="K28" t="str">
        <x:v>DISQUE2</x:v>
      </x:c>
      <x:c r="L28" t="n">
        <x:v>10</x:v>
      </x:c>
      <x:c r="M28" t="str"/>
      <x:c r="N28" t="str"/>
      <x:c r="P28" t="str">
        <x:v>0|Mort-vivant|Peu commune</x:v>
      </x:c>
      <x:c r="Q28" t="n">
        <x:v>30</x:v>
      </x:c>
      <x:c r="R28" t="str">
        <x:v>2d20</x:v>
      </x:c>
      <x:c r="S28" t="str">
        <x:v>PC</x:v>
      </x:c>
      <x:c r="T28" t="n">
        <x:v>0</x:v>
      </x:c>
      <x:c r="U28" t="n">
        <x:v>0</x:v>
      </x:c>
      <x:c r="V28" t="n">
        <x:v>0</x:v>
      </x:c>
      <x:c r="W28" t="n">
        <x:v>9</x:v>
      </x:c>
      <x:c r="X28" t="str">
        <x:v>VALUE: [[2d20]] PC 9 PC</x:v>
      </x:c>
    </x:row>
    <x:row r="29">
      <x:c r="E29" t="str">
        <x:v>Signature|Camouflage naturel</x:v>
      </x:c>
      <x:c r="F29" t="str">
        <x:v>DESCRIPTIF</x:v>
      </x:c>
      <x:c r="G29" t="str"/>
      <x:c r="H29" t="str"/>
      <x:c r="I29" t="str"/>
      <x:c r="J29" t="str"/>
      <x:c r="K29" t="str"/>
      <x:c r="L29" t="n">
        <x:v>0</x:v>
      </x:c>
      <x:c r="M29" t="str"/>
      <x:c r="N29" t="str"/>
      <x:c r="P29" t="str">
        <x:v>0|Mort-vivant|Rare</x:v>
      </x:c>
      <x:c r="Q29" t="n">
        <x:v>50</x:v>
      </x:c>
      <x:c r="R29" t="str">
        <x:v>10d6</x:v>
      </x:c>
      <x:c r="S29" t="str">
        <x:v>PC</x:v>
      </x:c>
      <x:c r="T29" t="n">
        <x:v>0</x:v>
      </x:c>
      <x:c r="U29" t="n">
        <x:v>0</x:v>
      </x:c>
      <x:c r="V29" t="n">
        <x:v>0</x:v>
      </x:c>
      <x:c r="W29" t="n">
        <x:v>15</x:v>
      </x:c>
      <x:c r="X29" t="str">
        <x:v>VALUE: [[10d6]] PC 15 PC</x:v>
      </x:c>
    </x:row>
    <x:row r="30">
      <x:c r="E30" t="str">
        <x:v>Signature|Pas d'ombre</x:v>
      </x:c>
      <x:c r="F30" t="str">
        <x:v>TELEPORT</x:v>
      </x:c>
      <x:c r="G30" t="str"/>
      <x:c r="H30" t="str"/>
      <x:c r="I30" t="str"/>
      <x:c r="J30" t="str"/>
      <x:c r="K30" t="str"/>
      <x:c r="L30" t="n">
        <x:v>10</x:v>
      </x:c>
      <x:c r="M30" t="str"/>
      <x:c r="N30" t="str"/>
      <x:c r="P30" t="str">
        <x:v>0|Mort-vivant|Précieuse</x:v>
      </x:c>
      <x:c r="Q30" t="n">
        <x:v>80</x:v>
      </x:c>
      <x:c r="R30" t="str">
        <x:v>10d10</x:v>
      </x:c>
      <x:c r="S30" t="str">
        <x:v>PC</x:v>
      </x:c>
      <x:c r="T30" t="n">
        <x:v>0</x:v>
      </x:c>
      <x:c r="U30" t="n">
        <x:v>0</x:v>
      </x:c>
      <x:c r="V30" t="n">
        <x:v>0</x:v>
      </x:c>
      <x:c r="W30" t="n">
        <x:v>25</x:v>
      </x:c>
      <x:c r="X30" t="str">
        <x:v>VALUE: [[10d10]] PC 25 PC</x:v>
      </x:c>
    </x:row>
    <x:row r="31">
      <x:c r="E31" t="str">
        <x:v>Signature|Présence féerique</x:v>
      </x:c>
      <x:c r="F31" t="str">
        <x:v>DESCRIPTIF</x:v>
      </x:c>
      <x:c r="G31" t="str"/>
      <x:c r="H31" t="str"/>
      <x:c r="I31" t="str"/>
      <x:c r="J31" t="str"/>
      <x:c r="K31" t="str"/>
      <x:c r="L31" t="n">
        <x:v>0</x:v>
      </x:c>
      <x:c r="M31" t="str"/>
      <x:c r="N31" t="str"/>
      <x:c r="P31" t="str">
        <x:v>0|Mort-vivant|Exceptionnelle</x:v>
      </x:c>
      <x:c r="Q31" t="n">
        <x:v>140</x:v>
      </x:c>
      <x:c r="R31" t="str">
        <x:v>10d20</x:v>
      </x:c>
      <x:c r="S31" t="str">
        <x:v>PC</x:v>
      </x:c>
      <x:c r="T31" t="n">
        <x:v>0</x:v>
      </x:c>
      <x:c r="U31" t="n">
        <x:v>0</x:v>
      </x:c>
      <x:c r="V31" t="n">
        <x:v>0</x:v>
      </x:c>
      <x:c r="W31" t="n">
        <x:v>35</x:v>
      </x:c>
      <x:c r="X31" t="str">
        <x:v>VALUE: [[10d20]] PC 35 PC</x:v>
      </x:c>
    </x:row>
    <x:row r="32">
      <x:c r="E32" t="str">
        <x:v>Signature|Illusion mineure</x:v>
      </x:c>
      <x:c r="F32" t="str">
        <x:v>DESCRIPTIF</x:v>
      </x:c>
      <x:c r="G32" t="str"/>
      <x:c r="H32" t="str"/>
      <x:c r="I32" t="str"/>
      <x:c r="J32" t="str"/>
      <x:c r="K32" t="str"/>
      <x:c r="L32" t="n">
        <x:v>0</x:v>
      </x:c>
      <x:c r="M32" t="str"/>
      <x:c r="N32" t="str"/>
      <x:c r="P32" t="str">
        <x:v>0|Monstre|Commune</x:v>
      </x:c>
      <x:c r="Q32" t="n">
        <x:v>20</x:v>
      </x:c>
      <x:c r="R32" t="str">
        <x:v>4d6</x:v>
      </x:c>
      <x:c r="S32" t="str">
        <x:v>PC</x:v>
      </x:c>
      <x:c r="T32" t="n">
        <x:v>0</x:v>
      </x:c>
      <x:c r="U32" t="n">
        <x:v>0</x:v>
      </x:c>
      <x:c r="V32" t="n">
        <x:v>0</x:v>
      </x:c>
      <x:c r="W32" t="n">
        <x:v>6</x:v>
      </x:c>
      <x:c r="X32" t="str">
        <x:v>VALUE: [[4d6]] PC 6 PC</x:v>
      </x:c>
    </x:row>
    <x:row r="33">
      <x:c r="E33" t="str">
        <x:v>Signature|Bond</x:v>
      </x:c>
      <x:c r="F33" t="str">
        <x:v>DESCRIPTIF</x:v>
      </x:c>
      <x:c r="G33" t="str"/>
      <x:c r="H33" t="str"/>
      <x:c r="I33" t="str"/>
      <x:c r="J33" t="str"/>
      <x:c r="K33" t="str"/>
      <x:c r="L33" t="n">
        <x:v>0</x:v>
      </x:c>
      <x:c r="M33" t="str"/>
      <x:c r="N33" t="str"/>
      <x:c r="P33" t="str">
        <x:v>0|Monstre|Peu commune</x:v>
      </x:c>
      <x:c r="Q33" t="n">
        <x:v>30</x:v>
      </x:c>
      <x:c r="R33" t="str">
        <x:v>2d20</x:v>
      </x:c>
      <x:c r="S33" t="str">
        <x:v>PC</x:v>
      </x:c>
      <x:c r="T33" t="n">
        <x:v>0</x:v>
      </x:c>
      <x:c r="U33" t="n">
        <x:v>0</x:v>
      </x:c>
      <x:c r="V33" t="n">
        <x:v>0</x:v>
      </x:c>
      <x:c r="W33" t="n">
        <x:v>9</x:v>
      </x:c>
      <x:c r="X33" t="str">
        <x:v>VALUE: [[2d20]] PC 9 PC</x:v>
      </x:c>
    </x:row>
    <x:row r="34">
      <x:c r="E34" t="str">
        <x:v>Signature|Trait hybride</x:v>
      </x:c>
      <x:c r="F34" t="str">
        <x:v>DESCRIPTIF</x:v>
      </x:c>
      <x:c r="G34" t="str"/>
      <x:c r="H34" t="str"/>
      <x:c r="I34" t="str"/>
      <x:c r="J34" t="str"/>
      <x:c r="K34" t="str"/>
      <x:c r="L34" t="n">
        <x:v>0</x:v>
      </x:c>
      <x:c r="M34" t="str"/>
      <x:c r="N34" t="str"/>
      <x:c r="P34" t="str">
        <x:v>0|Monstre|Rare</x:v>
      </x:c>
      <x:c r="Q34" t="n">
        <x:v>50</x:v>
      </x:c>
      <x:c r="R34" t="str">
        <x:v>10d6</x:v>
      </x:c>
      <x:c r="S34" t="str">
        <x:v>PC</x:v>
      </x:c>
      <x:c r="T34" t="n">
        <x:v>0</x:v>
      </x:c>
      <x:c r="U34" t="n">
        <x:v>0</x:v>
      </x:c>
      <x:c r="V34" t="n">
        <x:v>0</x:v>
      </x:c>
      <x:c r="W34" t="n">
        <x:v>15</x:v>
      </x:c>
      <x:c r="X34" t="str">
        <x:v>VALUE: [[10d6]] PC 15 PC</x:v>
      </x:c>
    </x:row>
    <x:row r="35">
      <x:c r="E35" t="str">
        <x:v>Signature|Régénération</x:v>
      </x:c>
      <x:c r="F35" t="str">
        <x:v>REGEN5</x:v>
      </x:c>
      <x:c r="G35" t="str"/>
      <x:c r="H35" t="str"/>
      <x:c r="I35" t="str"/>
      <x:c r="J35" t="str"/>
      <x:c r="K35" t="str"/>
      <x:c r="L35" t="n">
        <x:v>0</x:v>
      </x:c>
      <x:c r="M35" t="str"/>
      <x:c r="N35" t="str"/>
      <x:c r="P35" t="str">
        <x:v>0|Monstre|Précieuse</x:v>
      </x:c>
      <x:c r="Q35" t="n">
        <x:v>80</x:v>
      </x:c>
      <x:c r="R35" t="str">
        <x:v>10d10</x:v>
      </x:c>
      <x:c r="S35" t="str">
        <x:v>PC</x:v>
      </x:c>
      <x:c r="T35" t="n">
        <x:v>0</x:v>
      </x:c>
      <x:c r="U35" t="n">
        <x:v>0</x:v>
      </x:c>
      <x:c r="V35" t="n">
        <x:v>0</x:v>
      </x:c>
      <x:c r="W35" t="n">
        <x:v>25</x:v>
      </x:c>
      <x:c r="X35" t="str">
        <x:v>VALUE: [[10d10]] PC 25 PC</x:v>
      </x:c>
    </x:row>
    <x:row r="36">
      <x:c r="E36" t="str">
        <x:v>Signature|Engloutissement</x:v>
      </x:c>
      <x:c r="F36" t="str">
        <x:v>DESCRIPTIF</x:v>
      </x:c>
      <x:c r="G36" t="str"/>
      <x:c r="H36" t="str"/>
      <x:c r="I36" t="str"/>
      <x:c r="J36" t="str"/>
      <x:c r="K36" t="str"/>
      <x:c r="L36" t="n">
        <x:v>0</x:v>
      </x:c>
      <x:c r="M36" t="str"/>
      <x:c r="N36" t="str"/>
      <x:c r="P36" t="str">
        <x:v>0|Monstre|Exceptionnelle</x:v>
      </x:c>
      <x:c r="Q36" t="n">
        <x:v>140</x:v>
      </x:c>
      <x:c r="R36" t="str">
        <x:v>10d20</x:v>
      </x:c>
      <x:c r="S36" t="str">
        <x:v>PC</x:v>
      </x:c>
      <x:c r="T36" t="n">
        <x:v>0</x:v>
      </x:c>
      <x:c r="U36" t="n">
        <x:v>0</x:v>
      </x:c>
      <x:c r="V36" t="n">
        <x:v>0</x:v>
      </x:c>
      <x:c r="W36" t="n">
        <x:v>35</x:v>
      </x:c>
      <x:c r="X36" t="str">
        <x:v>VALUE: [[10d20]] PC 35 PC</x:v>
      </x:c>
    </x:row>
    <x:row r="37">
      <x:c r="E37" t="str">
        <x:v>Signature|Corrosion</x:v>
      </x:c>
      <x:c r="F37" t="str">
        <x:v>DESCRIPTIF</x:v>
      </x:c>
      <x:c r="G37" t="str"/>
      <x:c r="H37" t="str"/>
      <x:c r="I37" t="str"/>
      <x:c r="J37" t="str"/>
      <x:c r="K37" t="str"/>
      <x:c r="L37" t="n">
        <x:v>0</x:v>
      </x:c>
      <x:c r="M37" t="str"/>
      <x:c r="N37" t="str"/>
      <x:c r="P37" t="str">
        <x:v>0|Vase|Commune</x:v>
      </x:c>
      <x:c r="Q37" t="n">
        <x:v>20</x:v>
      </x:c>
      <x:c r="R37" t="str">
        <x:v>4d6</x:v>
      </x:c>
      <x:c r="S37" t="str">
        <x:v>PC</x:v>
      </x:c>
      <x:c r="T37" t="n">
        <x:v>0</x:v>
      </x:c>
      <x:c r="U37" t="n">
        <x:v>0</x:v>
      </x:c>
      <x:c r="V37" t="n">
        <x:v>0</x:v>
      </x:c>
      <x:c r="W37" t="n">
        <x:v>6</x:v>
      </x:c>
      <x:c r="X37" t="str">
        <x:v>VALUE: [[4d6]] PC 6 PC</x:v>
      </x:c>
    </x:row>
    <x:row r="38">
      <x:c r="E38" t="str">
        <x:v>Signature|Mimétisme</x:v>
      </x:c>
      <x:c r="F38" t="str">
        <x:v>DESCRIPTIF</x:v>
      </x:c>
      <x:c r="G38" t="str"/>
      <x:c r="H38" t="str"/>
      <x:c r="I38" t="str"/>
      <x:c r="J38" t="str"/>
      <x:c r="K38" t="str"/>
      <x:c r="L38" t="n">
        <x:v>0</x:v>
      </x:c>
      <x:c r="M38" t="str"/>
      <x:c r="N38" t="str"/>
      <x:c r="P38" t="str">
        <x:v>0|Vase|Peu commune</x:v>
      </x:c>
      <x:c r="Q38" t="n">
        <x:v>30</x:v>
      </x:c>
      <x:c r="R38" t="str">
        <x:v>2d20</x:v>
      </x:c>
      <x:c r="S38" t="str">
        <x:v>PC</x:v>
      </x:c>
      <x:c r="T38" t="n">
        <x:v>0</x:v>
      </x:c>
      <x:c r="U38" t="n">
        <x:v>0</x:v>
      </x:c>
      <x:c r="V38" t="n">
        <x:v>0</x:v>
      </x:c>
      <x:c r="W38" t="n">
        <x:v>9</x:v>
      </x:c>
      <x:c r="X38" t="str">
        <x:v>VALUE: [[2d20]] PC 9 PC</x:v>
      </x:c>
    </x:row>
    <x:row r="39">
      <x:c r="E39" t="str">
        <x:v>Signature|Flamme infernale</x:v>
      </x:c>
      <x:c r="F39" t="str">
        <x:v>DESCRIPTIF</x:v>
      </x:c>
      <x:c r="G39" t="str"/>
      <x:c r="H39" t="str"/>
      <x:c r="I39" t="str"/>
      <x:c r="J39" t="str"/>
      <x:c r="K39" t="str"/>
      <x:c r="L39" t="n">
        <x:v>0</x:v>
      </x:c>
      <x:c r="M39" t="str"/>
      <x:c r="N39" t="str"/>
      <x:c r="P39" t="str">
        <x:v>0|Vase|Rare</x:v>
      </x:c>
      <x:c r="Q39" t="n">
        <x:v>50</x:v>
      </x:c>
      <x:c r="R39" t="str">
        <x:v>10d6</x:v>
      </x:c>
      <x:c r="S39" t="str">
        <x:v>PC</x:v>
      </x:c>
      <x:c r="T39" t="n">
        <x:v>0</x:v>
      </x:c>
      <x:c r="U39" t="n">
        <x:v>0</x:v>
      </x:c>
      <x:c r="V39" t="n">
        <x:v>0</x:v>
      </x:c>
      <x:c r="W39" t="n">
        <x:v>15</x:v>
      </x:c>
      <x:c r="X39" t="str">
        <x:v>VALUE: [[10d6]] PC 15 PC</x:v>
      </x:c>
    </x:row>
    <x:row r="40">
      <x:c r="E40" t="str">
        <x:v>Signature|Rage infernale</x:v>
      </x:c>
      <x:c r="F40" t="str">
        <x:v>PREDICAT</x:v>
      </x:c>
      <x:c r="G40" t="str"/>
      <x:c r="H40" t="str"/>
      <x:c r="I40" t="str"/>
      <x:c r="J40" t="str"/>
      <x:c r="K40" t="str"/>
      <x:c r="L40" t="n">
        <x:v>0</x:v>
      </x:c>
      <x:c r="M40" t="str">
        <x:v>bonusDMSous50PV:20</x:v>
      </x:c>
      <x:c r="N40" t="str"/>
      <x:c r="P40" t="str">
        <x:v>0|Vase|Précieuse</x:v>
      </x:c>
      <x:c r="Q40" t="n">
        <x:v>80</x:v>
      </x:c>
      <x:c r="R40" t="str">
        <x:v>10d10</x:v>
      </x:c>
      <x:c r="S40" t="str">
        <x:v>PC</x:v>
      </x:c>
      <x:c r="T40" t="n">
        <x:v>0</x:v>
      </x:c>
      <x:c r="U40" t="n">
        <x:v>0</x:v>
      </x:c>
      <x:c r="V40" t="n">
        <x:v>0</x:v>
      </x:c>
      <x:c r="W40" t="n">
        <x:v>25</x:v>
      </x:c>
      <x:c r="X40" t="str">
        <x:v>VALUE: [[10d10]] PC 25 PC</x:v>
      </x:c>
    </x:row>
    <x:row r="41">
      <x:c r="E41" t="str">
        <x:v>Signature|Corruption</x:v>
      </x:c>
      <x:c r="F41" t="str">
        <x:v>CONTROL_SAVE</x:v>
      </x:c>
      <x:c r="G41" t="str"/>
      <x:c r="H41" t="str">
        <x:v>affaibli</x:v>
      </x:c>
      <x:c r="I41" t="str">
        <x:v>SAG</x:v>
      </x:c>
      <x:c r="J41" t="str"/>
      <x:c r="K41" t="str"/>
      <x:c r="L41" t="n">
        <x:v>15</x:v>
      </x:c>
      <x:c r="M41" t="str"/>
      <x:c r="N41" t="str"/>
      <x:c r="P41" t="str">
        <x:v>0|Vase|Exceptionnelle</x:v>
      </x:c>
      <x:c r="Q41" t="n">
        <x:v>140</x:v>
      </x:c>
      <x:c r="R41" t="str">
        <x:v>10d20</x:v>
      </x:c>
      <x:c r="S41" t="str">
        <x:v>PC</x:v>
      </x:c>
      <x:c r="T41" t="n">
        <x:v>0</x:v>
      </x:c>
      <x:c r="U41" t="n">
        <x:v>0</x:v>
      </x:c>
      <x:c r="V41" t="n">
        <x:v>0</x:v>
      </x:c>
      <x:c r="W41" t="n">
        <x:v>35</x:v>
      </x:c>
      <x:c r="X41" t="str">
        <x:v>VALUE: [[10d20]] PC 35 PC</x:v>
      </x:c>
    </x:row>
    <x:row r="42">
      <x:c r="E42" t="str">
        <x:v>Signature|Charme</x:v>
      </x:c>
      <x:c r="F42" t="str">
        <x:v>CONTROL_SAVE</x:v>
      </x:c>
      <x:c r="G42" t="str"/>
      <x:c r="H42" t="str">
        <x:v>charme</x:v>
      </x:c>
      <x:c r="I42" t="str">
        <x:v>SAG</x:v>
      </x:c>
      <x:c r="J42" t="str"/>
      <x:c r="K42" t="str"/>
      <x:c r="L42" t="n">
        <x:v>15</x:v>
      </x:c>
      <x:c r="M42" t="str"/>
      <x:c r="N42" t="str"/>
      <x:c r="P42" t="str">
        <x:v>0|Géant|Commune</x:v>
      </x:c>
      <x:c r="Q42" t="n">
        <x:v>24</x:v>
      </x:c>
      <x:c r="R42" t="str">
        <x:v>4d8</x:v>
      </x:c>
      <x:c r="S42" t="str">
        <x:v>PC</x:v>
      </x:c>
      <x:c r="T42" t="n">
        <x:v>0</x:v>
      </x:c>
      <x:c r="U42" t="n">
        <x:v>0</x:v>
      </x:c>
      <x:c r="V42" t="n">
        <x:v>0</x:v>
      </x:c>
      <x:c r="W42" t="n">
        <x:v>6</x:v>
      </x:c>
      <x:c r="X42" t="str">
        <x:v>VALUE: [[4d8]] PC 6 PC</x:v>
      </x:c>
    </x:row>
    <x:row r="43">
      <x:c r="E43" t="str">
        <x:v>Signature|Traque</x:v>
      </x:c>
      <x:c r="F43" t="str">
        <x:v>DESCRIPTIF</x:v>
      </x:c>
      <x:c r="G43" t="str"/>
      <x:c r="H43" t="str"/>
      <x:c r="I43" t="str"/>
      <x:c r="J43" t="str"/>
      <x:c r="K43" t="str"/>
      <x:c r="L43" t="n">
        <x:v>0</x:v>
      </x:c>
      <x:c r="M43" t="str"/>
      <x:c r="N43" t="str"/>
      <x:c r="P43" t="str">
        <x:v>0|Géant|Peu commune</x:v>
      </x:c>
      <x:c r="Q43" t="n">
        <x:v>36</x:v>
      </x:c>
      <x:c r="R43" t="str">
        <x:v>10d4</x:v>
      </x:c>
      <x:c r="S43" t="str">
        <x:v>PC</x:v>
      </x:c>
      <x:c r="T43" t="n">
        <x:v>0</x:v>
      </x:c>
      <x:c r="U43" t="n">
        <x:v>0</x:v>
      </x:c>
      <x:c r="V43" t="n">
        <x:v>0</x:v>
      </x:c>
      <x:c r="W43" t="n">
        <x:v>11</x:v>
      </x:c>
      <x:c r="X43" t="str">
        <x:v>VALUE: [[10d4]] PC 11 PC</x:v>
      </x:c>
    </x:row>
    <x:row r="44">
      <x:c r="E44" t="str">
        <x:v>Signature|Grande allonge</x:v>
      </x:c>
      <x:c r="F44" t="str">
        <x:v>STAT</x:v>
      </x:c>
      <x:c r="G44" t="str"/>
      <x:c r="H44" t="str"/>
      <x:c r="I44" t="str"/>
      <x:c r="J44" t="str"/>
      <x:c r="K44" t="str"/>
      <x:c r="L44" t="n">
        <x:v>0</x:v>
      </x:c>
      <x:c r="M44" t="str"/>
      <x:c r="N44" t="str"/>
      <x:c r="P44" t="str">
        <x:v>0|Géant|Rare</x:v>
      </x:c>
      <x:c r="Q44" t="n">
        <x:v>60</x:v>
      </x:c>
      <x:c r="R44" t="str">
        <x:v>4d20</x:v>
      </x:c>
      <x:c r="S44" t="str">
        <x:v>PC</x:v>
      </x:c>
      <x:c r="T44" t="n">
        <x:v>0</x:v>
      </x:c>
      <x:c r="U44" t="n">
        <x:v>0</x:v>
      </x:c>
      <x:c r="V44" t="n">
        <x:v>0</x:v>
      </x:c>
      <x:c r="W44" t="n">
        <x:v>18</x:v>
      </x:c>
      <x:c r="X44" t="str">
        <x:v>VALUE: [[4d20]] PC 18 PC</x:v>
      </x:c>
    </x:row>
    <x:row r="45">
      <x:c r="E45" t="str">
        <x:v>Signature|Projection</x:v>
      </x:c>
      <x:c r="F45" t="str">
        <x:v>MANOEUVRE</x:v>
      </x:c>
      <x:c r="G45" t="str"/>
      <x:c r="H45" t="str"/>
      <x:c r="I45" t="str"/>
      <x:c r="J45" t="str"/>
      <x:c r="K45" t="str"/>
      <x:c r="L45" t="n">
        <x:v>0</x:v>
      </x:c>
      <x:c r="M45" t="str"/>
      <x:c r="N45" t="str">
        <x:v>repousser</x:v>
      </x:c>
      <x:c r="P45" t="str">
        <x:v>0|Géant|Précieuse</x:v>
      </x:c>
      <x:c r="Q45" t="n">
        <x:v>96</x:v>
      </x:c>
      <x:c r="R45" t="str">
        <x:v>10d12</x:v>
      </x:c>
      <x:c r="S45" t="str">
        <x:v>PC</x:v>
      </x:c>
      <x:c r="T45" t="n">
        <x:v>0</x:v>
      </x:c>
      <x:c r="U45" t="n">
        <x:v>0</x:v>
      </x:c>
      <x:c r="V45" t="n">
        <x:v>0</x:v>
      </x:c>
      <x:c r="W45" t="n">
        <x:v>31</x:v>
      </x:c>
      <x:c r="X45" t="str">
        <x:v>VALUE: [[10d12]] PC 31 PC</x:v>
      </x:c>
    </x:row>
    <x:row r="46">
      <x:c r="E46" t="str">
        <x:v>Signature|Frappe titanesque</x:v>
      </x:c>
      <x:c r="F46" t="str">
        <x:v>ATTACK</x:v>
      </x:c>
      <x:c r="G46" t="str">
        <x:v>ATTAQUE1</x:v>
      </x:c>
      <x:c r="H46" t="str"/>
      <x:c r="I46" t="str"/>
      <x:c r="J46" t="str"/>
      <x:c r="K46" t="str"/>
      <x:c r="L46" t="n">
        <x:v>0</x:v>
      </x:c>
      <x:c r="M46" t="str"/>
      <x:c r="N46" t="str"/>
      <x:c r="P46" t="str">
        <x:v>0|Géant|Exceptionnelle</x:v>
      </x:c>
      <x:c r="Q46" t="n">
        <x:v>168</x:v>
      </x:c>
      <x:c r="R46" t="str">
        <x:v>10d20</x:v>
      </x:c>
      <x:c r="S46" t="str">
        <x:v>PC</x:v>
      </x:c>
      <x:c r="T46" t="n">
        <x:v>0</x:v>
      </x:c>
      <x:c r="U46" t="n">
        <x:v>0</x:v>
      </x:c>
      <x:c r="V46" t="n">
        <x:v>0</x:v>
      </x:c>
      <x:c r="W46" t="n">
        <x:v>63</x:v>
      </x:c>
      <x:c r="X46" t="str">
        <x:v>VALUE: [[10d20]] PC 63 PC</x:v>
      </x:c>
    </x:row>
    <x:row r="47">
      <x:c r="E47" t="str">
        <x:v>Signature|Rune active</x:v>
      </x:c>
      <x:c r="F47" t="str">
        <x:v>ATTACK</x:v>
      </x:c>
      <x:c r="G47" t="str">
        <x:v>ELEMENT</x:v>
      </x:c>
      <x:c r="H47" t="str"/>
      <x:c r="I47" t="str"/>
      <x:c r="J47" t="str"/>
      <x:c r="K47" t="str"/>
      <x:c r="L47" t="n">
        <x:v>15</x:v>
      </x:c>
      <x:c r="M47" t="str"/>
      <x:c r="N47" t="str"/>
      <x:c r="P47" t="str">
        <x:v>0|Aberration|Commune</x:v>
      </x:c>
      <x:c r="Q47" t="n">
        <x:v>30</x:v>
      </x:c>
      <x:c r="R47" t="str">
        <x:v>2d20</x:v>
      </x:c>
      <x:c r="S47" t="str">
        <x:v>PC</x:v>
      </x:c>
      <x:c r="T47" t="n">
        <x:v>0</x:v>
      </x:c>
      <x:c r="U47" t="n">
        <x:v>0</x:v>
      </x:c>
      <x:c r="V47" t="n">
        <x:v>0</x:v>
      </x:c>
      <x:c r="W47" t="n">
        <x:v>9</x:v>
      </x:c>
      <x:c r="X47" t="str">
        <x:v>VALUE: [[2d20]] PC 9 PC</x:v>
      </x:c>
    </x:row>
    <x:row r="48">
      <x:c r="E48" t="str">
        <x:v>Signature|Absorption Feu</x:v>
      </x:c>
      <x:c r="F48" t="str">
        <x:v>AFFINITE</x:v>
      </x:c>
      <x:c r="G48" t="str"/>
      <x:c r="H48" t="str"/>
      <x:c r="I48" t="str"/>
      <x:c r="J48" t="str"/>
      <x:c r="K48" t="str"/>
      <x:c r="L48" t="n">
        <x:v>0</x:v>
      </x:c>
      <x:c r="M48" t="str"/>
      <x:c r="N48" t="str"/>
      <x:c r="P48" t="str">
        <x:v>0|Aberration|Peu commune</x:v>
      </x:c>
      <x:c r="Q48" t="n">
        <x:v>45</x:v>
      </x:c>
      <x:c r="R48" t="str">
        <x:v>6d10</x:v>
      </x:c>
      <x:c r="S48" t="str">
        <x:v>PC</x:v>
      </x:c>
      <x:c r="T48" t="n">
        <x:v>0</x:v>
      </x:c>
      <x:c r="U48" t="n">
        <x:v>0</x:v>
      </x:c>
      <x:c r="V48" t="n">
        <x:v>0</x:v>
      </x:c>
      <x:c r="W48" t="n">
        <x:v>12</x:v>
      </x:c>
      <x:c r="X48" t="str">
        <x:v>VALUE: [[6d10]] PC 12 PC</x:v>
      </x:c>
    </x:row>
    <x:row r="49">
      <x:c r="E49" t="str">
        <x:v>Signature|Absorption Air</x:v>
      </x:c>
      <x:c r="F49" t="str">
        <x:v>AFFINITE</x:v>
      </x:c>
      <x:c r="G49" t="str"/>
      <x:c r="H49" t="str"/>
      <x:c r="I49" t="str"/>
      <x:c r="J49" t="str"/>
      <x:c r="K49" t="str"/>
      <x:c r="L49" t="n">
        <x:v>0</x:v>
      </x:c>
      <x:c r="M49" t="str"/>
      <x:c r="N49" t="str"/>
      <x:c r="P49" t="str">
        <x:v>0|Aberration|Rare</x:v>
      </x:c>
      <x:c r="Q49" t="n">
        <x:v>75</x:v>
      </x:c>
      <x:c r="R49" t="str">
        <x:v>8d12</x:v>
      </x:c>
      <x:c r="S49" t="str">
        <x:v>PC</x:v>
      </x:c>
      <x:c r="T49" t="n">
        <x:v>0</x:v>
      </x:c>
      <x:c r="U49" t="n">
        <x:v>0</x:v>
      </x:c>
      <x:c r="V49" t="n">
        <x:v>0</x:v>
      </x:c>
      <x:c r="W49" t="n">
        <x:v>23</x:v>
      </x:c>
      <x:c r="X49" t="str">
        <x:v>VALUE: [[8d12]] PC 23 PC</x:v>
      </x:c>
    </x:row>
    <x:row r="50">
      <x:c r="E50" t="str">
        <x:v>Signature|Absorption Eau</x:v>
      </x:c>
      <x:c r="F50" t="str">
        <x:v>AFFINITE</x:v>
      </x:c>
      <x:c r="G50" t="str"/>
      <x:c r="H50" t="str"/>
      <x:c r="I50" t="str"/>
      <x:c r="J50" t="str"/>
      <x:c r="K50" t="str"/>
      <x:c r="L50" t="n">
        <x:v>0</x:v>
      </x:c>
      <x:c r="M50" t="str"/>
      <x:c r="N50" t="str"/>
      <x:c r="P50" t="str">
        <x:v>0|Aberration|Précieuse</x:v>
      </x:c>
      <x:c r="Q50" t="n">
        <x:v>120</x:v>
      </x:c>
      <x:c r="R50" t="str">
        <x:v>8d20</x:v>
      </x:c>
      <x:c r="S50" t="str">
        <x:v>PC</x:v>
      </x:c>
      <x:c r="T50" t="n">
        <x:v>0</x:v>
      </x:c>
      <x:c r="U50" t="n">
        <x:v>0</x:v>
      </x:c>
      <x:c r="V50" t="n">
        <x:v>0</x:v>
      </x:c>
      <x:c r="W50" t="n">
        <x:v>36</x:v>
      </x:c>
      <x:c r="X50" t="str">
        <x:v>VALUE: [[8d20]] PC 36 PC</x:v>
      </x:c>
    </x:row>
    <x:row r="51">
      <x:c r="E51" t="str">
        <x:v>Signature|Absorption Terre</x:v>
      </x:c>
      <x:c r="F51" t="str">
        <x:v>AFFINITE</x:v>
      </x:c>
      <x:c r="G51" t="str"/>
      <x:c r="H51" t="str"/>
      <x:c r="I51" t="str"/>
      <x:c r="J51" t="str"/>
      <x:c r="K51" t="str"/>
      <x:c r="L51" t="n">
        <x:v>0</x:v>
      </x:c>
      <x:c r="M51" t="str"/>
      <x:c r="N51" t="str"/>
      <x:c r="P51" t="str">
        <x:v>0|Aberration|Exceptionnelle</x:v>
      </x:c>
      <x:c r="Q51" t="n">
        <x:v>210</x:v>
      </x:c>
      <x:c r="R51" t="str">
        <x:v>10d20</x:v>
      </x:c>
      <x:c r="S51" t="str">
        <x:v>PC</x:v>
      </x:c>
      <x:c r="T51" t="n">
        <x:v>0</x:v>
      </x:c>
      <x:c r="U51" t="n">
        <x:v>0</x:v>
      </x:c>
      <x:c r="V51" t="n">
        <x:v>1</x:v>
      </x:c>
      <x:c r="W51" t="n">
        <x:v>5</x:v>
      </x:c>
      <x:c r="X51" t="str">
        <x:v>VALUE: [[10d20]] PC 1 PA 5 PC</x:v>
      </x:c>
    </x:row>
    <x:row r="52">
      <x:c r="E52" t="str">
        <x:v>Signature|Absorption Ombre</x:v>
      </x:c>
      <x:c r="F52" t="str">
        <x:v>AFFINITE</x:v>
      </x:c>
      <x:c r="G52" t="str"/>
      <x:c r="H52" t="str"/>
      <x:c r="I52" t="str"/>
      <x:c r="J52" t="str"/>
      <x:c r="K52" t="str"/>
      <x:c r="L52" t="n">
        <x:v>0</x:v>
      </x:c>
      <x:c r="M52" t="str"/>
      <x:c r="N52" t="str"/>
      <x:c r="P52" t="str">
        <x:v>0|Fée|Commune</x:v>
      </x:c>
      <x:c r="Q52" t="n">
        <x:v>36</x:v>
      </x:c>
      <x:c r="R52" t="str">
        <x:v>10d4</x:v>
      </x:c>
      <x:c r="S52" t="str">
        <x:v>PC</x:v>
      </x:c>
      <x:c r="T52" t="n">
        <x:v>0</x:v>
      </x:c>
      <x:c r="U52" t="n">
        <x:v>0</x:v>
      </x:c>
      <x:c r="V52" t="n">
        <x:v>0</x:v>
      </x:c>
      <x:c r="W52" t="n">
        <x:v>11</x:v>
      </x:c>
      <x:c r="X52" t="str">
        <x:v>VALUE: [[10d4]] PC 11 PC</x:v>
      </x:c>
    </x:row>
    <x:row r="53">
      <x:c r="E53" t="str">
        <x:v>Signature|Absorption Lumière</x:v>
      </x:c>
      <x:c r="F53" t="str">
        <x:v>AFFINITE</x:v>
      </x:c>
      <x:c r="G53" t="str"/>
      <x:c r="H53" t="str"/>
      <x:c r="I53" t="str"/>
      <x:c r="J53" t="str"/>
      <x:c r="K53" t="str"/>
      <x:c r="L53" t="n">
        <x:v>0</x:v>
      </x:c>
      <x:c r="M53" t="str"/>
      <x:c r="N53" t="str"/>
      <x:c r="P53" t="str">
        <x:v>0|Fée|Peu commune</x:v>
      </x:c>
      <x:c r="Q53" t="n">
        <x:v>54</x:v>
      </x:c>
      <x:c r="R53" t="str">
        <x:v>6d12</x:v>
      </x:c>
      <x:c r="S53" t="str">
        <x:v>PC</x:v>
      </x:c>
      <x:c r="T53" t="n">
        <x:v>0</x:v>
      </x:c>
      <x:c r="U53" t="n">
        <x:v>0</x:v>
      </x:c>
      <x:c r="V53" t="n">
        <x:v>0</x:v>
      </x:c>
      <x:c r="W53" t="n">
        <x:v>15</x:v>
      </x:c>
      <x:c r="X53" t="str">
        <x:v>VALUE: [[6d12]] PC 15 PC</x:v>
      </x:c>
    </x:row>
    <x:row r="54">
      <x:c r="E54" t="str">
        <x:v>Signature|Absorption Force</x:v>
      </x:c>
      <x:c r="F54" t="str">
        <x:v>AFFINITE</x:v>
      </x:c>
      <x:c r="G54" t="str"/>
      <x:c r="H54" t="str"/>
      <x:c r="I54" t="str"/>
      <x:c r="J54" t="str"/>
      <x:c r="K54" t="str"/>
      <x:c r="L54" t="n">
        <x:v>0</x:v>
      </x:c>
      <x:c r="M54" t="str"/>
      <x:c r="N54" t="str"/>
      <x:c r="P54" t="str">
        <x:v>0|Fée|Rare</x:v>
      </x:c>
      <x:c r="Q54" t="n">
        <x:v>90</x:v>
      </x:c>
      <x:c r="R54" t="str">
        <x:v>6d20</x:v>
      </x:c>
      <x:c r="S54" t="str">
        <x:v>PC</x:v>
      </x:c>
      <x:c r="T54" t="n">
        <x:v>0</x:v>
      </x:c>
      <x:c r="U54" t="n">
        <x:v>0</x:v>
      </x:c>
      <x:c r="V54" t="n">
        <x:v>0</x:v>
      </x:c>
      <x:c r="W54" t="n">
        <x:v>27</x:v>
      </x:c>
      <x:c r="X54" t="str">
        <x:v>VALUE: [[6d20]] PC 27 PC</x:v>
      </x:c>
    </x:row>
    <x:row r="55">
      <x:c r="E55" t="str">
        <x:v>Signature|Brûlure</x:v>
      </x:c>
      <x:c r="F55" t="str">
        <x:v>DESCRIPTIF</x:v>
      </x:c>
      <x:c r="G55" t="str"/>
      <x:c r="H55" t="str"/>
      <x:c r="I55" t="str"/>
      <x:c r="J55" t="str"/>
      <x:c r="K55" t="str"/>
      <x:c r="L55" t="n">
        <x:v>0</x:v>
      </x:c>
      <x:c r="M55" t="str"/>
      <x:c r="N55" t="str"/>
      <x:c r="P55" t="str">
        <x:v>0|Fée|Précieuse</x:v>
      </x:c>
      <x:c r="Q55" t="n">
        <x:v>144</x:v>
      </x:c>
      <x:c r="R55" t="str">
        <x:v>10d20</x:v>
      </x:c>
      <x:c r="S55" t="str">
        <x:v>PC</x:v>
      </x:c>
      <x:c r="T55" t="n">
        <x:v>0</x:v>
      </x:c>
      <x:c r="U55" t="n">
        <x:v>0</x:v>
      </x:c>
      <x:c r="V55" t="n">
        <x:v>0</x:v>
      </x:c>
      <x:c r="W55" t="n">
        <x:v>39</x:v>
      </x:c>
      <x:c r="X55" t="str">
        <x:v>VALUE: [[10d20]] PC 39 PC</x:v>
      </x:c>
    </x:row>
    <x:row r="56">
      <x:c r="E56" t="str">
        <x:v>Signature|Intangible</x:v>
      </x:c>
      <x:c r="F56" t="str">
        <x:v>PREDICAT</x:v>
      </x:c>
      <x:c r="G56" t="str"/>
      <x:c r="H56" t="str"/>
      <x:c r="I56" t="str"/>
      <x:c r="J56" t="str"/>
      <x:c r="K56" t="str"/>
      <x:c r="L56" t="n">
        <x:v>0</x:v>
      </x:c>
      <x:c r="M56" t="str">
        <x:v>creatureIntangible</x:v>
      </x:c>
      <x:c r="N56" t="str"/>
      <x:c r="P56" t="str">
        <x:v>0|Fée|Exceptionnelle</x:v>
      </x:c>
      <x:c r="Q56" t="n">
        <x:v>252</x:v>
      </x:c>
      <x:c r="R56" t="str">
        <x:v>10d20</x:v>
      </x:c>
      <x:c r="S56" t="str">
        <x:v>PC</x:v>
      </x:c>
      <x:c r="T56" t="n">
        <x:v>0</x:v>
      </x:c>
      <x:c r="U56" t="n">
        <x:v>0</x:v>
      </x:c>
      <x:c r="V56" t="n">
        <x:v>1</x:v>
      </x:c>
      <x:c r="W56" t="n">
        <x:v>47</x:v>
      </x:c>
      <x:c r="X56" t="str">
        <x:v>VALUE: [[10d20]] PC 1 PA 47 PC</x:v>
      </x:c>
    </x:row>
    <x:row r="57">
      <x:c r="E57" t="str">
        <x:v>Signature|Intangibilité</x:v>
      </x:c>
      <x:c r="F57" t="str">
        <x:v>PREDICAT</x:v>
      </x:c>
      <x:c r="G57" t="str"/>
      <x:c r="H57" t="str"/>
      <x:c r="I57" t="str"/>
      <x:c r="J57" t="str"/>
      <x:c r="K57" t="str"/>
      <x:c r="L57" t="n">
        <x:v>0</x:v>
      </x:c>
      <x:c r="M57" t="str">
        <x:v>creatureIntangible</x:v>
      </x:c>
      <x:c r="N57" t="str"/>
      <x:c r="P57" t="str">
        <x:v>0|Démon|Commune</x:v>
      </x:c>
      <x:c r="Q57" t="n">
        <x:v>40</x:v>
      </x:c>
      <x:c r="R57" t="str">
        <x:v>8d6</x:v>
      </x:c>
      <x:c r="S57" t="str">
        <x:v>PC</x:v>
      </x:c>
      <x:c r="T57" t="n">
        <x:v>0</x:v>
      </x:c>
      <x:c r="U57" t="n">
        <x:v>0</x:v>
      </x:c>
      <x:c r="V57" t="n">
        <x:v>0</x:v>
      </x:c>
      <x:c r="W57" t="n">
        <x:v>12</x:v>
      </x:c>
      <x:c r="X57" t="str">
        <x:v>VALUE: [[8d6]] PC 12 PC</x:v>
      </x:c>
    </x:row>
    <x:row r="58">
      <x:c r="E58" t="str">
        <x:v>Signature|Rafale</x:v>
      </x:c>
      <x:c r="F58" t="str">
        <x:v>AOE_CONTROL</x:v>
      </x:c>
      <x:c r="G58" t="str">
        <x:v>Air</x:v>
      </x:c>
      <x:c r="H58" t="str">
        <x:v>renverse</x:v>
      </x:c>
      <x:c r="I58" t="str">
        <x:v>DEX</x:v>
      </x:c>
      <x:c r="J58" t="str"/>
      <x:c r="K58" t="str">
        <x:v>DISQUE2</x:v>
      </x:c>
      <x:c r="L58" t="n">
        <x:v>10</x:v>
      </x:c>
      <x:c r="M58" t="str"/>
      <x:c r="N58" t="str"/>
      <x:c r="P58" t="str">
        <x:v>0|Démon|Peu commune</x:v>
      </x:c>
      <x:c r="Q58" t="n">
        <x:v>60</x:v>
      </x:c>
      <x:c r="R58" t="str">
        <x:v>4d20</x:v>
      </x:c>
      <x:c r="S58" t="str">
        <x:v>PC</x:v>
      </x:c>
      <x:c r="T58" t="n">
        <x:v>0</x:v>
      </x:c>
      <x:c r="U58" t="n">
        <x:v>0</x:v>
      </x:c>
      <x:c r="V58" t="n">
        <x:v>0</x:v>
      </x:c>
      <x:c r="W58" t="n">
        <x:v>18</x:v>
      </x:c>
      <x:c r="X58" t="str">
        <x:v>VALUE: [[4d20]] PC 18 PC</x:v>
      </x:c>
    </x:row>
    <x:row r="59">
      <x:c r="E59" t="str">
        <x:v>Signature|Lenteur aqueuse</x:v>
      </x:c>
      <x:c r="F59" t="str">
        <x:v>AOE_CONTROL</x:v>
      </x:c>
      <x:c r="G59" t="str">
        <x:v>Eau</x:v>
      </x:c>
      <x:c r="H59" t="str">
        <x:v>entrave</x:v>
      </x:c>
      <x:c r="I59" t="str">
        <x:v>FORDEX</x:v>
      </x:c>
      <x:c r="J59" t="str"/>
      <x:c r="K59" t="str">
        <x:v>DISQUE2</x:v>
      </x:c>
      <x:c r="L59" t="n">
        <x:v>10</x:v>
      </x:c>
      <x:c r="M59" t="str"/>
      <x:c r="N59" t="str"/>
      <x:c r="P59" t="str">
        <x:v>0|Démon|Rare</x:v>
      </x:c>
      <x:c r="Q59" t="n">
        <x:v>100</x:v>
      </x:c>
      <x:c r="R59" t="str">
        <x:v>10d12</x:v>
      </x:c>
      <x:c r="S59" t="str">
        <x:v>PC</x:v>
      </x:c>
      <x:c r="T59" t="n">
        <x:v>0</x:v>
      </x:c>
      <x:c r="U59" t="n">
        <x:v>0</x:v>
      </x:c>
      <x:c r="V59" t="n">
        <x:v>0</x:v>
      </x:c>
      <x:c r="W59" t="n">
        <x:v>35</x:v>
      </x:c>
      <x:c r="X59" t="str">
        <x:v>VALUE: [[10d12]] PC 35 PC</x:v>
      </x:c>
    </x:row>
    <x:row r="60">
      <x:c r="E60" t="str">
        <x:v>Signature|Stabilité</x:v>
      </x:c>
      <x:c r="F60" t="str">
        <x:v>DESCRIPTIF</x:v>
      </x:c>
      <x:c r="G60" t="str"/>
      <x:c r="H60" t="str"/>
      <x:c r="I60" t="str"/>
      <x:c r="J60" t="str"/>
      <x:c r="K60" t="str"/>
      <x:c r="L60" t="n">
        <x:v>0</x:v>
      </x:c>
      <x:c r="M60" t="str"/>
      <x:c r="N60" t="str"/>
      <x:c r="P60" t="str">
        <x:v>0|Démon|Précieuse</x:v>
      </x:c>
      <x:c r="Q60" t="n">
        <x:v>160</x:v>
      </x:c>
      <x:c r="R60" t="str">
        <x:v>10d20</x:v>
      </x:c>
      <x:c r="S60" t="str">
        <x:v>PC</x:v>
      </x:c>
      <x:c r="T60" t="n">
        <x:v>0</x:v>
      </x:c>
      <x:c r="U60" t="n">
        <x:v>0</x:v>
      </x:c>
      <x:c r="V60" t="n">
        <x:v>0</x:v>
      </x:c>
      <x:c r="W60" t="n">
        <x:v>55</x:v>
      </x:c>
      <x:c r="X60" t="str">
        <x:v>VALUE: [[10d20]] PC 55 PC</x:v>
      </x:c>
    </x:row>
    <x:row r="61">
      <x:c r="E61" t="str">
        <x:v>Signature|Éblouissement</x:v>
      </x:c>
      <x:c r="F61" t="str">
        <x:v>AOE_CONTROL</x:v>
      </x:c>
      <x:c r="G61" t="str">
        <x:v>Lumière</x:v>
      </x:c>
      <x:c r="H61" t="str">
        <x:v>aveugle</x:v>
      </x:c>
      <x:c r="I61" t="str">
        <x:v>DEX</x:v>
      </x:c>
      <x:c r="J61" t="str"/>
      <x:c r="K61" t="str">
        <x:v>DISQUE2</x:v>
      </x:c>
      <x:c r="L61" t="n">
        <x:v>10</x:v>
      </x:c>
      <x:c r="M61" t="str"/>
      <x:c r="N61" t="str"/>
      <x:c r="P61" t="str">
        <x:v>0|Démon|Exceptionnelle</x:v>
      </x:c>
      <x:c r="Q61" t="n">
        <x:v>280</x:v>
      </x:c>
      <x:c r="R61" t="str">
        <x:v>1d4</x:v>
      </x:c>
      <x:c r="S61" t="str">
        <x:v>PA</x:v>
      </x:c>
      <x:c r="T61" t="n">
        <x:v>0</x:v>
      </x:c>
      <x:c r="U61" t="n">
        <x:v>0</x:v>
      </x:c>
      <x:c r="V61" t="n">
        <x:v>0</x:v>
      </x:c>
      <x:c r="W61" t="n">
        <x:v>30</x:v>
      </x:c>
      <x:c r="X61" t="str">
        <x:v>VALUE: [[1d4]] PA 30 PC</x:v>
      </x:c>
    </x:row>
    <x:row r="62">
      <x:c r="E62" t="str">
        <x:v>Signature|Impact de force</x:v>
      </x:c>
      <x:c r="F62" t="str">
        <x:v>AOE_CONTROL</x:v>
      </x:c>
      <x:c r="G62" t="str">
        <x:v>Force</x:v>
      </x:c>
      <x:c r="H62" t="str">
        <x:v>renverse</x:v>
      </x:c>
      <x:c r="I62" t="str">
        <x:v>FOR</x:v>
      </x:c>
      <x:c r="J62" t="str"/>
      <x:c r="K62" t="str">
        <x:v>DISQUE2</x:v>
      </x:c>
      <x:c r="L62" t="n">
        <x:v>10</x:v>
      </x:c>
      <x:c r="M62" t="str"/>
      <x:c r="N62" t="str"/>
      <x:c r="P62" t="str">
        <x:v>0|Artificiel|Commune</x:v>
      </x:c>
      <x:c r="Q62" t="n">
        <x:v>40</x:v>
      </x:c>
      <x:c r="R62" t="str">
        <x:v>8d6</x:v>
      </x:c>
      <x:c r="S62" t="str">
        <x:v>PC</x:v>
      </x:c>
      <x:c r="T62" t="n">
        <x:v>0</x:v>
      </x:c>
      <x:c r="U62" t="n">
        <x:v>0</x:v>
      </x:c>
      <x:c r="V62" t="n">
        <x:v>0</x:v>
      </x:c>
      <x:c r="W62" t="n">
        <x:v>12</x:v>
      </x:c>
      <x:c r="X62" t="str">
        <x:v>VALUE: [[8d6]] PC 12 PC</x:v>
      </x:c>
    </x:row>
    <x:row r="63">
      <x:c r="E63" t="str">
        <x:v>Signature|Aura inspirante</x:v>
      </x:c>
      <x:c r="F63" t="str">
        <x:v>DESCRIPTIF</x:v>
      </x:c>
      <x:c r="G63" t="str"/>
      <x:c r="H63" t="str"/>
      <x:c r="I63" t="str"/>
      <x:c r="J63" t="str"/>
      <x:c r="K63" t="str"/>
      <x:c r="L63" t="n">
        <x:v>0</x:v>
      </x:c>
      <x:c r="M63" t="str"/>
      <x:c r="N63" t="str"/>
      <x:c r="P63" t="str">
        <x:v>0|Artificiel|Peu commune</x:v>
      </x:c>
      <x:c r="Q63" t="n">
        <x:v>60</x:v>
      </x:c>
      <x:c r="R63" t="str">
        <x:v>4d20</x:v>
      </x:c>
      <x:c r="S63" t="str">
        <x:v>PC</x:v>
      </x:c>
      <x:c r="T63" t="n">
        <x:v>0</x:v>
      </x:c>
      <x:c r="U63" t="n">
        <x:v>0</x:v>
      </x:c>
      <x:c r="V63" t="n">
        <x:v>0</x:v>
      </x:c>
      <x:c r="W63" t="n">
        <x:v>18</x:v>
      </x:c>
      <x:c r="X63" t="str">
        <x:v>VALUE: [[4d20]] PC 18 PC</x:v>
      </x:c>
    </x:row>
    <x:row r="64">
      <x:c r="E64" t="str">
        <x:v>Signature|Interception</x:v>
      </x:c>
      <x:c r="F64" t="str">
        <x:v>DESCRIPTIF</x:v>
      </x:c>
      <x:c r="G64" t="str"/>
      <x:c r="H64" t="str"/>
      <x:c r="I64" t="str"/>
      <x:c r="J64" t="str"/>
      <x:c r="K64" t="str"/>
      <x:c r="L64" t="n">
        <x:v>0</x:v>
      </x:c>
      <x:c r="M64" t="str"/>
      <x:c r="N64" t="str"/>
      <x:c r="P64" t="str">
        <x:v>0|Artificiel|Rare</x:v>
      </x:c>
      <x:c r="Q64" t="n">
        <x:v>100</x:v>
      </x:c>
      <x:c r="R64" t="str">
        <x:v>10d12</x:v>
      </x:c>
      <x:c r="S64" t="str">
        <x:v>PC</x:v>
      </x:c>
      <x:c r="T64" t="n">
        <x:v>0</x:v>
      </x:c>
      <x:c r="U64" t="n">
        <x:v>0</x:v>
      </x:c>
      <x:c r="V64" t="n">
        <x:v>0</x:v>
      </x:c>
      <x:c r="W64" t="n">
        <x:v>35</x:v>
      </x:c>
      <x:c r="X64" t="str">
        <x:v>VALUE: [[10d12]] PC 35 PC</x:v>
      </x:c>
    </x:row>
    <x:row r="65">
      <x:c r="E65" t="str">
        <x:v>Signature|Présence divine</x:v>
      </x:c>
      <x:c r="F65" t="str">
        <x:v>DESCRIPTIF</x:v>
      </x:c>
      <x:c r="G65" t="str"/>
      <x:c r="H65" t="str"/>
      <x:c r="I65" t="str"/>
      <x:c r="J65" t="str"/>
      <x:c r="K65" t="str"/>
      <x:c r="L65" t="n">
        <x:v>0</x:v>
      </x:c>
      <x:c r="M65" t="str"/>
      <x:c r="N65" t="str"/>
      <x:c r="P65" t="str">
        <x:v>0|Artificiel|Précieuse</x:v>
      </x:c>
      <x:c r="Q65" t="n">
        <x:v>160</x:v>
      </x:c>
      <x:c r="R65" t="str">
        <x:v>10d20</x:v>
      </x:c>
      <x:c r="S65" t="str">
        <x:v>PC</x:v>
      </x:c>
      <x:c r="T65" t="n">
        <x:v>0</x:v>
      </x:c>
      <x:c r="U65" t="n">
        <x:v>0</x:v>
      </x:c>
      <x:c r="V65" t="n">
        <x:v>0</x:v>
      </x:c>
      <x:c r="W65" t="n">
        <x:v>55</x:v>
      </x:c>
      <x:c r="X65" t="str">
        <x:v>VALUE: [[10d20]] PC 55 PC</x:v>
      </x:c>
    </x:row>
    <x:row r="66">
      <x:c r="E66" t="str">
        <x:v>Signature|Sans biologie</x:v>
      </x:c>
      <x:c r="F66" t="str">
        <x:v>DESCRIPTIF</x:v>
      </x:c>
      <x:c r="G66" t="str"/>
      <x:c r="H66" t="str"/>
      <x:c r="I66" t="str"/>
      <x:c r="J66" t="str"/>
      <x:c r="K66" t="str"/>
      <x:c r="L66" t="n">
        <x:v>0</x:v>
      </x:c>
      <x:c r="M66" t="str"/>
      <x:c r="N66" t="str"/>
      <x:c r="P66" t="str">
        <x:v>0|Artificiel|Exceptionnelle</x:v>
      </x:c>
      <x:c r="Q66" t="n">
        <x:v>280</x:v>
      </x:c>
      <x:c r="R66" t="str">
        <x:v>1d4</x:v>
      </x:c>
      <x:c r="S66" t="str">
        <x:v>PA</x:v>
      </x:c>
      <x:c r="T66" t="n">
        <x:v>0</x:v>
      </x:c>
      <x:c r="U66" t="n">
        <x:v>0</x:v>
      </x:c>
      <x:c r="V66" t="n">
        <x:v>0</x:v>
      </x:c>
      <x:c r="W66" t="n">
        <x:v>30</x:v>
      </x:c>
      <x:c r="X66" t="str">
        <x:v>VALUE: [[1d4]] PA 30 PC</x:v>
      </x:c>
    </x:row>
    <x:row r="67">
      <x:c r="E67" t="str">
        <x:v>Signature|Programmation</x:v>
      </x:c>
      <x:c r="F67" t="str">
        <x:v>DESCRIPTIF</x:v>
      </x:c>
      <x:c r="G67" t="str"/>
      <x:c r="H67" t="str"/>
      <x:c r="I67" t="str"/>
      <x:c r="J67" t="str"/>
      <x:c r="K67" t="str"/>
      <x:c r="L67" t="n">
        <x:v>0</x:v>
      </x:c>
      <x:c r="M67" t="str"/>
      <x:c r="N67" t="str"/>
      <x:c r="P67" t="str">
        <x:v>0|Élémentaire|Commune</x:v>
      </x:c>
      <x:c r="Q67" t="n">
        <x:v>50</x:v>
      </x:c>
      <x:c r="R67" t="str">
        <x:v>10d6</x:v>
      </x:c>
      <x:c r="S67" t="str">
        <x:v>PC</x:v>
      </x:c>
      <x:c r="T67" t="n">
        <x:v>0</x:v>
      </x:c>
      <x:c r="U67" t="n">
        <x:v>0</x:v>
      </x:c>
      <x:c r="V67" t="n">
        <x:v>0</x:v>
      </x:c>
      <x:c r="W67" t="n">
        <x:v>15</x:v>
      </x:c>
      <x:c r="X67" t="str">
        <x:v>VALUE: [[10d6]] PC 15 PC</x:v>
      </x:c>
    </x:row>
    <x:row r="68">
      <x:c r="E68" t="str">
        <x:v>Signature|Inarrêtable</x:v>
      </x:c>
      <x:c r="F68" t="str">
        <x:v>DESCRIPTIF</x:v>
      </x:c>
      <x:c r="G68" t="str"/>
      <x:c r="H68" t="str"/>
      <x:c r="I68" t="str"/>
      <x:c r="J68" t="str"/>
      <x:c r="K68" t="str"/>
      <x:c r="L68" t="n">
        <x:v>0</x:v>
      </x:c>
      <x:c r="M68" t="str"/>
      <x:c r="N68" t="str"/>
      <x:c r="P68" t="str">
        <x:v>0|Élémentaire|Peu commune</x:v>
      </x:c>
      <x:c r="Q68" t="n">
        <x:v>75</x:v>
      </x:c>
      <x:c r="R68" t="str">
        <x:v>8d12</x:v>
      </x:c>
      <x:c r="S68" t="str">
        <x:v>PC</x:v>
      </x:c>
      <x:c r="T68" t="n">
        <x:v>0</x:v>
      </x:c>
      <x:c r="U68" t="n">
        <x:v>0</x:v>
      </x:c>
      <x:c r="V68" t="n">
        <x:v>0</x:v>
      </x:c>
      <x:c r="W68" t="n">
        <x:v>23</x:v>
      </x:c>
      <x:c r="X68" t="str">
        <x:v>VALUE: [[8d12]] PC 23 PC</x:v>
      </x:c>
    </x:row>
    <x:row r="69">
      <x:c r="E69" t="str">
        <x:v>Signature|Noyau magique</x:v>
      </x:c>
      <x:c r="F69" t="str">
        <x:v>ATTACK</x:v>
      </x:c>
      <x:c r="G69" t="str">
        <x:v>Force</x:v>
      </x:c>
      <x:c r="H69" t="str"/>
      <x:c r="I69" t="str"/>
      <x:c r="J69" t="str"/>
      <x:c r="K69" t="str"/>
      <x:c r="L69" t="n">
        <x:v>15</x:v>
      </x:c>
      <x:c r="M69" t="str"/>
      <x:c r="N69" t="str"/>
      <x:c r="P69" t="str">
        <x:v>0|Élémentaire|Rare</x:v>
      </x:c>
      <x:c r="Q69" t="n">
        <x:v>125</x:v>
      </x:c>
      <x:c r="R69" t="str">
        <x:v>8d20</x:v>
      </x:c>
      <x:c r="S69" t="str">
        <x:v>PC</x:v>
      </x:c>
      <x:c r="T69" t="n">
        <x:v>0</x:v>
      </x:c>
      <x:c r="U69" t="n">
        <x:v>0</x:v>
      </x:c>
      <x:c r="V69" t="n">
        <x:v>0</x:v>
      </x:c>
      <x:c r="W69" t="n">
        <x:v>41</x:v>
      </x:c>
      <x:c r="X69" t="str">
        <x:v>VALUE: [[8d20]] PC 41 PC</x:v>
      </x:c>
    </x:row>
    <x:row r="70">
      <x:c r="E70" t="str">
        <x:v>Signature|Ancrage</x:v>
      </x:c>
      <x:c r="F70" t="str">
        <x:v>DESCRIPTIF</x:v>
      </x:c>
      <x:c r="G70" t="str"/>
      <x:c r="H70" t="str"/>
      <x:c r="I70" t="str"/>
      <x:c r="J70" t="str"/>
      <x:c r="K70" t="str"/>
      <x:c r="L70" t="n">
        <x:v>0</x:v>
      </x:c>
      <x:c r="M70" t="str"/>
      <x:c r="N70" t="str"/>
      <x:c r="P70" t="str">
        <x:v>0|Élémentaire|Précieuse</x:v>
      </x:c>
      <x:c r="Q70" t="n">
        <x:v>200</x:v>
      </x:c>
      <x:c r="R70" t="str">
        <x:v>10d20</x:v>
      </x:c>
      <x:c r="S70" t="str">
        <x:v>PC</x:v>
      </x:c>
      <x:c r="T70" t="n">
        <x:v>0</x:v>
      </x:c>
      <x:c r="U70" t="n">
        <x:v>0</x:v>
      </x:c>
      <x:c r="V70" t="n">
        <x:v>0</x:v>
      </x:c>
      <x:c r="W70" t="n">
        <x:v>95</x:v>
      </x:c>
      <x:c r="X70" t="str">
        <x:v>VALUE: [[10d20]] PC 95 PC</x:v>
      </x:c>
    </x:row>
    <x:row r="71">
      <x:c r="E71" t="str">
        <x:v>Signature|Télékinésie</x:v>
      </x:c>
      <x:c r="F71" t="str">
        <x:v>MANOEUVRE</x:v>
      </x:c>
      <x:c r="G71" t="str"/>
      <x:c r="H71" t="str"/>
      <x:c r="I71" t="str"/>
      <x:c r="J71" t="str"/>
      <x:c r="K71" t="str"/>
      <x:c r="L71" t="n">
        <x:v>0</x:v>
      </x:c>
      <x:c r="M71" t="str"/>
      <x:c r="N71" t="str">
        <x:v>repousser</x:v>
      </x:c>
      <x:c r="P71" t="str">
        <x:v>0|Élémentaire|Exceptionnelle</x:v>
      </x:c>
      <x:c r="Q71" t="n">
        <x:v>350</x:v>
      </x:c>
      <x:c r="R71" t="str">
        <x:v>1d4</x:v>
      </x:c>
      <x:c r="S71" t="str">
        <x:v>PA</x:v>
      </x:c>
      <x:c r="T71" t="n">
        <x:v>0</x:v>
      </x:c>
      <x:c r="U71" t="n">
        <x:v>0</x:v>
      </x:c>
      <x:c r="V71" t="n">
        <x:v>1</x:v>
      </x:c>
      <x:c r="W71" t="n">
        <x:v>0</x:v>
      </x:c>
      <x:c r="X71" t="str">
        <x:v>VALUE: [[1d4]] PA 1 PA</x:v>
      </x:c>
    </x:row>
    <x:row r="72">
      <x:c r="E72" t="str">
        <x:v>Signature|Possession</x:v>
      </x:c>
      <x:c r="F72" t="str">
        <x:v>DESCRIPTIF</x:v>
      </x:c>
      <x:c r="G72" t="str"/>
      <x:c r="H72" t="str"/>
      <x:c r="I72" t="str"/>
      <x:c r="J72" t="str"/>
      <x:c r="K72" t="str"/>
      <x:c r="L72" t="n">
        <x:v>0</x:v>
      </x:c>
      <x:c r="M72" t="str"/>
      <x:c r="N72" t="str"/>
      <x:c r="P72" t="str">
        <x:v>0|Esprit|Commune</x:v>
      </x:c>
      <x:c r="Q72" t="n">
        <x:v>50</x:v>
      </x:c>
      <x:c r="R72" t="str">
        <x:v>10d6</x:v>
      </x:c>
      <x:c r="S72" t="str">
        <x:v>PC</x:v>
      </x:c>
      <x:c r="T72" t="n">
        <x:v>0</x:v>
      </x:c>
      <x:c r="U72" t="n">
        <x:v>0</x:v>
      </x:c>
      <x:c r="V72" t="n">
        <x:v>0</x:v>
      </x:c>
      <x:c r="W72" t="n">
        <x:v>15</x:v>
      </x:c>
      <x:c r="X72" t="str">
        <x:v>VALUE: [[10d6]] PC 15 PC</x:v>
      </x:c>
    </x:row>
    <x:row r="73">
      <x:c r="E73" t="str">
        <x:v>Signature|Retour surnaturel</x:v>
      </x:c>
      <x:c r="F73" t="str">
        <x:v>DESCRIPTIF</x:v>
      </x:c>
      <x:c r="G73" t="str"/>
      <x:c r="H73" t="str"/>
      <x:c r="I73" t="str"/>
      <x:c r="J73" t="str"/>
      <x:c r="K73" t="str"/>
      <x:c r="L73" t="n">
        <x:v>0</x:v>
      </x:c>
      <x:c r="M73" t="str"/>
      <x:c r="N73" t="str"/>
      <x:c r="P73" t="str">
        <x:v>0|Esprit|Peu commune</x:v>
      </x:c>
      <x:c r="Q73" t="n">
        <x:v>75</x:v>
      </x:c>
      <x:c r="R73" t="str">
        <x:v>8d12</x:v>
      </x:c>
      <x:c r="S73" t="str">
        <x:v>PC</x:v>
      </x:c>
      <x:c r="T73" t="n">
        <x:v>0</x:v>
      </x:c>
      <x:c r="U73" t="n">
        <x:v>0</x:v>
      </x:c>
      <x:c r="V73" t="n">
        <x:v>0</x:v>
      </x:c>
      <x:c r="W73" t="n">
        <x:v>23</x:v>
      </x:c>
      <x:c r="X73" t="str">
        <x:v>VALUE: [[8d12]] PC 23 PC</x:v>
      </x:c>
    </x:row>
    <x:row r="74">
      <x:c r="E74" t="str">
        <x:v>Signature|Souffle mineur</x:v>
      </x:c>
      <x:c r="F74" t="str">
        <x:v>AOE_SAVE</x:v>
      </x:c>
      <x:c r="G74" t="str">
        <x:v>ELEMENT</x:v>
      </x:c>
      <x:c r="H74" t="str"/>
      <x:c r="I74" t="str">
        <x:v>DEX</x:v>
      </x:c>
      <x:c r="J74" t="str"/>
      <x:c r="K74" t="str">
        <x:v>CONE</x:v>
      </x:c>
      <x:c r="L74" t="n">
        <x:v>10</x:v>
      </x:c>
      <x:c r="M74" t="str"/>
      <x:c r="N74" t="str"/>
      <x:c r="P74" t="str">
        <x:v>0|Esprit|Rare</x:v>
      </x:c>
      <x:c r="Q74" t="n">
        <x:v>125</x:v>
      </x:c>
      <x:c r="R74" t="str">
        <x:v>8d20</x:v>
      </x:c>
      <x:c r="S74" t="str">
        <x:v>PC</x:v>
      </x:c>
      <x:c r="T74" t="n">
        <x:v>0</x:v>
      </x:c>
      <x:c r="U74" t="n">
        <x:v>0</x:v>
      </x:c>
      <x:c r="V74" t="n">
        <x:v>0</x:v>
      </x:c>
      <x:c r="W74" t="n">
        <x:v>41</x:v>
      </x:c>
      <x:c r="X74" t="str">
        <x:v>VALUE: [[8d20]] PC 41 PC</x:v>
      </x:c>
    </x:row>
    <x:row r="75">
      <x:c r="E75" t="str">
        <x:v>Signature|Souffle élémentaire</x:v>
      </x:c>
      <x:c r="F75" t="str">
        <x:v>AOE_SAVE</x:v>
      </x:c>
      <x:c r="G75" t="str">
        <x:v>ELEMENT</x:v>
      </x:c>
      <x:c r="H75" t="str"/>
      <x:c r="I75" t="str">
        <x:v>DEX</x:v>
      </x:c>
      <x:c r="J75" t="str"/>
      <x:c r="K75" t="str">
        <x:v>CONE</x:v>
      </x:c>
      <x:c r="L75" t="n">
        <x:v>15</x:v>
      </x:c>
      <x:c r="M75" t="str"/>
      <x:c r="N75" t="str"/>
      <x:c r="P75" t="str">
        <x:v>0|Esprit|Précieuse</x:v>
      </x:c>
      <x:c r="Q75" t="n">
        <x:v>200</x:v>
      </x:c>
      <x:c r="R75" t="str">
        <x:v>10d20</x:v>
      </x:c>
      <x:c r="S75" t="str">
        <x:v>PC</x:v>
      </x:c>
      <x:c r="T75" t="n">
        <x:v>0</x:v>
      </x:c>
      <x:c r="U75" t="n">
        <x:v>0</x:v>
      </x:c>
      <x:c r="V75" t="n">
        <x:v>0</x:v>
      </x:c>
      <x:c r="W75" t="n">
        <x:v>95</x:v>
      </x:c>
      <x:c r="X75" t="str">
        <x:v>VALUE: [[10d20]] PC 95 PC</x:v>
      </x:c>
    </x:row>
    <x:row r="76">
      <x:c r="E76" t="str">
        <x:v>Signature|Écailles métalliques</x:v>
      </x:c>
      <x:c r="F76" t="str">
        <x:v>STAT</x:v>
      </x:c>
      <x:c r="G76" t="str"/>
      <x:c r="H76" t="str"/>
      <x:c r="I76" t="str"/>
      <x:c r="J76" t="str"/>
      <x:c r="K76" t="str"/>
      <x:c r="L76" t="n">
        <x:v>0</x:v>
      </x:c>
      <x:c r="M76" t="str"/>
      <x:c r="N76" t="str"/>
      <x:c r="P76" t="str">
        <x:v>0|Esprit|Exceptionnelle</x:v>
      </x:c>
      <x:c r="Q76" t="n">
        <x:v>350</x:v>
      </x:c>
      <x:c r="R76" t="str">
        <x:v>1d4</x:v>
      </x:c>
      <x:c r="S76" t="str">
        <x:v>PA</x:v>
      </x:c>
      <x:c r="T76" t="n">
        <x:v>0</x:v>
      </x:c>
      <x:c r="U76" t="n">
        <x:v>0</x:v>
      </x:c>
      <x:c r="V76" t="n">
        <x:v>1</x:v>
      </x:c>
      <x:c r="W76" t="n">
        <x:v>0</x:v>
      </x:c>
      <x:c r="X76" t="str">
        <x:v>VALUE: [[1d4]] PA 1 PA</x:v>
      </x:c>
    </x:row>
    <x:row r="77">
      <x:c r="E77" t="str">
        <x:v>Signature|Souffle nécrotique</x:v>
      </x:c>
      <x:c r="F77" t="str">
        <x:v>AOE_SAVE</x:v>
      </x:c>
      <x:c r="G77" t="str">
        <x:v>Ombre</x:v>
      </x:c>
      <x:c r="H77" t="str"/>
      <x:c r="I77" t="str">
        <x:v>CON</x:v>
      </x:c>
      <x:c r="J77" t="str"/>
      <x:c r="K77" t="str">
        <x:v>CONE</x:v>
      </x:c>
      <x:c r="L77" t="n">
        <x:v>15</x:v>
      </x:c>
      <x:c r="M77" t="str"/>
      <x:c r="N77" t="str"/>
      <x:c r="P77" t="str">
        <x:v>0|Céleste|Commune</x:v>
      </x:c>
      <x:c r="Q77" t="n">
        <x:v>60</x:v>
      </x:c>
      <x:c r="R77" t="str">
        <x:v>4d20</x:v>
      </x:c>
      <x:c r="S77" t="str">
        <x:v>PC</x:v>
      </x:c>
      <x:c r="T77" t="n">
        <x:v>0</x:v>
      </x:c>
      <x:c r="U77" t="n">
        <x:v>0</x:v>
      </x:c>
      <x:c r="V77" t="n">
        <x:v>0</x:v>
      </x:c>
      <x:c r="W77" t="n">
        <x:v>18</x:v>
      </x:c>
      <x:c r="X77" t="str">
        <x:v>VALUE: [[4d20]] PC 18 PC</x:v>
      </x:c>
    </x:row>
    <x:row r="78">
      <x:c r="E78" t="str">
        <x:v>Signature|Souffle primordial</x:v>
      </x:c>
      <x:c r="F78" t="str">
        <x:v>AOE_SAVE</x:v>
      </x:c>
      <x:c r="G78" t="str">
        <x:v>ELEMENT</x:v>
      </x:c>
      <x:c r="H78" t="str"/>
      <x:c r="I78" t="str">
        <x:v>DEX</x:v>
      </x:c>
      <x:c r="J78" t="str"/>
      <x:c r="K78" t="str">
        <x:v>CONE</x:v>
      </x:c>
      <x:c r="L78" t="n">
        <x:v>20</x:v>
      </x:c>
      <x:c r="M78" t="str"/>
      <x:c r="N78" t="str"/>
      <x:c r="P78" t="str">
        <x:v>0|Céleste|Peu commune</x:v>
      </x:c>
      <x:c r="Q78" t="n">
        <x:v>90</x:v>
      </x:c>
      <x:c r="R78" t="str">
        <x:v>6d20</x:v>
      </x:c>
      <x:c r="S78" t="str">
        <x:v>PC</x:v>
      </x:c>
      <x:c r="T78" t="n">
        <x:v>0</x:v>
      </x:c>
      <x:c r="U78" t="n">
        <x:v>0</x:v>
      </x:c>
      <x:c r="V78" t="n">
        <x:v>0</x:v>
      </x:c>
      <x:c r="W78" t="n">
        <x:v>27</x:v>
      </x:c>
      <x:c r="X78" t="str">
        <x:v>VALUE: [[6d20]] PC 27 PC</x:v>
      </x:c>
    </x:row>
    <x:row r="79">
      <x:c r="E79" t="str">
        <x:v>Capacité|Attaque en meute</x:v>
      </x:c>
      <x:c r="F79" t="str">
        <x:v>PREDICAT</x:v>
      </x:c>
      <x:c r="G79" t="str"/>
      <x:c r="H79" t="str"/>
      <x:c r="I79" t="str"/>
      <x:c r="J79" t="str"/>
      <x:c r="K79" t="str"/>
      <x:c r="L79" t="n">
        <x:v>0</x:v>
      </x:c>
      <x:c r="M79" t="str">
        <x:v>attaqueEnMeute:1</x:v>
      </x:c>
      <x:c r="N79" t="str"/>
      <x:c r="P79" t="str">
        <x:v>0|Céleste|Rare</x:v>
      </x:c>
      <x:c r="Q79" t="n">
        <x:v>150</x:v>
      </x:c>
      <x:c r="R79" t="str">
        <x:v>10d20</x:v>
      </x:c>
      <x:c r="S79" t="str">
        <x:v>PC</x:v>
      </x:c>
      <x:c r="T79" t="n">
        <x:v>0</x:v>
      </x:c>
      <x:c r="U79" t="n">
        <x:v>0</x:v>
      </x:c>
      <x:c r="V79" t="n">
        <x:v>0</x:v>
      </x:c>
      <x:c r="W79" t="n">
        <x:v>45</x:v>
      </x:c>
      <x:c r="X79" t="str">
        <x:v>VALUE: [[10d20]] PC 45 PC</x:v>
      </x:c>
    </x:row>
    <x:row r="80">
      <x:c r="E80" t="str">
        <x:v>Capacité|Charge</x:v>
      </x:c>
      <x:c r="F80" t="str">
        <x:v>ATTACK</x:v>
      </x:c>
      <x:c r="G80" t="str">
        <x:v>ATTAQUE1</x:v>
      </x:c>
      <x:c r="H80" t="str"/>
      <x:c r="I80" t="str"/>
      <x:c r="J80" t="str"/>
      <x:c r="K80" t="str"/>
      <x:c r="L80" t="n">
        <x:v>0</x:v>
      </x:c>
      <x:c r="M80" t="str"/>
      <x:c r="N80" t="str"/>
      <x:c r="P80" t="str">
        <x:v>0|Céleste|Précieuse</x:v>
      </x:c>
      <x:c r="Q80" t="n">
        <x:v>240</x:v>
      </x:c>
      <x:c r="R80" t="str">
        <x:v>10d20</x:v>
      </x:c>
      <x:c r="S80" t="str">
        <x:v>PC</x:v>
      </x:c>
      <x:c r="T80" t="n">
        <x:v>0</x:v>
      </x:c>
      <x:c r="U80" t="n">
        <x:v>0</x:v>
      </x:c>
      <x:c r="V80" t="n">
        <x:v>1</x:v>
      </x:c>
      <x:c r="W80" t="n">
        <x:v>35</x:v>
      </x:c>
      <x:c r="X80" t="str">
        <x:v>VALUE: [[10d20]] PC 1 PA 35 PC</x:v>
      </x:c>
    </x:row>
    <x:row r="81">
      <x:c r="E81" t="str">
        <x:v>Capacité|Piqué</x:v>
      </x:c>
      <x:c r="F81" t="str">
        <x:v>ATTACK</x:v>
      </x:c>
      <x:c r="G81" t="str">
        <x:v>ATTAQUE1</x:v>
      </x:c>
      <x:c r="H81" t="str"/>
      <x:c r="I81" t="str"/>
      <x:c r="J81" t="str"/>
      <x:c r="K81" t="str"/>
      <x:c r="L81" t="n">
        <x:v>0</x:v>
      </x:c>
      <x:c r="M81" t="str"/>
      <x:c r="N81" t="str"/>
      <x:c r="P81" t="str">
        <x:v>0|Céleste|Exceptionnelle</x:v>
      </x:c>
      <x:c r="Q81" t="n">
        <x:v>420</x:v>
      </x:c>
      <x:c r="R81" t="str">
        <x:v>1d4</x:v>
      </x:c>
      <x:c r="S81" t="str">
        <x:v>PA</x:v>
      </x:c>
      <x:c r="T81" t="n">
        <x:v>0</x:v>
      </x:c>
      <x:c r="U81" t="n">
        <x:v>0</x:v>
      </x:c>
      <x:c r="V81" t="n">
        <x:v>1</x:v>
      </x:c>
      <x:c r="W81" t="n">
        <x:v>70</x:v>
      </x:c>
      <x:c r="X81" t="str">
        <x:v>VALUE: [[1d4]] PA 1 PA 70 PC</x:v>
      </x:c>
    </x:row>
    <x:row r="82">
      <x:c r="E82" t="str">
        <x:v>Capacité|Frappe lourde</x:v>
      </x:c>
      <x:c r="F82" t="str">
        <x:v>ATTACK</x:v>
      </x:c>
      <x:c r="G82" t="str">
        <x:v>ATTAQUE1</x:v>
      </x:c>
      <x:c r="H82" t="str"/>
      <x:c r="I82" t="str"/>
      <x:c r="J82" t="str"/>
      <x:c r="K82" t="str"/>
      <x:c r="L82" t="n">
        <x:v>0</x:v>
      </x:c>
      <x:c r="M82" t="str"/>
      <x:c r="N82" t="str"/>
      <x:c r="P82" t="str">
        <x:v>0|Dragon|Commune</x:v>
      </x:c>
      <x:c r="Q82" t="n">
        <x:v>100</x:v>
      </x:c>
      <x:c r="R82" t="str">
        <x:v>10d12</x:v>
      </x:c>
      <x:c r="S82" t="str">
        <x:v>PC</x:v>
      </x:c>
      <x:c r="T82" t="n">
        <x:v>0</x:v>
      </x:c>
      <x:c r="U82" t="n">
        <x:v>0</x:v>
      </x:c>
      <x:c r="V82" t="n">
        <x:v>0</x:v>
      </x:c>
      <x:c r="W82" t="n">
        <x:v>35</x:v>
      </x:c>
      <x:c r="X82" t="str">
        <x:v>VALUE: [[10d12]] PC 35 PC</x:v>
      </x:c>
    </x:row>
    <x:row r="83">
      <x:c r="E83" t="str">
        <x:v>Capacité|Frappe précise</x:v>
      </x:c>
      <x:c r="F83" t="str">
        <x:v>ATTACK</x:v>
      </x:c>
      <x:c r="G83" t="str">
        <x:v>ATTAQUE1</x:v>
      </x:c>
      <x:c r="H83" t="str"/>
      <x:c r="I83" t="str"/>
      <x:c r="J83" t="str"/>
      <x:c r="K83" t="str"/>
      <x:c r="L83" t="n">
        <x:v>0</x:v>
      </x:c>
      <x:c r="M83" t="str"/>
      <x:c r="N83" t="str"/>
      <x:c r="P83" t="str">
        <x:v>0|Dragon|Peu commune</x:v>
      </x:c>
      <x:c r="Q83" t="n">
        <x:v>150</x:v>
      </x:c>
      <x:c r="R83" t="str">
        <x:v>10d20</x:v>
      </x:c>
      <x:c r="S83" t="str">
        <x:v>PC</x:v>
      </x:c>
      <x:c r="T83" t="n">
        <x:v>0</x:v>
      </x:c>
      <x:c r="U83" t="n">
        <x:v>0</x:v>
      </x:c>
      <x:c r="V83" t="n">
        <x:v>0</x:v>
      </x:c>
      <x:c r="W83" t="n">
        <x:v>45</x:v>
      </x:c>
      <x:c r="X83" t="str">
        <x:v>VALUE: [[10d20]] PC 45 PC</x:v>
      </x:c>
    </x:row>
    <x:row r="84">
      <x:c r="E84" t="str">
        <x:v>Capacité|Balayage</x:v>
      </x:c>
      <x:c r="F84" t="str">
        <x:v>ATTACK</x:v>
      </x:c>
      <x:c r="G84" t="str">
        <x:v>ATTAQUE1</x:v>
      </x:c>
      <x:c r="H84" t="str"/>
      <x:c r="I84" t="str"/>
      <x:c r="J84" t="str"/>
      <x:c r="K84" t="str"/>
      <x:c r="L84" t="n">
        <x:v>0</x:v>
      </x:c>
      <x:c r="M84" t="str"/>
      <x:c r="N84" t="str"/>
      <x:c r="P84" t="str">
        <x:v>0|Dragon|Rare</x:v>
      </x:c>
      <x:c r="Q84" t="n">
        <x:v>250</x:v>
      </x:c>
      <x:c r="R84" t="str">
        <x:v>10d20</x:v>
      </x:c>
      <x:c r="S84" t="str">
        <x:v>PC</x:v>
      </x:c>
      <x:c r="T84" t="n">
        <x:v>0</x:v>
      </x:c>
      <x:c r="U84" t="n">
        <x:v>0</x:v>
      </x:c>
      <x:c r="V84" t="n">
        <x:v>1</x:v>
      </x:c>
      <x:c r="W84" t="n">
        <x:v>45</x:v>
      </x:c>
      <x:c r="X84" t="str">
        <x:v>VALUE: [[10d20]] PC 1 PA 45 PC</x:v>
      </x:c>
    </x:row>
    <x:row r="85">
      <x:c r="E85" t="str">
        <x:v>Capacité|Frappe dévastatrice</x:v>
      </x:c>
      <x:c r="F85" t="str">
        <x:v>ATTACK</x:v>
      </x:c>
      <x:c r="G85" t="str">
        <x:v>ATTAQUE1</x:v>
      </x:c>
      <x:c r="H85" t="str"/>
      <x:c r="I85" t="str"/>
      <x:c r="J85" t="str"/>
      <x:c r="K85" t="str"/>
      <x:c r="L85" t="n">
        <x:v>0</x:v>
      </x:c>
      <x:c r="M85" t="str"/>
      <x:c r="N85" t="str"/>
      <x:c r="P85" t="str">
        <x:v>0|Dragon|Précieuse</x:v>
      </x:c>
      <x:c r="Q85" t="n">
        <x:v>400</x:v>
      </x:c>
      <x:c r="R85" t="str">
        <x:v>1d4</x:v>
      </x:c>
      <x:c r="S85" t="str">
        <x:v>PA</x:v>
      </x:c>
      <x:c r="T85" t="n">
        <x:v>0</x:v>
      </x:c>
      <x:c r="U85" t="n">
        <x:v>0</x:v>
      </x:c>
      <x:c r="V85" t="n">
        <x:v>1</x:v>
      </x:c>
      <x:c r="W85" t="n">
        <x:v>50</x:v>
      </x:c>
      <x:c r="X85" t="str">
        <x:v>VALUE: [[1d4]] PA 1 PA 50 PC</x:v>
      </x:c>
    </x:row>
    <x:row r="86">
      <x:c r="E86" t="str">
        <x:v>Capacité|Réaction offensive</x:v>
      </x:c>
      <x:c r="F86" t="str">
        <x:v>ATTACK</x:v>
      </x:c>
      <x:c r="G86" t="str">
        <x:v>ATTAQUE1</x:v>
      </x:c>
      <x:c r="H86" t="str"/>
      <x:c r="I86" t="str"/>
      <x:c r="J86" t="str"/>
      <x:c r="K86" t="str"/>
      <x:c r="L86" t="n">
        <x:v>0</x:v>
      </x:c>
      <x:c r="M86" t="str"/>
      <x:c r="N86" t="str"/>
      <x:c r="P86" t="str">
        <x:v>0|Dragon|Exceptionnelle</x:v>
      </x:c>
      <x:c r="Q86" t="n">
        <x:v>700</x:v>
      </x:c>
      <x:c r="R86" t="str">
        <x:v>2d4</x:v>
      </x:c>
      <x:c r="S86" t="str">
        <x:v>PA</x:v>
      </x:c>
      <x:c r="T86" t="n">
        <x:v>0</x:v>
      </x:c>
      <x:c r="U86" t="n">
        <x:v>0</x:v>
      </x:c>
      <x:c r="V86" t="n">
        <x:v>2</x:v>
      </x:c>
      <x:c r="W86" t="n">
        <x:v>0</x:v>
      </x:c>
      <x:c r="X86" t="str">
        <x:v>VALUE: [[2d4]] PA 2 PA</x:v>
      </x:c>
    </x:row>
    <x:row r="87">
      <x:c r="E87" t="str">
        <x:v>Capacité|Venin</x:v>
      </x:c>
      <x:c r="F87" t="str">
        <x:v>ATTACK</x:v>
      </x:c>
      <x:c r="G87" t="str">
        <x:v>Toxique</x:v>
      </x:c>
      <x:c r="H87" t="str"/>
      <x:c r="I87" t="str"/>
      <x:c r="J87" t="str"/>
      <x:c r="K87" t="str"/>
      <x:c r="L87" t="n">
        <x:v>0</x:v>
      </x:c>
      <x:c r="M87" t="str"/>
      <x:c r="N87" t="str"/>
      <x:c r="P87" t="str">
        <x:v>1|Vermine|Commune</x:v>
      </x:c>
      <x:c r="Q87" t="n">
        <x:v>10</x:v>
      </x:c>
      <x:c r="R87" t="str">
        <x:v>2d6</x:v>
      </x:c>
      <x:c r="S87" t="str">
        <x:v>PC</x:v>
      </x:c>
      <x:c r="T87" t="n">
        <x:v>0</x:v>
      </x:c>
      <x:c r="U87" t="n">
        <x:v>0</x:v>
      </x:c>
      <x:c r="V87" t="n">
        <x:v>0</x:v>
      </x:c>
      <x:c r="W87" t="n">
        <x:v>3</x:v>
      </x:c>
      <x:c r="X87" t="str">
        <x:v>VALUE: [[2d6]] PC 3 PC</x:v>
      </x:c>
    </x:row>
    <x:row r="88">
      <x:c r="E88" t="str">
        <x:v>Capacité|Drain mineur</x:v>
      </x:c>
      <x:c r="F88" t="str">
        <x:v>ATTACK</x:v>
      </x:c>
      <x:c r="G88" t="str">
        <x:v>Drain</x:v>
      </x:c>
      <x:c r="H88" t="str"/>
      <x:c r="I88" t="str"/>
      <x:c r="J88" t="str"/>
      <x:c r="K88" t="str"/>
      <x:c r="L88" t="n">
        <x:v>0</x:v>
      </x:c>
      <x:c r="M88" t="str"/>
      <x:c r="N88" t="str"/>
      <x:c r="P88" t="str">
        <x:v>1|Vermine|Peu commune</x:v>
      </x:c>
      <x:c r="Q88" t="n">
        <x:v>16</x:v>
      </x:c>
      <x:c r="R88" t="str">
        <x:v>2d10</x:v>
      </x:c>
      <x:c r="S88" t="str">
        <x:v>PC</x:v>
      </x:c>
      <x:c r="T88" t="n">
        <x:v>0</x:v>
      </x:c>
      <x:c r="U88" t="n">
        <x:v>0</x:v>
      </x:c>
      <x:c r="V88" t="n">
        <x:v>0</x:v>
      </x:c>
      <x:c r="W88" t="n">
        <x:v>5</x:v>
      </x:c>
      <x:c r="X88" t="str">
        <x:v>VALUE: [[2d10]] PC 5 PC</x:v>
      </x:c>
    </x:row>
    <x:row r="89">
      <x:c r="E89" t="str">
        <x:v>Capacité|Renversement</x:v>
      </x:c>
      <x:c r="F89" t="str">
        <x:v>MANOEUVRE</x:v>
      </x:c>
      <x:c r="G89" t="str"/>
      <x:c r="H89" t="str"/>
      <x:c r="I89" t="str"/>
      <x:c r="J89" t="str"/>
      <x:c r="K89" t="str"/>
      <x:c r="L89" t="n">
        <x:v>0</x:v>
      </x:c>
      <x:c r="M89" t="str"/>
      <x:c r="N89" t="str">
        <x:v>renverser</x:v>
      </x:c>
      <x:c r="P89" t="str">
        <x:v>1|Vermine|Rare</x:v>
      </x:c>
      <x:c r="Q89" t="n">
        <x:v>26</x:v>
      </x:c>
      <x:c r="R89" t="str">
        <x:v>4d8</x:v>
      </x:c>
      <x:c r="S89" t="str">
        <x:v>PC</x:v>
      </x:c>
      <x:c r="T89" t="n">
        <x:v>0</x:v>
      </x:c>
      <x:c r="U89" t="n">
        <x:v>0</x:v>
      </x:c>
      <x:c r="V89" t="n">
        <x:v>0</x:v>
      </x:c>
      <x:c r="W89" t="n">
        <x:v>8</x:v>
      </x:c>
      <x:c r="X89" t="str">
        <x:v>VALUE: [[4d8]] PC 8 PC</x:v>
      </x:c>
    </x:row>
    <x:row r="90">
      <x:c r="E90" t="str">
        <x:v>Capacité|Agrippement</x:v>
      </x:c>
      <x:c r="F90" t="str">
        <x:v>CONTROL_OPPOSE</x:v>
      </x:c>
      <x:c r="G90" t="str"/>
      <x:c r="H90" t="str">
        <x:v>agrippe</x:v>
      </x:c>
      <x:c r="I90" t="str">
        <x:v>FOR</x:v>
      </x:c>
      <x:c r="J90" t="str">
        <x:v>FOR</x:v>
      </x:c>
      <x:c r="K90" t="str"/>
      <x:c r="L90" t="n">
        <x:v>0</x:v>
      </x:c>
      <x:c r="M90" t="str"/>
      <x:c r="N90" t="str"/>
      <x:c r="P90" t="str">
        <x:v>1|Vermine|Précieuse</x:v>
      </x:c>
      <x:c r="Q90" t="n">
        <x:v>42</x:v>
      </x:c>
      <x:c r="R90" t="str">
        <x:v>8d6</x:v>
      </x:c>
      <x:c r="S90" t="str">
        <x:v>PC</x:v>
      </x:c>
      <x:c r="T90" t="n">
        <x:v>0</x:v>
      </x:c>
      <x:c r="U90" t="n">
        <x:v>0</x:v>
      </x:c>
      <x:c r="V90" t="n">
        <x:v>0</x:v>
      </x:c>
      <x:c r="W90" t="n">
        <x:v>14</x:v>
      </x:c>
      <x:c r="X90" t="str">
        <x:v>VALUE: [[8d6]] PC 14 PC</x:v>
      </x:c>
    </x:row>
    <x:row r="91">
      <x:c r="E91" t="str">
        <x:v>Capacité|Entrave</x:v>
      </x:c>
      <x:c r="F91" t="str">
        <x:v>CONTROL_OPPOSE</x:v>
      </x:c>
      <x:c r="G91" t="str"/>
      <x:c r="H91" t="str">
        <x:v>entrave</x:v>
      </x:c>
      <x:c r="I91" t="str">
        <x:v>DEX</x:v>
      </x:c>
      <x:c r="J91" t="str">
        <x:v>DEX</x:v>
      </x:c>
      <x:c r="K91" t="str"/>
      <x:c r="L91" t="n">
        <x:v>0</x:v>
      </x:c>
      <x:c r="M91" t="str"/>
      <x:c r="N91" t="str"/>
      <x:c r="P91" t="str">
        <x:v>1|Vermine|Exceptionnelle</x:v>
      </x:c>
      <x:c r="Q91" t="n">
        <x:v>74</x:v>
      </x:c>
      <x:c r="R91" t="str">
        <x:v>8d12</x:v>
      </x:c>
      <x:c r="S91" t="str">
        <x:v>PC</x:v>
      </x:c>
      <x:c r="T91" t="n">
        <x:v>0</x:v>
      </x:c>
      <x:c r="U91" t="n">
        <x:v>0</x:v>
      </x:c>
      <x:c r="V91" t="n">
        <x:v>0</x:v>
      </x:c>
      <x:c r="W91" t="n">
        <x:v>22</x:v>
      </x:c>
      <x:c r="X91" t="str">
        <x:v>VALUE: [[8d12]] PC 22 PC</x:v>
      </x:c>
    </x:row>
    <x:row r="92">
      <x:c r="E92" t="str">
        <x:v>Capacité|Toile</x:v>
      </x:c>
      <x:c r="F92" t="str">
        <x:v>CONTROL_OPPOSE</x:v>
      </x:c>
      <x:c r="G92" t="str"/>
      <x:c r="H92" t="str">
        <x:v>entrave</x:v>
      </x:c>
      <x:c r="I92" t="str">
        <x:v>DEX</x:v>
      </x:c>
      <x:c r="J92" t="str">
        <x:v>DEX</x:v>
      </x:c>
      <x:c r="K92" t="str"/>
      <x:c r="L92" t="n">
        <x:v>10</x:v>
      </x:c>
      <x:c r="M92" t="str"/>
      <x:c r="N92" t="str"/>
      <x:c r="P92" t="str">
        <x:v>1|Bête|Commune</x:v>
      </x:c>
      <x:c r="Q92" t="n">
        <x:v>18</x:v>
      </x:c>
      <x:c r="R92" t="str">
        <x:v>2d12</x:v>
      </x:c>
      <x:c r="S92" t="str">
        <x:v>PC</x:v>
      </x:c>
      <x:c r="T92" t="n">
        <x:v>0</x:v>
      </x:c>
      <x:c r="U92" t="n">
        <x:v>0</x:v>
      </x:c>
      <x:c r="V92" t="n">
        <x:v>0</x:v>
      </x:c>
      <x:c r="W92" t="n">
        <x:v>5</x:v>
      </x:c>
      <x:c r="X92" t="str">
        <x:v>VALUE: [[2d12]] PC 5 PC</x:v>
      </x:c>
    </x:row>
    <x:row r="93">
      <x:c r="E93" t="str">
        <x:v>Capacité|Projection</x:v>
      </x:c>
      <x:c r="F93" t="str">
        <x:v>MANOEUVRE</x:v>
      </x:c>
      <x:c r="G93" t="str"/>
      <x:c r="H93" t="str"/>
      <x:c r="I93" t="str"/>
      <x:c r="J93" t="str"/>
      <x:c r="K93" t="str"/>
      <x:c r="L93" t="n">
        <x:v>0</x:v>
      </x:c>
      <x:c r="M93" t="str"/>
      <x:c r="N93" t="str">
        <x:v>repousser</x:v>
      </x:c>
      <x:c r="P93" t="str">
        <x:v>1|Bête|Peu commune</x:v>
      </x:c>
      <x:c r="Q93" t="n">
        <x:v>27</x:v>
      </x:c>
      <x:c r="R93" t="str">
        <x:v>4d8</x:v>
      </x:c>
      <x:c r="S93" t="str">
        <x:v>PC</x:v>
      </x:c>
      <x:c r="T93" t="n">
        <x:v>0</x:v>
      </x:c>
      <x:c r="U93" t="n">
        <x:v>0</x:v>
      </x:c>
      <x:c r="V93" t="n">
        <x:v>0</x:v>
      </x:c>
      <x:c r="W93" t="n">
        <x:v>9</x:v>
      </x:c>
      <x:c r="X93" t="str">
        <x:v>VALUE: [[4d8]] PC 9 PC</x:v>
      </x:c>
    </x:row>
    <x:row r="94">
      <x:c r="E94" t="str">
        <x:v>Capacité|Peur mineure</x:v>
      </x:c>
      <x:c r="F94" t="str">
        <x:v>CONTROL_SAVE</x:v>
      </x:c>
      <x:c r="G94" t="str"/>
      <x:c r="H94" t="str">
        <x:v>effraye</x:v>
      </x:c>
      <x:c r="I94" t="str">
        <x:v>SAG</x:v>
      </x:c>
      <x:c r="J94" t="str"/>
      <x:c r="K94" t="str"/>
      <x:c r="L94" t="n">
        <x:v>15</x:v>
      </x:c>
      <x:c r="M94" t="str"/>
      <x:c r="N94" t="str"/>
      <x:c r="P94" t="str">
        <x:v>1|Bête|Rare</x:v>
      </x:c>
      <x:c r="Q94" t="n">
        <x:v>45</x:v>
      </x:c>
      <x:c r="R94" t="str">
        <x:v>6d10</x:v>
      </x:c>
      <x:c r="S94" t="str">
        <x:v>PC</x:v>
      </x:c>
      <x:c r="T94" t="n">
        <x:v>0</x:v>
      </x:c>
      <x:c r="U94" t="n">
        <x:v>0</x:v>
      </x:c>
      <x:c r="V94" t="n">
        <x:v>0</x:v>
      </x:c>
      <x:c r="W94" t="n">
        <x:v>12</x:v>
      </x:c>
      <x:c r="X94" t="str">
        <x:v>VALUE: [[6d10]] PC 12 PC</x:v>
      </x:c>
    </x:row>
    <x:row r="95">
      <x:c r="E95" t="str">
        <x:v>Capacité|Bond</x:v>
      </x:c>
      <x:c r="F95" t="str">
        <x:v>DESCRIPTIF</x:v>
      </x:c>
      <x:c r="G95" t="str"/>
      <x:c r="H95" t="str"/>
      <x:c r="I95" t="str"/>
      <x:c r="J95" t="str"/>
      <x:c r="K95" t="str"/>
      <x:c r="L95" t="n">
        <x:v>0</x:v>
      </x:c>
      <x:c r="M95" t="str"/>
      <x:c r="N95" t="str"/>
      <x:c r="P95" t="str">
        <x:v>1|Bête|Précieuse</x:v>
      </x:c>
      <x:c r="Q95" t="n">
        <x:v>72</x:v>
      </x:c>
      <x:c r="R95" t="str">
        <x:v>8d12</x:v>
      </x:c>
      <x:c r="S95" t="str">
        <x:v>PC</x:v>
      </x:c>
      <x:c r="T95" t="n">
        <x:v>0</x:v>
      </x:c>
      <x:c r="U95" t="n">
        <x:v>0</x:v>
      </x:c>
      <x:c r="V95" t="n">
        <x:v>0</x:v>
      </x:c>
      <x:c r="W95" t="n">
        <x:v>20</x:v>
      </x:c>
      <x:c r="X95" t="str">
        <x:v>VALUE: [[8d12]] PC 20 PC</x:v>
      </x:c>
    </x:row>
    <x:row r="96">
      <x:c r="E96" t="str">
        <x:v>Capacité|Téléportation courte</x:v>
      </x:c>
      <x:c r="F96" t="str">
        <x:v>TELEPORT</x:v>
      </x:c>
      <x:c r="G96" t="str"/>
      <x:c r="H96" t="str"/>
      <x:c r="I96" t="str"/>
      <x:c r="J96" t="str"/>
      <x:c r="K96" t="str"/>
      <x:c r="L96" t="n">
        <x:v>10</x:v>
      </x:c>
      <x:c r="M96" t="str"/>
      <x:c r="N96" t="str"/>
      <x:c r="P96" t="str">
        <x:v>1|Bête|Exceptionnelle</x:v>
      </x:c>
      <x:c r="Q96" t="n">
        <x:v>126</x:v>
      </x:c>
      <x:c r="R96" t="str">
        <x:v>8d20</x:v>
      </x:c>
      <x:c r="S96" t="str">
        <x:v>PC</x:v>
      </x:c>
      <x:c r="T96" t="n">
        <x:v>0</x:v>
      </x:c>
      <x:c r="U96" t="n">
        <x:v>0</x:v>
      </x:c>
      <x:c r="V96" t="n">
        <x:v>0</x:v>
      </x:c>
      <x:c r="W96" t="n">
        <x:v>42</x:v>
      </x:c>
      <x:c r="X96" t="str">
        <x:v>VALUE: [[8d20]] PC 42 PC</x:v>
      </x:c>
    </x:row>
    <x:row r="97">
      <x:c r="E97" t="str">
        <x:v>Capacité|Repli mobile</x:v>
      </x:c>
      <x:c r="F97" t="str">
        <x:v>DESCRIPTIF</x:v>
      </x:c>
      <x:c r="G97" t="str"/>
      <x:c r="H97" t="str"/>
      <x:c r="I97" t="str"/>
      <x:c r="J97" t="str"/>
      <x:c r="K97" t="str"/>
      <x:c r="L97" t="n">
        <x:v>0</x:v>
      </x:c>
      <x:c r="M97" t="str"/>
      <x:c r="N97" t="str"/>
      <x:c r="P97" t="str">
        <x:v>1|Aquatique|Commune</x:v>
      </x:c>
      <x:c r="Q97" t="n">
        <x:v>21</x:v>
      </x:c>
      <x:c r="R97" t="str">
        <x:v>6d4</x:v>
      </x:c>
      <x:c r="S97" t="str">
        <x:v>PC</x:v>
      </x:c>
      <x:c r="T97" t="n">
        <x:v>0</x:v>
      </x:c>
      <x:c r="U97" t="n">
        <x:v>0</x:v>
      </x:c>
      <x:c r="V97" t="n">
        <x:v>0</x:v>
      </x:c>
      <x:c r="W97" t="n">
        <x:v>6</x:v>
      </x:c>
      <x:c r="X97" t="str">
        <x:v>VALUE: [[6d4]] PC 6 PC</x:v>
      </x:c>
    </x:row>
    <x:row r="98">
      <x:c r="E98" t="str">
        <x:v>Capacité|Parade</x:v>
      </x:c>
      <x:c r="F98" t="str">
        <x:v>DESCRIPTIF</x:v>
      </x:c>
      <x:c r="G98" t="str"/>
      <x:c r="H98" t="str"/>
      <x:c r="I98" t="str"/>
      <x:c r="J98" t="str"/>
      <x:c r="K98" t="str"/>
      <x:c r="L98" t="n">
        <x:v>0</x:v>
      </x:c>
      <x:c r="M98" t="str"/>
      <x:c r="N98" t="str"/>
      <x:c r="P98" t="str">
        <x:v>1|Aquatique|Peu commune</x:v>
      </x:c>
      <x:c r="Q98" t="n">
        <x:v>32</x:v>
      </x:c>
      <x:c r="R98" t="str">
        <x:v>4d10</x:v>
      </x:c>
      <x:c r="S98" t="str">
        <x:v>PC</x:v>
      </x:c>
      <x:c r="T98" t="n">
        <x:v>0</x:v>
      </x:c>
      <x:c r="U98" t="n">
        <x:v>0</x:v>
      </x:c>
      <x:c r="V98" t="n">
        <x:v>0</x:v>
      </x:c>
      <x:c r="W98" t="n">
        <x:v>10</x:v>
      </x:c>
      <x:c r="X98" t="str">
        <x:v>VALUE: [[4d10]] PC 10 PC</x:v>
      </x:c>
    </x:row>
    <x:row r="99">
      <x:c r="E99" t="str">
        <x:v>Capacité|Régénération faible</x:v>
      </x:c>
      <x:c r="F99" t="str">
        <x:v>REGEN5</x:v>
      </x:c>
      <x:c r="G99" t="str"/>
      <x:c r="H99" t="str"/>
      <x:c r="I99" t="str"/>
      <x:c r="J99" t="str"/>
      <x:c r="K99" t="str"/>
      <x:c r="L99" t="n">
        <x:v>0</x:v>
      </x:c>
      <x:c r="M99" t="str"/>
      <x:c r="N99" t="str"/>
      <x:c r="P99" t="str">
        <x:v>1|Aquatique|Rare</x:v>
      </x:c>
      <x:c r="Q99" t="n">
        <x:v>52</x:v>
      </x:c>
      <x:c r="R99" t="str">
        <x:v>8d8</x:v>
      </x:c>
      <x:c r="S99" t="str">
        <x:v>PC</x:v>
      </x:c>
      <x:c r="T99" t="n">
        <x:v>0</x:v>
      </x:c>
      <x:c r="U99" t="n">
        <x:v>0</x:v>
      </x:c>
      <x:c r="V99" t="n">
        <x:v>0</x:v>
      </x:c>
      <x:c r="W99" t="n">
        <x:v>16</x:v>
      </x:c>
      <x:c r="X99" t="str">
        <x:v>VALUE: [[8d8]] PC 16 PC</x:v>
      </x:c>
    </x:row>
    <x:row r="100">
      <x:c r="E100" t="str">
        <x:v>Capacité|Aura mineure</x:v>
      </x:c>
      <x:c r="F100" t="str">
        <x:v>DESCRIPTIF</x:v>
      </x:c>
      <x:c r="G100" t="str"/>
      <x:c r="H100" t="str"/>
      <x:c r="I100" t="str"/>
      <x:c r="J100" t="str"/>
      <x:c r="K100" t="str"/>
      <x:c r="L100" t="n">
        <x:v>0</x:v>
      </x:c>
      <x:c r="M100" t="str"/>
      <x:c r="N100" t="str"/>
      <x:c r="P100" t="str">
        <x:v>1|Aquatique|Précieuse</x:v>
      </x:c>
      <x:c r="Q100" t="n">
        <x:v>84</x:v>
      </x:c>
      <x:c r="R100" t="str">
        <x:v>10d10</x:v>
      </x:c>
      <x:c r="S100" t="str">
        <x:v>PC</x:v>
      </x:c>
      <x:c r="T100" t="n">
        <x:v>0</x:v>
      </x:c>
      <x:c r="U100" t="n">
        <x:v>0</x:v>
      </x:c>
      <x:c r="V100" t="n">
        <x:v>0</x:v>
      </x:c>
      <x:c r="W100" t="n">
        <x:v>29</x:v>
      </x:c>
      <x:c r="X100" t="str">
        <x:v>VALUE: [[10d10]] PC 29 PC</x:v>
      </x:c>
    </x:row>
    <x:row r="101">
      <x:c r="E101" t="str">
        <x:v>Capacité|Multiattaque</x:v>
      </x:c>
      <x:c r="F101" t="str">
        <x:v>MULTIATTACK</x:v>
      </x:c>
      <x:c r="G101" t="str"/>
      <x:c r="H101" t="str"/>
      <x:c r="I101" t="str"/>
      <x:c r="J101" t="str"/>
      <x:c r="K101" t="str"/>
      <x:c r="L101" t="n">
        <x:v>0</x:v>
      </x:c>
      <x:c r="M101" t="str"/>
      <x:c r="N101" t="str"/>
      <x:c r="P101" t="str">
        <x:v>1|Aquatique|Exceptionnelle</x:v>
      </x:c>
      <x:c r="Q101" t="n">
        <x:v>147</x:v>
      </x:c>
      <x:c r="R101" t="str">
        <x:v>10d20</x:v>
      </x:c>
      <x:c r="S101" t="str">
        <x:v>PC</x:v>
      </x:c>
      <x:c r="T101" t="n">
        <x:v>0</x:v>
      </x:c>
      <x:c r="U101" t="n">
        <x:v>0</x:v>
      </x:c>
      <x:c r="V101" t="n">
        <x:v>0</x:v>
      </x:c>
      <x:c r="W101" t="n">
        <x:v>42</x:v>
      </x:c>
      <x:c r="X101" t="str">
        <x:v>VALUE: [[10d20]] PC 42 PC</x:v>
      </x:c>
    </x:row>
    <x:row r="102">
      <x:c r="E102" t="str">
        <x:v>Capacité|Souffle</x:v>
      </x:c>
      <x:c r="F102" t="str">
        <x:v>AOE_SAVE</x:v>
      </x:c>
      <x:c r="G102" t="str">
        <x:v>ELEMENT</x:v>
      </x:c>
      <x:c r="H102" t="str"/>
      <x:c r="I102" t="str">
        <x:v>DEX</x:v>
      </x:c>
      <x:c r="J102" t="str"/>
      <x:c r="K102" t="str">
        <x:v>CONE</x:v>
      </x:c>
      <x:c r="L102" t="n">
        <x:v>15</x:v>
      </x:c>
      <x:c r="M102" t="str"/>
      <x:c r="N102" t="str"/>
      <x:c r="P102" t="str">
        <x:v>1|Plante|Commune</x:v>
      </x:c>
      <x:c r="Q102" t="n">
        <x:v>24</x:v>
      </x:c>
      <x:c r="R102" t="str">
        <x:v>4d8</x:v>
      </x:c>
      <x:c r="S102" t="str">
        <x:v>PC</x:v>
      </x:c>
      <x:c r="T102" t="n">
        <x:v>0</x:v>
      </x:c>
      <x:c r="U102" t="n">
        <x:v>0</x:v>
      </x:c>
      <x:c r="V102" t="n">
        <x:v>0</x:v>
      </x:c>
      <x:c r="W102" t="n">
        <x:v>6</x:v>
      </x:c>
      <x:c r="X102" t="str">
        <x:v>VALUE: [[4d8]] PC 6 PC</x:v>
      </x:c>
    </x:row>
    <x:row r="103">
      <x:c r="E103" t="str">
        <x:v>Capacité|Onde de choc</x:v>
      </x:c>
      <x:c r="F103" t="str">
        <x:v>AOE_CONTROL</x:v>
      </x:c>
      <x:c r="G103" t="str">
        <x:v>ATTAQUE1</x:v>
      </x:c>
      <x:c r="H103" t="str">
        <x:v>renverse</x:v>
      </x:c>
      <x:c r="I103" t="str">
        <x:v>FORDEX</x:v>
      </x:c>
      <x:c r="J103" t="str"/>
      <x:c r="K103" t="str">
        <x:v>DISQUE2</x:v>
      </x:c>
      <x:c r="L103" t="n">
        <x:v>10</x:v>
      </x:c>
      <x:c r="M103" t="str"/>
      <x:c r="N103" t="str"/>
      <x:c r="P103" t="str">
        <x:v>1|Plante|Peu commune</x:v>
      </x:c>
      <x:c r="Q103" t="n">
        <x:v>36</x:v>
      </x:c>
      <x:c r="R103" t="str">
        <x:v>10d4</x:v>
      </x:c>
      <x:c r="S103" t="str">
        <x:v>PC</x:v>
      </x:c>
      <x:c r="T103" t="n">
        <x:v>0</x:v>
      </x:c>
      <x:c r="U103" t="n">
        <x:v>0</x:v>
      </x:c>
      <x:c r="V103" t="n">
        <x:v>0</x:v>
      </x:c>
      <x:c r="W103" t="n">
        <x:v>11</x:v>
      </x:c>
      <x:c r="X103" t="str">
        <x:v>VALUE: [[10d4]] PC 11 PC</x:v>
      </x:c>
    </x:row>
    <x:row r="104">
      <x:c r="E104" t="str">
        <x:v>Capacité|Explosion élémentaire</x:v>
      </x:c>
      <x:c r="F104" t="str">
        <x:v>AOE_SAVE</x:v>
      </x:c>
      <x:c r="G104" t="str">
        <x:v>ELEMENT</x:v>
      </x:c>
      <x:c r="H104" t="str"/>
      <x:c r="I104" t="str">
        <x:v>DEX</x:v>
      </x:c>
      <x:c r="J104" t="str"/>
      <x:c r="K104" t="str">
        <x:v>DISQUE2</x:v>
      </x:c>
      <x:c r="L104" t="n">
        <x:v>15</x:v>
      </x:c>
      <x:c r="M104" t="str"/>
      <x:c r="N104" t="str"/>
      <x:c r="P104" t="str">
        <x:v>1|Plante|Rare</x:v>
      </x:c>
      <x:c r="Q104" t="n">
        <x:v>60</x:v>
      </x:c>
      <x:c r="R104" t="str">
        <x:v>4d20</x:v>
      </x:c>
      <x:c r="S104" t="str">
        <x:v>PC</x:v>
      </x:c>
      <x:c r="T104" t="n">
        <x:v>0</x:v>
      </x:c>
      <x:c r="U104" t="n">
        <x:v>0</x:v>
      </x:c>
      <x:c r="V104" t="n">
        <x:v>0</x:v>
      </x:c>
      <x:c r="W104" t="n">
        <x:v>18</x:v>
      </x:c>
      <x:c r="X104" t="str">
        <x:v>VALUE: [[4d20]] PC 18 PC</x:v>
      </x:c>
    </x:row>
    <x:row r="105">
      <x:c r="E105" t="str">
        <x:v>Capacité|Drain vital majeur</x:v>
      </x:c>
      <x:c r="F105" t="str">
        <x:v>ATTACK</x:v>
      </x:c>
      <x:c r="G105" t="str">
        <x:v>Drain</x:v>
      </x:c>
      <x:c r="H105" t="str"/>
      <x:c r="I105" t="str"/>
      <x:c r="J105" t="str"/>
      <x:c r="K105" t="str"/>
      <x:c r="L105" t="n">
        <x:v>15</x:v>
      </x:c>
      <x:c r="M105" t="str"/>
      <x:c r="N105" t="str"/>
      <x:c r="P105" t="str">
        <x:v>1|Plante|Précieuse</x:v>
      </x:c>
      <x:c r="Q105" t="n">
        <x:v>96</x:v>
      </x:c>
      <x:c r="R105" t="str">
        <x:v>10d12</x:v>
      </x:c>
      <x:c r="S105" t="str">
        <x:v>PC</x:v>
      </x:c>
      <x:c r="T105" t="n">
        <x:v>0</x:v>
      </x:c>
      <x:c r="U105" t="n">
        <x:v>0</x:v>
      </x:c>
      <x:c r="V105" t="n">
        <x:v>0</x:v>
      </x:c>
      <x:c r="W105" t="n">
        <x:v>31</x:v>
      </x:c>
      <x:c r="X105" t="str">
        <x:v>VALUE: [[10d12]] PC 31 PC</x:v>
      </x:c>
    </x:row>
    <x:row r="106">
      <x:c r="E106" t="str">
        <x:v>Capacité|Étourdissement</x:v>
      </x:c>
      <x:c r="F106" t="str">
        <x:v>CONTROL_SAVE_DMG</x:v>
      </x:c>
      <x:c r="G106" t="str">
        <x:v>ATTAQUE1</x:v>
      </x:c>
      <x:c r="H106" t="str">
        <x:v>etourdi</x:v>
      </x:c>
      <x:c r="I106" t="str">
        <x:v>CON</x:v>
      </x:c>
      <x:c r="J106" t="str"/>
      <x:c r="K106" t="str"/>
      <x:c r="L106" t="n">
        <x:v>0</x:v>
      </x:c>
      <x:c r="M106" t="str"/>
      <x:c r="N106" t="str"/>
      <x:c r="P106" t="str">
        <x:v>1|Plante|Exceptionnelle</x:v>
      </x:c>
      <x:c r="Q106" t="n">
        <x:v>168</x:v>
      </x:c>
      <x:c r="R106" t="str">
        <x:v>10d20</x:v>
      </x:c>
      <x:c r="S106" t="str">
        <x:v>PC</x:v>
      </x:c>
      <x:c r="T106" t="n">
        <x:v>0</x:v>
      </x:c>
      <x:c r="U106" t="n">
        <x:v>0</x:v>
      </x:c>
      <x:c r="V106" t="n">
        <x:v>0</x:v>
      </x:c>
      <x:c r="W106" t="n">
        <x:v>63</x:v>
      </x:c>
      <x:c r="X106" t="str">
        <x:v>VALUE: [[10d20]] PC 63 PC</x:v>
      </x:c>
    </x:row>
    <x:row r="107">
      <x:c r="E107" t="str">
        <x:v>Capacité|Paralysie</x:v>
      </x:c>
      <x:c r="F107" t="str">
        <x:v>CONTROL_SAVE</x:v>
      </x:c>
      <x:c r="G107" t="str"/>
      <x:c r="H107" t="str">
        <x:v>paralyse</x:v>
      </x:c>
      <x:c r="I107" t="str">
        <x:v>CON</x:v>
      </x:c>
      <x:c r="J107" t="str"/>
      <x:c r="K107" t="str"/>
      <x:c r="L107" t="n">
        <x:v>15</x:v>
      </x:c>
      <x:c r="M107" t="str"/>
      <x:c r="N107" t="str"/>
      <x:c r="P107" t="str">
        <x:v>1|Humanoïde|Commune</x:v>
      </x:c>
      <x:c r="Q107" t="n">
        <x:v>30</x:v>
      </x:c>
      <x:c r="R107" t="str">
        <x:v>2d20</x:v>
      </x:c>
      <x:c r="S107" t="str">
        <x:v>PC</x:v>
      </x:c>
      <x:c r="T107" t="n">
        <x:v>0</x:v>
      </x:c>
      <x:c r="U107" t="n">
        <x:v>0</x:v>
      </x:c>
      <x:c r="V107" t="n">
        <x:v>0</x:v>
      </x:c>
      <x:c r="W107" t="n">
        <x:v>9</x:v>
      </x:c>
      <x:c r="X107" t="str">
        <x:v>VALUE: [[2d20]] PC 9 PC</x:v>
      </x:c>
    </x:row>
    <x:row r="108">
      <x:c r="E108" t="str">
        <x:v>Capacité|Engloutissement</x:v>
      </x:c>
      <x:c r="F108" t="str">
        <x:v>DESCRIPTIF</x:v>
      </x:c>
      <x:c r="G108" t="str"/>
      <x:c r="H108" t="str"/>
      <x:c r="I108" t="str"/>
      <x:c r="J108" t="str"/>
      <x:c r="K108" t="str"/>
      <x:c r="L108" t="n">
        <x:v>0</x:v>
      </x:c>
      <x:c r="M108" t="str"/>
      <x:c r="N108" t="str"/>
      <x:c r="P108" t="str">
        <x:v>1|Humanoïde|Peu commune</x:v>
      </x:c>
      <x:c r="Q108" t="n">
        <x:v>45</x:v>
      </x:c>
      <x:c r="R108" t="str">
        <x:v>6d10</x:v>
      </x:c>
      <x:c r="S108" t="str">
        <x:v>PC</x:v>
      </x:c>
      <x:c r="T108" t="n">
        <x:v>0</x:v>
      </x:c>
      <x:c r="U108" t="n">
        <x:v>0</x:v>
      </x:c>
      <x:c r="V108" t="n">
        <x:v>0</x:v>
      </x:c>
      <x:c r="W108" t="n">
        <x:v>12</x:v>
      </x:c>
      <x:c r="X108" t="str">
        <x:v>VALUE: [[6d10]] PC 12 PC</x:v>
      </x:c>
    </x:row>
    <x:row r="109">
      <x:c r="E109" t="str">
        <x:v>Capacité|Aura de terreur</x:v>
      </x:c>
      <x:c r="F109" t="str">
        <x:v>AOE_CONTROL</x:v>
      </x:c>
      <x:c r="G109" t="str"/>
      <x:c r="H109" t="str">
        <x:v>effraye</x:v>
      </x:c>
      <x:c r="I109" t="str">
        <x:v>SAG</x:v>
      </x:c>
      <x:c r="J109" t="str"/>
      <x:c r="K109" t="str">
        <x:v>DISQUE3</x:v>
      </x:c>
      <x:c r="L109" t="n">
        <x:v>0</x:v>
      </x:c>
      <x:c r="M109" t="str"/>
      <x:c r="N109" t="str"/>
      <x:c r="P109" t="str">
        <x:v>1|Humanoïde|Rare</x:v>
      </x:c>
      <x:c r="Q109" t="n">
        <x:v>75</x:v>
      </x:c>
      <x:c r="R109" t="str">
        <x:v>8d12</x:v>
      </x:c>
      <x:c r="S109" t="str">
        <x:v>PC</x:v>
      </x:c>
      <x:c r="T109" t="n">
        <x:v>0</x:v>
      </x:c>
      <x:c r="U109" t="n">
        <x:v>0</x:v>
      </x:c>
      <x:c r="V109" t="n">
        <x:v>0</x:v>
      </x:c>
      <x:c r="W109" t="n">
        <x:v>23</x:v>
      </x:c>
      <x:c r="X109" t="str">
        <x:v>VALUE: [[8d12]] PC 23 PC</x:v>
      </x:c>
    </x:row>
    <x:row r="110">
      <x:c r="E110" t="str">
        <x:v>Capacité|Régénération forte</x:v>
      </x:c>
      <x:c r="F110" t="str">
        <x:v>REGEN10</x:v>
      </x:c>
      <x:c r="G110" t="str"/>
      <x:c r="H110" t="str"/>
      <x:c r="I110" t="str"/>
      <x:c r="J110" t="str"/>
      <x:c r="K110" t="str"/>
      <x:c r="L110" t="n">
        <x:v>0</x:v>
      </x:c>
      <x:c r="M110" t="str"/>
      <x:c r="N110" t="str"/>
      <x:c r="P110" t="str">
        <x:v>1|Humanoïde|Précieuse</x:v>
      </x:c>
      <x:c r="Q110" t="n">
        <x:v>120</x:v>
      </x:c>
      <x:c r="R110" t="str">
        <x:v>8d20</x:v>
      </x:c>
      <x:c r="S110" t="str">
        <x:v>PC</x:v>
      </x:c>
      <x:c r="T110" t="n">
        <x:v>0</x:v>
      </x:c>
      <x:c r="U110" t="n">
        <x:v>0</x:v>
      </x:c>
      <x:c r="V110" t="n">
        <x:v>0</x:v>
      </x:c>
      <x:c r="W110" t="n">
        <x:v>36</x:v>
      </x:c>
      <x:c r="X110" t="str">
        <x:v>VALUE: [[8d20]] PC 36 PC</x:v>
      </x:c>
    </x:row>
    <x:row r="111">
      <x:c r="E111" t="str">
        <x:v>Capacité|Résistance légendaire</x:v>
      </x:c>
      <x:c r="F111" t="str">
        <x:v>DESCRIPTIF</x:v>
      </x:c>
      <x:c r="G111" t="str"/>
      <x:c r="H111" t="str"/>
      <x:c r="I111" t="str"/>
      <x:c r="J111" t="str"/>
      <x:c r="K111" t="str"/>
      <x:c r="L111" t="n">
        <x:v>0</x:v>
      </x:c>
      <x:c r="M111" t="str"/>
      <x:c r="N111" t="str"/>
      <x:c r="P111" t="str">
        <x:v>1|Humanoïde|Exceptionnelle</x:v>
      </x:c>
      <x:c r="Q111" t="n">
        <x:v>210</x:v>
      </x:c>
      <x:c r="R111" t="str">
        <x:v>10d20</x:v>
      </x:c>
      <x:c r="S111" t="str">
        <x:v>PC</x:v>
      </x:c>
      <x:c r="T111" t="n">
        <x:v>0</x:v>
      </x:c>
      <x:c r="U111" t="n">
        <x:v>0</x:v>
      </x:c>
      <x:c r="V111" t="n">
        <x:v>1</x:v>
      </x:c>
      <x:c r="W111" t="n">
        <x:v>5</x:v>
      </x:c>
      <x:c r="X111" t="str">
        <x:v>VALUE: [[10d20]] PC 1 PA 5 PC</x:v>
      </x:c>
    </x:row>
    <x:row r="112">
      <x:c r="E112" t="str">
        <x:v>Capacité|Action de boss</x:v>
      </x:c>
      <x:c r="F112" t="str">
        <x:v>DESCRIPTIF</x:v>
      </x:c>
      <x:c r="G112" t="str"/>
      <x:c r="H112" t="str"/>
      <x:c r="I112" t="str"/>
      <x:c r="J112" t="str"/>
      <x:c r="K112" t="str"/>
      <x:c r="L112" t="n">
        <x:v>0</x:v>
      </x:c>
      <x:c r="M112" t="str"/>
      <x:c r="N112" t="str"/>
      <x:c r="P112" t="str">
        <x:v>1|Mort-vivant|Commune</x:v>
      </x:c>
      <x:c r="Q112" t="n">
        <x:v>30</x:v>
      </x:c>
      <x:c r="R112" t="str">
        <x:v>2d20</x:v>
      </x:c>
      <x:c r="S112" t="str">
        <x:v>PC</x:v>
      </x:c>
      <x:c r="T112" t="n">
        <x:v>0</x:v>
      </x:c>
      <x:c r="U112" t="n">
        <x:v>0</x:v>
      </x:c>
      <x:c r="V112" t="n">
        <x:v>0</x:v>
      </x:c>
      <x:c r="W112" t="n">
        <x:v>9</x:v>
      </x:c>
      <x:c r="X112" t="str">
        <x:v>VALUE: [[2d20]] PC 9 PC</x:v>
      </x:c>
    </x:row>
    <x:row r="113">
      <x:c r="E113" t="str">
        <x:v>Capacité|Invocation</x:v>
      </x:c>
      <x:c r="F113" t="str">
        <x:v>DESCRIPTIF</x:v>
      </x:c>
      <x:c r="G113" t="str"/>
      <x:c r="H113" t="str"/>
      <x:c r="I113" t="str"/>
      <x:c r="J113" t="str"/>
      <x:c r="K113" t="str"/>
      <x:c r="L113" t="n">
        <x:v>0</x:v>
      </x:c>
      <x:c r="M113" t="str"/>
      <x:c r="N113" t="str"/>
      <x:c r="P113" t="str">
        <x:v>1|Mort-vivant|Peu commune</x:v>
      </x:c>
      <x:c r="Q113" t="n">
        <x:v>45</x:v>
      </x:c>
      <x:c r="R113" t="str">
        <x:v>6d10</x:v>
      </x:c>
      <x:c r="S113" t="str">
        <x:v>PC</x:v>
      </x:c>
      <x:c r="T113" t="n">
        <x:v>0</x:v>
      </x:c>
      <x:c r="U113" t="n">
        <x:v>0</x:v>
      </x:c>
      <x:c r="V113" t="n">
        <x:v>0</x:v>
      </x:c>
      <x:c r="W113" t="n">
        <x:v>12</x:v>
      </x:c>
      <x:c r="X113" t="str">
        <x:v>VALUE: [[6d10]] PC 12 PC</x:v>
      </x:c>
    </x:row>
    <x:row r="114">
      <x:c r="E114" t="str">
        <x:v>Sort|Projectile magique</x:v>
      </x:c>
      <x:c r="F114" t="str">
        <x:v>ATTACK</x:v>
      </x:c>
      <x:c r="G114" t="str">
        <x:v>Force</x:v>
      </x:c>
      <x:c r="H114" t="str"/>
      <x:c r="I114" t="str"/>
      <x:c r="J114" t="str"/>
      <x:c r="K114" t="str"/>
      <x:c r="L114" t="n">
        <x:v>15</x:v>
      </x:c>
      <x:c r="M114" t="str"/>
      <x:c r="N114" t="str"/>
      <x:c r="P114" t="str">
        <x:v>1|Mort-vivant|Rare</x:v>
      </x:c>
      <x:c r="Q114" t="n">
        <x:v>75</x:v>
      </x:c>
      <x:c r="R114" t="str">
        <x:v>8d12</x:v>
      </x:c>
      <x:c r="S114" t="str">
        <x:v>PC</x:v>
      </x:c>
      <x:c r="T114" t="n">
        <x:v>0</x:v>
      </x:c>
      <x:c r="U114" t="n">
        <x:v>0</x:v>
      </x:c>
      <x:c r="V114" t="n">
        <x:v>0</x:v>
      </x:c>
      <x:c r="W114" t="n">
        <x:v>23</x:v>
      </x:c>
      <x:c r="X114" t="str">
        <x:v>VALUE: [[8d12]] PC 23 PC</x:v>
      </x:c>
    </x:row>
    <x:row r="115">
      <x:c r="E115" t="str">
        <x:v>Sort|Trait élémentaire</x:v>
      </x:c>
      <x:c r="F115" t="str">
        <x:v>ATTACK</x:v>
      </x:c>
      <x:c r="G115" t="str">
        <x:v>ELEMENT</x:v>
      </x:c>
      <x:c r="H115" t="str"/>
      <x:c r="I115" t="str"/>
      <x:c r="J115" t="str"/>
      <x:c r="K115" t="str"/>
      <x:c r="L115" t="n">
        <x:v>15</x:v>
      </x:c>
      <x:c r="M115" t="str"/>
      <x:c r="N115" t="str"/>
      <x:c r="P115" t="str">
        <x:v>1|Mort-vivant|Précieuse</x:v>
      </x:c>
      <x:c r="Q115" t="n">
        <x:v>120</x:v>
      </x:c>
      <x:c r="R115" t="str">
        <x:v>8d20</x:v>
      </x:c>
      <x:c r="S115" t="str">
        <x:v>PC</x:v>
      </x:c>
      <x:c r="T115" t="n">
        <x:v>0</x:v>
      </x:c>
      <x:c r="U115" t="n">
        <x:v>0</x:v>
      </x:c>
      <x:c r="V115" t="n">
        <x:v>0</x:v>
      </x:c>
      <x:c r="W115" t="n">
        <x:v>36</x:v>
      </x:c>
      <x:c r="X115" t="str">
        <x:v>VALUE: [[8d20]] PC 36 PC</x:v>
      </x:c>
    </x:row>
    <x:row r="116">
      <x:c r="E116" t="str">
        <x:v>Sort|Rayon de force</x:v>
      </x:c>
      <x:c r="F116" t="str">
        <x:v>ATTACK</x:v>
      </x:c>
      <x:c r="G116" t="str">
        <x:v>Force</x:v>
      </x:c>
      <x:c r="H116" t="str"/>
      <x:c r="I116" t="str"/>
      <x:c r="J116" t="str"/>
      <x:c r="K116" t="str"/>
      <x:c r="L116" t="n">
        <x:v>20</x:v>
      </x:c>
      <x:c r="M116" t="str"/>
      <x:c r="N116" t="str"/>
      <x:c r="P116" t="str">
        <x:v>1|Mort-vivant|Exceptionnelle</x:v>
      </x:c>
      <x:c r="Q116" t="n">
        <x:v>210</x:v>
      </x:c>
      <x:c r="R116" t="str">
        <x:v>10d20</x:v>
      </x:c>
      <x:c r="S116" t="str">
        <x:v>PC</x:v>
      </x:c>
      <x:c r="T116" t="n">
        <x:v>0</x:v>
      </x:c>
      <x:c r="U116" t="n">
        <x:v>0</x:v>
      </x:c>
      <x:c r="V116" t="n">
        <x:v>1</x:v>
      </x:c>
      <x:c r="W116" t="n">
        <x:v>5</x:v>
      </x:c>
      <x:c r="X116" t="str">
        <x:v>VALUE: [[10d20]] PC 1 PA 5 PC</x:v>
      </x:c>
    </x:row>
    <x:row r="117">
      <x:c r="E117" t="str">
        <x:v>Sort|Onde élémentaire</x:v>
      </x:c>
      <x:c r="F117" t="str">
        <x:v>AOE_SAVE</x:v>
      </x:c>
      <x:c r="G117" t="str">
        <x:v>ELEMENT</x:v>
      </x:c>
      <x:c r="H117" t="str"/>
      <x:c r="I117" t="str">
        <x:v>DEX</x:v>
      </x:c>
      <x:c r="J117" t="str"/>
      <x:c r="K117" t="str">
        <x:v>DISQUE2</x:v>
      </x:c>
      <x:c r="L117" t="n">
        <x:v>10</x:v>
      </x:c>
      <x:c r="M117" t="str"/>
      <x:c r="N117" t="str"/>
      <x:c r="P117" t="str">
        <x:v>1|Monstre|Commune</x:v>
      </x:c>
      <x:c r="Q117" t="n">
        <x:v>30</x:v>
      </x:c>
      <x:c r="R117" t="str">
        <x:v>2d20</x:v>
      </x:c>
      <x:c r="S117" t="str">
        <x:v>PC</x:v>
      </x:c>
      <x:c r="T117" t="n">
        <x:v>0</x:v>
      </x:c>
      <x:c r="U117" t="n">
        <x:v>0</x:v>
      </x:c>
      <x:c r="V117" t="n">
        <x:v>0</x:v>
      </x:c>
      <x:c r="W117" t="n">
        <x:v>9</x:v>
      </x:c>
      <x:c r="X117" t="str">
        <x:v>VALUE: [[2d20]] PC 9 PC</x:v>
      </x:c>
    </x:row>
    <x:row r="118">
      <x:c r="E118" t="str">
        <x:v>Sort|Entrave magique</x:v>
      </x:c>
      <x:c r="F118" t="str">
        <x:v>CONTROL_SAVE</x:v>
      </x:c>
      <x:c r="G118" t="str"/>
      <x:c r="H118" t="str">
        <x:v>entrave</x:v>
      </x:c>
      <x:c r="I118" t="str">
        <x:v>DEX</x:v>
      </x:c>
      <x:c r="J118" t="str"/>
      <x:c r="K118" t="str"/>
      <x:c r="L118" t="n">
        <x:v>15</x:v>
      </x:c>
      <x:c r="M118" t="str"/>
      <x:c r="N118" t="str"/>
      <x:c r="P118" t="str">
        <x:v>1|Monstre|Peu commune</x:v>
      </x:c>
      <x:c r="Q118" t="n">
        <x:v>45</x:v>
      </x:c>
      <x:c r="R118" t="str">
        <x:v>6d10</x:v>
      </x:c>
      <x:c r="S118" t="str">
        <x:v>PC</x:v>
      </x:c>
      <x:c r="T118" t="n">
        <x:v>0</x:v>
      </x:c>
      <x:c r="U118" t="n">
        <x:v>0</x:v>
      </x:c>
      <x:c r="V118" t="n">
        <x:v>0</x:v>
      </x:c>
      <x:c r="W118" t="n">
        <x:v>12</x:v>
      </x:c>
      <x:c r="X118" t="str">
        <x:v>VALUE: [[6d10]] PC 12 PC</x:v>
      </x:c>
    </x:row>
    <x:row r="119">
      <x:c r="E119" t="str">
        <x:v>Sort|Peur</x:v>
      </x:c>
      <x:c r="F119" t="str">
        <x:v>CONTROL_SAVE</x:v>
      </x:c>
      <x:c r="G119" t="str"/>
      <x:c r="H119" t="str">
        <x:v>effraye</x:v>
      </x:c>
      <x:c r="I119" t="str">
        <x:v>SAG</x:v>
      </x:c>
      <x:c r="J119" t="str"/>
      <x:c r="K119" t="str"/>
      <x:c r="L119" t="n">
        <x:v>15</x:v>
      </x:c>
      <x:c r="M119" t="str"/>
      <x:c r="N119" t="str"/>
      <x:c r="P119" t="str">
        <x:v>1|Monstre|Rare</x:v>
      </x:c>
      <x:c r="Q119" t="n">
        <x:v>75</x:v>
      </x:c>
      <x:c r="R119" t="str">
        <x:v>8d12</x:v>
      </x:c>
      <x:c r="S119" t="str">
        <x:v>PC</x:v>
      </x:c>
      <x:c r="T119" t="n">
        <x:v>0</x:v>
      </x:c>
      <x:c r="U119" t="n">
        <x:v>0</x:v>
      </x:c>
      <x:c r="V119" t="n">
        <x:v>0</x:v>
      </x:c>
      <x:c r="W119" t="n">
        <x:v>23</x:v>
      </x:c>
      <x:c r="X119" t="str">
        <x:v>VALUE: [[8d12]] PC 23 PC</x:v>
      </x:c>
    </x:row>
    <x:row r="120">
      <x:c r="E120" t="str">
        <x:v>Sort|Bouclier magique</x:v>
      </x:c>
      <x:c r="F120" t="str">
        <x:v>DESCRIPTIF</x:v>
      </x:c>
      <x:c r="G120" t="str"/>
      <x:c r="H120" t="str"/>
      <x:c r="I120" t="str"/>
      <x:c r="J120" t="str"/>
      <x:c r="K120" t="str"/>
      <x:c r="L120" t="n">
        <x:v>0</x:v>
      </x:c>
      <x:c r="M120" t="str"/>
      <x:c r="N120" t="str"/>
      <x:c r="P120" t="str">
        <x:v>1|Monstre|Précieuse</x:v>
      </x:c>
      <x:c r="Q120" t="n">
        <x:v>120</x:v>
      </x:c>
      <x:c r="R120" t="str">
        <x:v>8d20</x:v>
      </x:c>
      <x:c r="S120" t="str">
        <x:v>PC</x:v>
      </x:c>
      <x:c r="T120" t="n">
        <x:v>0</x:v>
      </x:c>
      <x:c r="U120" t="n">
        <x:v>0</x:v>
      </x:c>
      <x:c r="V120" t="n">
        <x:v>0</x:v>
      </x:c>
      <x:c r="W120" t="n">
        <x:v>36</x:v>
      </x:c>
      <x:c r="X120" t="str">
        <x:v>VALUE: [[8d20]] PC 36 PC</x:v>
      </x:c>
    </x:row>
    <x:row r="121">
      <x:c r="E121" t="str">
        <x:v>Sort|Téléportation courte</x:v>
      </x:c>
      <x:c r="F121" t="str">
        <x:v>TELEPORT</x:v>
      </x:c>
      <x:c r="G121" t="str"/>
      <x:c r="H121" t="str"/>
      <x:c r="I121" t="str"/>
      <x:c r="J121" t="str"/>
      <x:c r="K121" t="str"/>
      <x:c r="L121" t="n">
        <x:v>10</x:v>
      </x:c>
      <x:c r="M121" t="str"/>
      <x:c r="N121" t="str"/>
      <x:c r="P121" t="str">
        <x:v>1|Monstre|Exceptionnelle</x:v>
      </x:c>
      <x:c r="Q121" t="n">
        <x:v>210</x:v>
      </x:c>
      <x:c r="R121" t="str">
        <x:v>10d20</x:v>
      </x:c>
      <x:c r="S121" t="str">
        <x:v>PC</x:v>
      </x:c>
      <x:c r="T121" t="n">
        <x:v>0</x:v>
      </x:c>
      <x:c r="U121" t="n">
        <x:v>0</x:v>
      </x:c>
      <x:c r="V121" t="n">
        <x:v>1</x:v>
      </x:c>
      <x:c r="W121" t="n">
        <x:v>5</x:v>
      </x:c>
      <x:c r="X121" t="str">
        <x:v>VALUE: [[10d20]] PC 1 PA 5 PC</x:v>
      </x:c>
    </x:row>
    <x:row r="122">
      <x:c r="E122" t="str">
        <x:v>Sort|Illusion mineure</x:v>
      </x:c>
      <x:c r="F122" t="str">
        <x:v>DESCRIPTIF</x:v>
      </x:c>
      <x:c r="G122" t="str"/>
      <x:c r="H122" t="str"/>
      <x:c r="I122" t="str"/>
      <x:c r="J122" t="str"/>
      <x:c r="K122" t="str"/>
      <x:c r="L122" t="n">
        <x:v>0</x:v>
      </x:c>
      <x:c r="M122" t="str"/>
      <x:c r="N122" t="str"/>
      <x:c r="P122" t="str">
        <x:v>1|Vase|Commune</x:v>
      </x:c>
      <x:c r="Q122" t="n">
        <x:v>30</x:v>
      </x:c>
      <x:c r="R122" t="str">
        <x:v>2d20</x:v>
      </x:c>
      <x:c r="S122" t="str">
        <x:v>PC</x:v>
      </x:c>
      <x:c r="T122" t="n">
        <x:v>0</x:v>
      </x:c>
      <x:c r="U122" t="n">
        <x:v>0</x:v>
      </x:c>
      <x:c r="V122" t="n">
        <x:v>0</x:v>
      </x:c>
      <x:c r="W122" t="n">
        <x:v>9</x:v>
      </x:c>
      <x:c r="X122" t="str">
        <x:v>VALUE: [[2d20]] PC 9 PC</x:v>
      </x:c>
    </x:row>
    <x:row r="123">
      <x:c r="E123" t="str">
        <x:v>Sort|Soin mineur</x:v>
      </x:c>
      <x:c r="F123" t="str">
        <x:v>HEAL10</x:v>
      </x:c>
      <x:c r="G123" t="str"/>
      <x:c r="H123" t="str"/>
      <x:c r="I123" t="str"/>
      <x:c r="J123" t="str"/>
      <x:c r="K123" t="str"/>
      <x:c r="L123" t="n">
        <x:v>10</x:v>
      </x:c>
      <x:c r="M123" t="str"/>
      <x:c r="N123" t="str"/>
      <x:c r="P123" t="str">
        <x:v>1|Vase|Peu commune</x:v>
      </x:c>
      <x:c r="Q123" t="n">
        <x:v>45</x:v>
      </x:c>
      <x:c r="R123" t="str">
        <x:v>6d10</x:v>
      </x:c>
      <x:c r="S123" t="str">
        <x:v>PC</x:v>
      </x:c>
      <x:c r="T123" t="n">
        <x:v>0</x:v>
      </x:c>
      <x:c r="U123" t="n">
        <x:v>0</x:v>
      </x:c>
      <x:c r="V123" t="n">
        <x:v>0</x:v>
      </x:c>
      <x:c r="W123" t="n">
        <x:v>12</x:v>
      </x:c>
      <x:c r="X123" t="str">
        <x:v>VALUE: [[6d10]] PC 12 PC</x:v>
      </x:c>
    </x:row>
    <x:row r="124">
      <x:c r="E124" t="str">
        <x:v>Sort|Explosion élémentaire</x:v>
      </x:c>
      <x:c r="F124" t="str">
        <x:v>AOE_SAVE</x:v>
      </x:c>
      <x:c r="G124" t="str">
        <x:v>ELEMENT</x:v>
      </x:c>
      <x:c r="H124" t="str"/>
      <x:c r="I124" t="str">
        <x:v>DEX</x:v>
      </x:c>
      <x:c r="J124" t="str"/>
      <x:c r="K124" t="str">
        <x:v>DISQUE2</x:v>
      </x:c>
      <x:c r="L124" t="n">
        <x:v>15</x:v>
      </x:c>
      <x:c r="M124" t="str"/>
      <x:c r="N124" t="str"/>
      <x:c r="P124" t="str">
        <x:v>1|Vase|Rare</x:v>
      </x:c>
      <x:c r="Q124" t="n">
        <x:v>75</x:v>
      </x:c>
      <x:c r="R124" t="str">
        <x:v>8d12</x:v>
      </x:c>
      <x:c r="S124" t="str">
        <x:v>PC</x:v>
      </x:c>
      <x:c r="T124" t="n">
        <x:v>0</x:v>
      </x:c>
      <x:c r="U124" t="n">
        <x:v>0</x:v>
      </x:c>
      <x:c r="V124" t="n">
        <x:v>0</x:v>
      </x:c>
      <x:c r="W124" t="n">
        <x:v>23</x:v>
      </x:c>
      <x:c r="X124" t="str">
        <x:v>VALUE: [[8d12]] PC 23 PC</x:v>
      </x:c>
    </x:row>
    <x:row r="125">
      <x:c r="E125" t="str">
        <x:v>Sort|Éclair en ligne</x:v>
      </x:c>
      <x:c r="F125" t="str">
        <x:v>AOE_SAVE</x:v>
      </x:c>
      <x:c r="G125" t="str">
        <x:v>Air</x:v>
      </x:c>
      <x:c r="H125" t="str"/>
      <x:c r="I125" t="str">
        <x:v>DEX</x:v>
      </x:c>
      <x:c r="J125" t="str"/>
      <x:c r="K125" t="str">
        <x:v>LIGNE</x:v>
      </x:c>
      <x:c r="L125" t="n">
        <x:v>20</x:v>
      </x:c>
      <x:c r="M125" t="str"/>
      <x:c r="N125" t="str"/>
      <x:c r="P125" t="str">
        <x:v>1|Vase|Précieuse</x:v>
      </x:c>
      <x:c r="Q125" t="n">
        <x:v>120</x:v>
      </x:c>
      <x:c r="R125" t="str">
        <x:v>8d20</x:v>
      </x:c>
      <x:c r="S125" t="str">
        <x:v>PC</x:v>
      </x:c>
      <x:c r="T125" t="n">
        <x:v>0</x:v>
      </x:c>
      <x:c r="U125" t="n">
        <x:v>0</x:v>
      </x:c>
      <x:c r="V125" t="n">
        <x:v>0</x:v>
      </x:c>
      <x:c r="W125" t="n">
        <x:v>36</x:v>
      </x:c>
      <x:c r="X125" t="str">
        <x:v>VALUE: [[8d20]] PC 36 PC</x:v>
      </x:c>
    </x:row>
    <x:row r="126">
      <x:c r="E126" t="str">
        <x:v>Sort|Rayon d'ombre</x:v>
      </x:c>
      <x:c r="F126" t="str">
        <x:v>ATTACK</x:v>
      </x:c>
      <x:c r="G126" t="str">
        <x:v>Ombre</x:v>
      </x:c>
      <x:c r="H126" t="str"/>
      <x:c r="I126" t="str"/>
      <x:c r="J126" t="str"/>
      <x:c r="K126" t="str"/>
      <x:c r="L126" t="n">
        <x:v>15</x:v>
      </x:c>
      <x:c r="M126" t="str"/>
      <x:c r="N126" t="str"/>
      <x:c r="P126" t="str">
        <x:v>1|Vase|Exceptionnelle</x:v>
      </x:c>
      <x:c r="Q126" t="n">
        <x:v>210</x:v>
      </x:c>
      <x:c r="R126" t="str">
        <x:v>10d20</x:v>
      </x:c>
      <x:c r="S126" t="str">
        <x:v>PC</x:v>
      </x:c>
      <x:c r="T126" t="n">
        <x:v>0</x:v>
      </x:c>
      <x:c r="U126" t="n">
        <x:v>0</x:v>
      </x:c>
      <x:c r="V126" t="n">
        <x:v>1</x:v>
      </x:c>
      <x:c r="W126" t="n">
        <x:v>5</x:v>
      </x:c>
      <x:c r="X126" t="str">
        <x:v>VALUE: [[10d20]] PC 1 PA 5 PC</x:v>
      </x:c>
    </x:row>
    <x:row r="127">
      <x:c r="E127" t="str">
        <x:v>Sort|Rayon de lumière</x:v>
      </x:c>
      <x:c r="F127" t="str">
        <x:v>ATTACK</x:v>
      </x:c>
      <x:c r="G127" t="str">
        <x:v>Lumière</x:v>
      </x:c>
      <x:c r="H127" t="str"/>
      <x:c r="I127" t="str"/>
      <x:c r="J127" t="str"/>
      <x:c r="K127" t="str"/>
      <x:c r="L127" t="n">
        <x:v>15</x:v>
      </x:c>
      <x:c r="M127" t="str"/>
      <x:c r="N127" t="str"/>
      <x:c r="P127" t="str">
        <x:v>1|Géant|Commune</x:v>
      </x:c>
      <x:c r="Q127" t="n">
        <x:v>36</x:v>
      </x:c>
      <x:c r="R127" t="str">
        <x:v>10d4</x:v>
      </x:c>
      <x:c r="S127" t="str">
        <x:v>PC</x:v>
      </x:c>
      <x:c r="T127" t="n">
        <x:v>0</x:v>
      </x:c>
      <x:c r="U127" t="n">
        <x:v>0</x:v>
      </x:c>
      <x:c r="V127" t="n">
        <x:v>0</x:v>
      </x:c>
      <x:c r="W127" t="n">
        <x:v>11</x:v>
      </x:c>
      <x:c r="X127" t="str">
        <x:v>VALUE: [[10d4]] PC 11 PC</x:v>
      </x:c>
    </x:row>
    <x:row r="128">
      <x:c r="E128" t="str">
        <x:v>Sort|Silence</x:v>
      </x:c>
      <x:c r="F128" t="str">
        <x:v>AOE_CONTROL</x:v>
      </x:c>
      <x:c r="G128" t="str"/>
      <x:c r="H128" t="str">
        <x:v>silencieux</x:v>
      </x:c>
      <x:c r="I128" t="str">
        <x:v>SAG</x:v>
      </x:c>
      <x:c r="J128" t="str"/>
      <x:c r="K128" t="str">
        <x:v>DISQUE2</x:v>
      </x:c>
      <x:c r="L128" t="n">
        <x:v>15</x:v>
      </x:c>
      <x:c r="M128" t="str"/>
      <x:c r="N128" t="str"/>
      <x:c r="P128" t="str">
        <x:v>1|Géant|Peu commune</x:v>
      </x:c>
      <x:c r="Q128" t="n">
        <x:v>54</x:v>
      </x:c>
      <x:c r="R128" t="str">
        <x:v>6d12</x:v>
      </x:c>
      <x:c r="S128" t="str">
        <x:v>PC</x:v>
      </x:c>
      <x:c r="T128" t="n">
        <x:v>0</x:v>
      </x:c>
      <x:c r="U128" t="n">
        <x:v>0</x:v>
      </x:c>
      <x:c r="V128" t="n">
        <x:v>0</x:v>
      </x:c>
      <x:c r="W128" t="n">
        <x:v>15</x:v>
      </x:c>
      <x:c r="X128" t="str">
        <x:v>VALUE: [[6d12]] PC 15 PC</x:v>
      </x:c>
    </x:row>
    <x:row r="129">
      <x:c r="E129" t="str">
        <x:v>Sort|Charme</x:v>
      </x:c>
      <x:c r="F129" t="str">
        <x:v>CONTROL_SAVE</x:v>
      </x:c>
      <x:c r="G129" t="str"/>
      <x:c r="H129" t="str">
        <x:v>charme</x:v>
      </x:c>
      <x:c r="I129" t="str">
        <x:v>SAG</x:v>
      </x:c>
      <x:c r="J129" t="str"/>
      <x:c r="K129" t="str"/>
      <x:c r="L129" t="n">
        <x:v>15</x:v>
      </x:c>
      <x:c r="M129" t="str"/>
      <x:c r="N129" t="str"/>
      <x:c r="P129" t="str">
        <x:v>1|Géant|Rare</x:v>
      </x:c>
      <x:c r="Q129" t="n">
        <x:v>90</x:v>
      </x:c>
      <x:c r="R129" t="str">
        <x:v>6d20</x:v>
      </x:c>
      <x:c r="S129" t="str">
        <x:v>PC</x:v>
      </x:c>
      <x:c r="T129" t="n">
        <x:v>0</x:v>
      </x:c>
      <x:c r="U129" t="n">
        <x:v>0</x:v>
      </x:c>
      <x:c r="V129" t="n">
        <x:v>0</x:v>
      </x:c>
      <x:c r="W129" t="n">
        <x:v>27</x:v>
      </x:c>
      <x:c r="X129" t="str">
        <x:v>VALUE: [[6d20]] PC 27 PC</x:v>
      </x:c>
    </x:row>
    <x:row r="130">
      <x:c r="E130" t="str">
        <x:v>Sort|Invisibilité</x:v>
      </x:c>
      <x:c r="F130" t="str">
        <x:v>SELF_STATE</x:v>
      </x:c>
      <x:c r="G130" t="str"/>
      <x:c r="H130" t="str">
        <x:v>invisible</x:v>
      </x:c>
      <x:c r="I130" t="str"/>
      <x:c r="J130" t="str"/>
      <x:c r="K130" t="str"/>
      <x:c r="L130" t="n">
        <x:v>0</x:v>
      </x:c>
      <x:c r="M130" t="str"/>
      <x:c r="N130" t="str"/>
      <x:c r="P130" t="str">
        <x:v>1|Géant|Précieuse</x:v>
      </x:c>
      <x:c r="Q130" t="n">
        <x:v>144</x:v>
      </x:c>
      <x:c r="R130" t="str">
        <x:v>10d20</x:v>
      </x:c>
      <x:c r="S130" t="str">
        <x:v>PC</x:v>
      </x:c>
      <x:c r="T130" t="n">
        <x:v>0</x:v>
      </x:c>
      <x:c r="U130" t="n">
        <x:v>0</x:v>
      </x:c>
      <x:c r="V130" t="n">
        <x:v>0</x:v>
      </x:c>
      <x:c r="W130" t="n">
        <x:v>39</x:v>
      </x:c>
      <x:c r="X130" t="str">
        <x:v>VALUE: [[10d20]] PC 39 PC</x:v>
      </x:c>
    </x:row>
    <x:row r="131">
      <x:c r="E131" t="str">
        <x:v>Sort|Soin majeur</x:v>
      </x:c>
      <x:c r="F131" t="str">
        <x:v>HEAL20</x:v>
      </x:c>
      <x:c r="G131" t="str"/>
      <x:c r="H131" t="str"/>
      <x:c r="I131" t="str"/>
      <x:c r="J131" t="str"/>
      <x:c r="K131" t="str"/>
      <x:c r="L131" t="n">
        <x:v>15</x:v>
      </x:c>
      <x:c r="M131" t="str"/>
      <x:c r="N131" t="str"/>
      <x:c r="P131" t="str">
        <x:v>1|Géant|Exceptionnelle</x:v>
      </x:c>
      <x:c r="Q131" t="n">
        <x:v>252</x:v>
      </x:c>
      <x:c r="R131" t="str">
        <x:v>10d20</x:v>
      </x:c>
      <x:c r="S131" t="str">
        <x:v>PC</x:v>
      </x:c>
      <x:c r="T131" t="n">
        <x:v>0</x:v>
      </x:c>
      <x:c r="U131" t="n">
        <x:v>0</x:v>
      </x:c>
      <x:c r="V131" t="n">
        <x:v>1</x:v>
      </x:c>
      <x:c r="W131" t="n">
        <x:v>47</x:v>
      </x:c>
      <x:c r="X131" t="str">
        <x:v>VALUE: [[10d20]] PC 1 PA 47 PC</x:v>
      </x:c>
    </x:row>
    <x:row r="132">
      <x:c r="E132" t="str">
        <x:v>Sort|Confusion</x:v>
      </x:c>
      <x:c r="F132" t="str">
        <x:v>AOE_CONTROL</x:v>
      </x:c>
      <x:c r="G132" t="str"/>
      <x:c r="H132" t="str">
        <x:v>confus</x:v>
      </x:c>
      <x:c r="I132" t="str">
        <x:v>SAG</x:v>
      </x:c>
      <x:c r="J132" t="str"/>
      <x:c r="K132" t="str">
        <x:v>DISQUE2</x:v>
      </x:c>
      <x:c r="L132" t="n">
        <x:v>15</x:v>
      </x:c>
      <x:c r="M132" t="str"/>
      <x:c r="N132" t="str"/>
      <x:c r="P132" t="str">
        <x:v>1|Aberration|Commune</x:v>
      </x:c>
      <x:c r="Q132" t="n">
        <x:v>45</x:v>
      </x:c>
      <x:c r="R132" t="str">
        <x:v>6d10</x:v>
      </x:c>
      <x:c r="S132" t="str">
        <x:v>PC</x:v>
      </x:c>
      <x:c r="T132" t="n">
        <x:v>0</x:v>
      </x:c>
      <x:c r="U132" t="n">
        <x:v>0</x:v>
      </x:c>
      <x:c r="V132" t="n">
        <x:v>0</x:v>
      </x:c>
      <x:c r="W132" t="n">
        <x:v>12</x:v>
      </x:c>
      <x:c r="X132" t="str">
        <x:v>VALUE: [[6d10]] PC 12 PC</x:v>
      </x:c>
    </x:row>
    <x:row r="133">
      <x:c r="E133" t="str">
        <x:v>Sort|Paralysie</x:v>
      </x:c>
      <x:c r="F133" t="str">
        <x:v>CONTROL_SAVE</x:v>
      </x:c>
      <x:c r="G133" t="str"/>
      <x:c r="H133" t="str">
        <x:v>paralyse</x:v>
      </x:c>
      <x:c r="I133" t="str">
        <x:v>CON</x:v>
      </x:c>
      <x:c r="J133" t="str"/>
      <x:c r="K133" t="str"/>
      <x:c r="L133" t="n">
        <x:v>15</x:v>
      </x:c>
      <x:c r="M133" t="str"/>
      <x:c r="N133" t="str"/>
      <x:c r="P133" t="str">
        <x:v>1|Aberration|Peu commune</x:v>
      </x:c>
      <x:c r="Q133" t="n">
        <x:v>68</x:v>
      </x:c>
      <x:c r="R133" t="str">
        <x:v>10d8</x:v>
      </x:c>
      <x:c r="S133" t="str">
        <x:v>PC</x:v>
      </x:c>
      <x:c r="T133" t="n">
        <x:v>0</x:v>
      </x:c>
      <x:c r="U133" t="n">
        <x:v>0</x:v>
      </x:c>
      <x:c r="V133" t="n">
        <x:v>0</x:v>
      </x:c>
      <x:c r="W133" t="n">
        <x:v>23</x:v>
      </x:c>
      <x:c r="X133" t="str">
        <x:v>VALUE: [[10d8]] PC 23 PC</x:v>
      </x:c>
    </x:row>
    <x:row r="134">
      <x:c r="E134" t="str">
        <x:v>Sort|Tempête élémentaire</x:v>
      </x:c>
      <x:c r="F134" t="str">
        <x:v>AOE_SAVE</x:v>
      </x:c>
      <x:c r="G134" t="str">
        <x:v>ELEMENT</x:v>
      </x:c>
      <x:c r="H134" t="str"/>
      <x:c r="I134" t="str">
        <x:v>DEX</x:v>
      </x:c>
      <x:c r="J134" t="str"/>
      <x:c r="K134" t="str">
        <x:v>DISQUE3</x:v>
      </x:c>
      <x:c r="L134" t="n">
        <x:v>20</x:v>
      </x:c>
      <x:c r="M134" t="str"/>
      <x:c r="N134" t="str"/>
      <x:c r="P134" t="str">
        <x:v>1|Aberration|Rare</x:v>
      </x:c>
      <x:c r="Q134" t="n">
        <x:v>112</x:v>
      </x:c>
      <x:c r="R134" t="str">
        <x:v>8d20</x:v>
      </x:c>
      <x:c r="S134" t="str">
        <x:v>PC</x:v>
      </x:c>
      <x:c r="T134" t="n">
        <x:v>0</x:v>
      </x:c>
      <x:c r="U134" t="n">
        <x:v>0</x:v>
      </x:c>
      <x:c r="V134" t="n">
        <x:v>0</x:v>
      </x:c>
      <x:c r="W134" t="n">
        <x:v>28</x:v>
      </x:c>
      <x:c r="X134" t="str">
        <x:v>VALUE: [[8d20]] PC 28 PC</x:v>
      </x:c>
    </x:row>
    <x:row r="135">
      <x:c r="E135" t="str">
        <x:v>Sort|Domination</x:v>
      </x:c>
      <x:c r="F135" t="str">
        <x:v>CONTROL_SAVE</x:v>
      </x:c>
      <x:c r="G135" t="str"/>
      <x:c r="H135" t="str">
        <x:v>charme</x:v>
      </x:c>
      <x:c r="I135" t="str">
        <x:v>SAG</x:v>
      </x:c>
      <x:c r="J135" t="str"/>
      <x:c r="K135" t="str"/>
      <x:c r="L135" t="n">
        <x:v>15</x:v>
      </x:c>
      <x:c r="M135" t="str"/>
      <x:c r="N135" t="str"/>
      <x:c r="P135" t="str">
        <x:v>1|Aberration|Précieuse</x:v>
      </x:c>
      <x:c r="Q135" t="n">
        <x:v>180</x:v>
      </x:c>
      <x:c r="R135" t="str">
        <x:v>10d20</x:v>
      </x:c>
      <x:c r="S135" t="str">
        <x:v>PC</x:v>
      </x:c>
      <x:c r="T135" t="n">
        <x:v>0</x:v>
      </x:c>
      <x:c r="U135" t="n">
        <x:v>0</x:v>
      </x:c>
      <x:c r="V135" t="n">
        <x:v>0</x:v>
      </x:c>
      <x:c r="W135" t="n">
        <x:v>75</x:v>
      </x:c>
      <x:c r="X135" t="str">
        <x:v>VALUE: [[10d20]] PC 75 PC</x:v>
      </x:c>
    </x:row>
    <x:row r="136">
      <x:c r="E136" t="str">
        <x:v>Sort|Téléportation majeure</x:v>
      </x:c>
      <x:c r="F136" t="str">
        <x:v>TELEPORT</x:v>
      </x:c>
      <x:c r="G136" t="str"/>
      <x:c r="H136" t="str"/>
      <x:c r="I136" t="str"/>
      <x:c r="J136" t="str"/>
      <x:c r="K136" t="str"/>
      <x:c r="L136" t="n">
        <x:v>20</x:v>
      </x:c>
      <x:c r="M136" t="str"/>
      <x:c r="N136" t="str"/>
      <x:c r="P136" t="str">
        <x:v>1|Aberration|Exceptionnelle</x:v>
      </x:c>
      <x:c r="Q136" t="n">
        <x:v>315</x:v>
      </x:c>
      <x:c r="R136" t="str">
        <x:v>1d4</x:v>
      </x:c>
      <x:c r="S136" t="str">
        <x:v>PA</x:v>
      </x:c>
      <x:c r="T136" t="n">
        <x:v>0</x:v>
      </x:c>
      <x:c r="U136" t="n">
        <x:v>0</x:v>
      </x:c>
      <x:c r="V136" t="n">
        <x:v>0</x:v>
      </x:c>
      <x:c r="W136" t="n">
        <x:v>65</x:v>
      </x:c>
      <x:c r="X136" t="str">
        <x:v>VALUE: [[1d4]] PA 65 PC</x:v>
      </x:c>
    </x:row>
    <x:row r="137">
      <x:c r="E137" t="str">
        <x:v>Sort|Désintégration</x:v>
      </x:c>
      <x:c r="F137" t="str">
        <x:v>ATTACK_SAVE</x:v>
      </x:c>
      <x:c r="G137" t="str">
        <x:v>Force</x:v>
      </x:c>
      <x:c r="H137" t="str"/>
      <x:c r="I137" t="str">
        <x:v>DEX</x:v>
      </x:c>
      <x:c r="J137" t="str"/>
      <x:c r="K137" t="str"/>
      <x:c r="L137" t="n">
        <x:v>15</x:v>
      </x:c>
      <x:c r="M137" t="str"/>
      <x:c r="N137" t="str"/>
      <x:c r="P137" t="str">
        <x:v>1|Fée|Commune</x:v>
      </x:c>
      <x:c r="Q137" t="n">
        <x:v>54</x:v>
      </x:c>
      <x:c r="R137" t="str">
        <x:v>6d12</x:v>
      </x:c>
      <x:c r="S137" t="str">
        <x:v>PC</x:v>
      </x:c>
      <x:c r="T137" t="n">
        <x:v>0</x:v>
      </x:c>
      <x:c r="U137" t="n">
        <x:v>0</x:v>
      </x:c>
      <x:c r="V137" t="n">
        <x:v>0</x:v>
      </x:c>
      <x:c r="W137" t="n">
        <x:v>15</x:v>
      </x:c>
      <x:c r="X137" t="str">
        <x:v>VALUE: [[6d12]] PC 15 PC</x:v>
      </x:c>
    </x:row>
    <x:row r="138">
      <x:c r="E138" t="str">
        <x:v>Sort|Résurrection / Retour</x:v>
      </x:c>
      <x:c r="F138" t="str">
        <x:v>DESCRIPTIF</x:v>
      </x:c>
      <x:c r="G138" t="str"/>
      <x:c r="H138" t="str"/>
      <x:c r="I138" t="str"/>
      <x:c r="J138" t="str"/>
      <x:c r="K138" t="str"/>
      <x:c r="L138" t="n">
        <x:v>0</x:v>
      </x:c>
      <x:c r="M138" t="str"/>
      <x:c r="N138" t="str"/>
      <x:c r="P138" t="str">
        <x:v>1|Fée|Peu commune</x:v>
      </x:c>
      <x:c r="Q138" t="n">
        <x:v>81</x:v>
      </x:c>
      <x:c r="R138" t="str">
        <x:v>10d10</x:v>
      </x:c>
      <x:c r="S138" t="str">
        <x:v>PC</x:v>
      </x:c>
      <x:c r="T138" t="n">
        <x:v>0</x:v>
      </x:c>
      <x:c r="U138" t="n">
        <x:v>0</x:v>
      </x:c>
      <x:c r="V138" t="n">
        <x:v>0</x:v>
      </x:c>
      <x:c r="W138" t="n">
        <x:v>26</x:v>
      </x:c>
      <x:c r="X138" t="str">
        <x:v>VALUE: [[10d10]] PC 26 PC</x:v>
      </x:c>
    </x:row>
    <x:row r="139">
      <x:c r="P139" t="str">
        <x:v>1|Fée|Rare</x:v>
      </x:c>
      <x:c r="Q139" t="n">
        <x:v>135</x:v>
      </x:c>
      <x:c r="R139" t="str">
        <x:v>8d20</x:v>
      </x:c>
      <x:c r="S139" t="str">
        <x:v>PC</x:v>
      </x:c>
      <x:c r="T139" t="n">
        <x:v>0</x:v>
      </x:c>
      <x:c r="U139" t="n">
        <x:v>0</x:v>
      </x:c>
      <x:c r="V139" t="n">
        <x:v>0</x:v>
      </x:c>
      <x:c r="W139" t="n">
        <x:v>51</x:v>
      </x:c>
      <x:c r="X139" t="str">
        <x:v>VALUE: [[8d20]] PC 51 PC</x:v>
      </x:c>
    </x:row>
    <x:row r="140">
      <x:c r="P140" t="str">
        <x:v>1|Fée|Précieuse</x:v>
      </x:c>
      <x:c r="Q140" t="n">
        <x:v>216</x:v>
      </x:c>
      <x:c r="R140" t="str">
        <x:v>10d20</x:v>
      </x:c>
      <x:c r="S140" t="str">
        <x:v>PC</x:v>
      </x:c>
      <x:c r="T140" t="n">
        <x:v>0</x:v>
      </x:c>
      <x:c r="U140" t="n">
        <x:v>0</x:v>
      </x:c>
      <x:c r="V140" t="n">
        <x:v>1</x:v>
      </x:c>
      <x:c r="W140" t="n">
        <x:v>11</x:v>
      </x:c>
      <x:c r="X140" t="str">
        <x:v>VALUE: [[10d20]] PC 1 PA 11 PC</x:v>
      </x:c>
    </x:row>
    <x:row r="141">
      <x:c r="P141" t="str">
        <x:v>1|Fée|Exceptionnelle</x:v>
      </x:c>
      <x:c r="Q141" t="n">
        <x:v>378</x:v>
      </x:c>
      <x:c r="R141" t="str">
        <x:v>1d4</x:v>
      </x:c>
      <x:c r="S141" t="str">
        <x:v>PA</x:v>
      </x:c>
      <x:c r="T141" t="n">
        <x:v>0</x:v>
      </x:c>
      <x:c r="U141" t="n">
        <x:v>0</x:v>
      </x:c>
      <x:c r="V141" t="n">
        <x:v>1</x:v>
      </x:c>
      <x:c r="W141" t="n">
        <x:v>28</x:v>
      </x:c>
      <x:c r="X141" t="str">
        <x:v>VALUE: [[1d4]] PA 1 PA 28 PC</x:v>
      </x:c>
    </x:row>
    <x:row r="142">
      <x:c r="P142" t="str">
        <x:v>1|Démon|Commune</x:v>
      </x:c>
      <x:c r="Q142" t="n">
        <x:v>60</x:v>
      </x:c>
      <x:c r="R142" t="str">
        <x:v>4d20</x:v>
      </x:c>
      <x:c r="S142" t="str">
        <x:v>PC</x:v>
      </x:c>
      <x:c r="T142" t="n">
        <x:v>0</x:v>
      </x:c>
      <x:c r="U142" t="n">
        <x:v>0</x:v>
      </x:c>
      <x:c r="V142" t="n">
        <x:v>0</x:v>
      </x:c>
      <x:c r="W142" t="n">
        <x:v>18</x:v>
      </x:c>
      <x:c r="X142" t="str">
        <x:v>VALUE: [[4d20]] PC 18 PC</x:v>
      </x:c>
    </x:row>
    <x:row r="143">
      <x:c r="P143" t="str">
        <x:v>1|Démon|Peu commune</x:v>
      </x:c>
      <x:c r="Q143" t="n">
        <x:v>90</x:v>
      </x:c>
      <x:c r="R143" t="str">
        <x:v>6d20</x:v>
      </x:c>
      <x:c r="S143" t="str">
        <x:v>PC</x:v>
      </x:c>
      <x:c r="T143" t="n">
        <x:v>0</x:v>
      </x:c>
      <x:c r="U143" t="n">
        <x:v>0</x:v>
      </x:c>
      <x:c r="V143" t="n">
        <x:v>0</x:v>
      </x:c>
      <x:c r="W143" t="n">
        <x:v>27</x:v>
      </x:c>
      <x:c r="X143" t="str">
        <x:v>VALUE: [[6d20]] PC 27 PC</x:v>
      </x:c>
    </x:row>
    <x:row r="144">
      <x:c r="P144" t="str">
        <x:v>1|Démon|Rare</x:v>
      </x:c>
      <x:c r="Q144" t="n">
        <x:v>150</x:v>
      </x:c>
      <x:c r="R144" t="str">
        <x:v>10d20</x:v>
      </x:c>
      <x:c r="S144" t="str">
        <x:v>PC</x:v>
      </x:c>
      <x:c r="T144" t="n">
        <x:v>0</x:v>
      </x:c>
      <x:c r="U144" t="n">
        <x:v>0</x:v>
      </x:c>
      <x:c r="V144" t="n">
        <x:v>0</x:v>
      </x:c>
      <x:c r="W144" t="n">
        <x:v>45</x:v>
      </x:c>
      <x:c r="X144" t="str">
        <x:v>VALUE: [[10d20]] PC 45 PC</x:v>
      </x:c>
    </x:row>
    <x:row r="145">
      <x:c r="P145" t="str">
        <x:v>1|Démon|Précieuse</x:v>
      </x:c>
      <x:c r="Q145" t="n">
        <x:v>240</x:v>
      </x:c>
      <x:c r="R145" t="str">
        <x:v>10d20</x:v>
      </x:c>
      <x:c r="S145" t="str">
        <x:v>PC</x:v>
      </x:c>
      <x:c r="T145" t="n">
        <x:v>0</x:v>
      </x:c>
      <x:c r="U145" t="n">
        <x:v>0</x:v>
      </x:c>
      <x:c r="V145" t="n">
        <x:v>1</x:v>
      </x:c>
      <x:c r="W145" t="n">
        <x:v>35</x:v>
      </x:c>
      <x:c r="X145" t="str">
        <x:v>VALUE: [[10d20]] PC 1 PA 35 PC</x:v>
      </x:c>
    </x:row>
    <x:row r="146">
      <x:c r="P146" t="str">
        <x:v>1|Démon|Exceptionnelle</x:v>
      </x:c>
      <x:c r="Q146" t="n">
        <x:v>420</x:v>
      </x:c>
      <x:c r="R146" t="str">
        <x:v>1d4</x:v>
      </x:c>
      <x:c r="S146" t="str">
        <x:v>PA</x:v>
      </x:c>
      <x:c r="T146" t="n">
        <x:v>0</x:v>
      </x:c>
      <x:c r="U146" t="n">
        <x:v>0</x:v>
      </x:c>
      <x:c r="V146" t="n">
        <x:v>1</x:v>
      </x:c>
      <x:c r="W146" t="n">
        <x:v>70</x:v>
      </x:c>
      <x:c r="X146" t="str">
        <x:v>VALUE: [[1d4]] PA 1 PA 70 PC</x:v>
      </x:c>
    </x:row>
    <x:row r="147">
      <x:c r="P147" t="str">
        <x:v>1|Artificiel|Commune</x:v>
      </x:c>
      <x:c r="Q147" t="n">
        <x:v>60</x:v>
      </x:c>
      <x:c r="R147" t="str">
        <x:v>4d20</x:v>
      </x:c>
      <x:c r="S147" t="str">
        <x:v>PC</x:v>
      </x:c>
      <x:c r="T147" t="n">
        <x:v>0</x:v>
      </x:c>
      <x:c r="U147" t="n">
        <x:v>0</x:v>
      </x:c>
      <x:c r="V147" t="n">
        <x:v>0</x:v>
      </x:c>
      <x:c r="W147" t="n">
        <x:v>18</x:v>
      </x:c>
      <x:c r="X147" t="str">
        <x:v>VALUE: [[4d20]] PC 18 PC</x:v>
      </x:c>
    </x:row>
    <x:row r="148">
      <x:c r="P148" t="str">
        <x:v>1|Artificiel|Peu commune</x:v>
      </x:c>
      <x:c r="Q148" t="n">
        <x:v>90</x:v>
      </x:c>
      <x:c r="R148" t="str">
        <x:v>6d20</x:v>
      </x:c>
      <x:c r="S148" t="str">
        <x:v>PC</x:v>
      </x:c>
      <x:c r="T148" t="n">
        <x:v>0</x:v>
      </x:c>
      <x:c r="U148" t="n">
        <x:v>0</x:v>
      </x:c>
      <x:c r="V148" t="n">
        <x:v>0</x:v>
      </x:c>
      <x:c r="W148" t="n">
        <x:v>27</x:v>
      </x:c>
      <x:c r="X148" t="str">
        <x:v>VALUE: [[6d20]] PC 27 PC</x:v>
      </x:c>
    </x:row>
    <x:row r="149">
      <x:c r="P149" t="str">
        <x:v>1|Artificiel|Rare</x:v>
      </x:c>
      <x:c r="Q149" t="n">
        <x:v>150</x:v>
      </x:c>
      <x:c r="R149" t="str">
        <x:v>10d20</x:v>
      </x:c>
      <x:c r="S149" t="str">
        <x:v>PC</x:v>
      </x:c>
      <x:c r="T149" t="n">
        <x:v>0</x:v>
      </x:c>
      <x:c r="U149" t="n">
        <x:v>0</x:v>
      </x:c>
      <x:c r="V149" t="n">
        <x:v>0</x:v>
      </x:c>
      <x:c r="W149" t="n">
        <x:v>45</x:v>
      </x:c>
      <x:c r="X149" t="str">
        <x:v>VALUE: [[10d20]] PC 45 PC</x:v>
      </x:c>
    </x:row>
    <x:row r="150">
      <x:c r="P150" t="str">
        <x:v>1|Artificiel|Précieuse</x:v>
      </x:c>
      <x:c r="Q150" t="n">
        <x:v>240</x:v>
      </x:c>
      <x:c r="R150" t="str">
        <x:v>10d20</x:v>
      </x:c>
      <x:c r="S150" t="str">
        <x:v>PC</x:v>
      </x:c>
      <x:c r="T150" t="n">
        <x:v>0</x:v>
      </x:c>
      <x:c r="U150" t="n">
        <x:v>0</x:v>
      </x:c>
      <x:c r="V150" t="n">
        <x:v>1</x:v>
      </x:c>
      <x:c r="W150" t="n">
        <x:v>35</x:v>
      </x:c>
      <x:c r="X150" t="str">
        <x:v>VALUE: [[10d20]] PC 1 PA 35 PC</x:v>
      </x:c>
    </x:row>
    <x:row r="151">
      <x:c r="P151" t="str">
        <x:v>1|Artificiel|Exceptionnelle</x:v>
      </x:c>
      <x:c r="Q151" t="n">
        <x:v>420</x:v>
      </x:c>
      <x:c r="R151" t="str">
        <x:v>1d4</x:v>
      </x:c>
      <x:c r="S151" t="str">
        <x:v>PA</x:v>
      </x:c>
      <x:c r="T151" t="n">
        <x:v>0</x:v>
      </x:c>
      <x:c r="U151" t="n">
        <x:v>0</x:v>
      </x:c>
      <x:c r="V151" t="n">
        <x:v>1</x:v>
      </x:c>
      <x:c r="W151" t="n">
        <x:v>70</x:v>
      </x:c>
      <x:c r="X151" t="str">
        <x:v>VALUE: [[1d4]] PA 1 PA 70 PC</x:v>
      </x:c>
    </x:row>
    <x:row r="152">
      <x:c r="P152" t="str">
        <x:v>1|Élémentaire|Commune</x:v>
      </x:c>
      <x:c r="Q152" t="n">
        <x:v>75</x:v>
      </x:c>
      <x:c r="R152" t="str">
        <x:v>8d12</x:v>
      </x:c>
      <x:c r="S152" t="str">
        <x:v>PC</x:v>
      </x:c>
      <x:c r="T152" t="n">
        <x:v>0</x:v>
      </x:c>
      <x:c r="U152" t="n">
        <x:v>0</x:v>
      </x:c>
      <x:c r="V152" t="n">
        <x:v>0</x:v>
      </x:c>
      <x:c r="W152" t="n">
        <x:v>23</x:v>
      </x:c>
      <x:c r="X152" t="str">
        <x:v>VALUE: [[8d12]] PC 23 PC</x:v>
      </x:c>
    </x:row>
    <x:row r="153">
      <x:c r="P153" t="str">
        <x:v>1|Élémentaire|Peu commune</x:v>
      </x:c>
      <x:c r="Q153" t="n">
        <x:v>112</x:v>
      </x:c>
      <x:c r="R153" t="str">
        <x:v>8d20</x:v>
      </x:c>
      <x:c r="S153" t="str">
        <x:v>PC</x:v>
      </x:c>
      <x:c r="T153" t="n">
        <x:v>0</x:v>
      </x:c>
      <x:c r="U153" t="n">
        <x:v>0</x:v>
      </x:c>
      <x:c r="V153" t="n">
        <x:v>0</x:v>
      </x:c>
      <x:c r="W153" t="n">
        <x:v>28</x:v>
      </x:c>
      <x:c r="X153" t="str">
        <x:v>VALUE: [[8d20]] PC 28 PC</x:v>
      </x:c>
    </x:row>
    <x:row r="154">
      <x:c r="P154" t="str">
        <x:v>1|Élémentaire|Rare</x:v>
      </x:c>
      <x:c r="Q154" t="n">
        <x:v>188</x:v>
      </x:c>
      <x:c r="R154" t="str">
        <x:v>10d20</x:v>
      </x:c>
      <x:c r="S154" t="str">
        <x:v>PC</x:v>
      </x:c>
      <x:c r="T154" t="n">
        <x:v>0</x:v>
      </x:c>
      <x:c r="U154" t="n">
        <x:v>0</x:v>
      </x:c>
      <x:c r="V154" t="n">
        <x:v>0</x:v>
      </x:c>
      <x:c r="W154" t="n">
        <x:v>83</x:v>
      </x:c>
      <x:c r="X154" t="str">
        <x:v>VALUE: [[10d20]] PC 83 PC</x:v>
      </x:c>
    </x:row>
    <x:row r="155">
      <x:c r="P155" t="str">
        <x:v>1|Élémentaire|Précieuse</x:v>
      </x:c>
      <x:c r="Q155" t="n">
        <x:v>300</x:v>
      </x:c>
      <x:c r="R155" t="str">
        <x:v>1d4</x:v>
      </x:c>
      <x:c r="S155" t="str">
        <x:v>PA</x:v>
      </x:c>
      <x:c r="T155" t="n">
        <x:v>0</x:v>
      </x:c>
      <x:c r="U155" t="n">
        <x:v>0</x:v>
      </x:c>
      <x:c r="V155" t="n">
        <x:v>0</x:v>
      </x:c>
      <x:c r="W155" t="n">
        <x:v>50</x:v>
      </x:c>
      <x:c r="X155" t="str">
        <x:v>VALUE: [[1d4]] PA 50 PC</x:v>
      </x:c>
    </x:row>
    <x:row r="156">
      <x:c r="P156" t="str">
        <x:v>1|Élémentaire|Exceptionnelle</x:v>
      </x:c>
      <x:c r="Q156" t="n">
        <x:v>525</x:v>
      </x:c>
      <x:c r="R156" t="str">
        <x:v>1d6</x:v>
      </x:c>
      <x:c r="S156" t="str">
        <x:v>PA</x:v>
      </x:c>
      <x:c r="T156" t="n">
        <x:v>0</x:v>
      </x:c>
      <x:c r="U156" t="n">
        <x:v>0</x:v>
      </x:c>
      <x:c r="V156" t="n">
        <x:v>1</x:v>
      </x:c>
      <x:c r="W156" t="n">
        <x:v>75</x:v>
      </x:c>
      <x:c r="X156" t="str">
        <x:v>VALUE: [[1d6]] PA 1 PA 75 PC</x:v>
      </x:c>
    </x:row>
    <x:row r="157">
      <x:c r="P157" t="str">
        <x:v>1|Esprit|Commune</x:v>
      </x:c>
      <x:c r="Q157" t="n">
        <x:v>75</x:v>
      </x:c>
      <x:c r="R157" t="str">
        <x:v>8d12</x:v>
      </x:c>
      <x:c r="S157" t="str">
        <x:v>PC</x:v>
      </x:c>
      <x:c r="T157" t="n">
        <x:v>0</x:v>
      </x:c>
      <x:c r="U157" t="n">
        <x:v>0</x:v>
      </x:c>
      <x:c r="V157" t="n">
        <x:v>0</x:v>
      </x:c>
      <x:c r="W157" t="n">
        <x:v>23</x:v>
      </x:c>
      <x:c r="X157" t="str">
        <x:v>VALUE: [[8d12]] PC 23 PC</x:v>
      </x:c>
    </x:row>
    <x:row r="158">
      <x:c r="P158" t="str">
        <x:v>1|Esprit|Peu commune</x:v>
      </x:c>
      <x:c r="Q158" t="n">
        <x:v>112</x:v>
      </x:c>
      <x:c r="R158" t="str">
        <x:v>8d20</x:v>
      </x:c>
      <x:c r="S158" t="str">
        <x:v>PC</x:v>
      </x:c>
      <x:c r="T158" t="n">
        <x:v>0</x:v>
      </x:c>
      <x:c r="U158" t="n">
        <x:v>0</x:v>
      </x:c>
      <x:c r="V158" t="n">
        <x:v>0</x:v>
      </x:c>
      <x:c r="W158" t="n">
        <x:v>28</x:v>
      </x:c>
      <x:c r="X158" t="str">
        <x:v>VALUE: [[8d20]] PC 28 PC</x:v>
      </x:c>
    </x:row>
    <x:row r="159">
      <x:c r="P159" t="str">
        <x:v>1|Esprit|Rare</x:v>
      </x:c>
      <x:c r="Q159" t="n">
        <x:v>188</x:v>
      </x:c>
      <x:c r="R159" t="str">
        <x:v>10d20</x:v>
      </x:c>
      <x:c r="S159" t="str">
        <x:v>PC</x:v>
      </x:c>
      <x:c r="T159" t="n">
        <x:v>0</x:v>
      </x:c>
      <x:c r="U159" t="n">
        <x:v>0</x:v>
      </x:c>
      <x:c r="V159" t="n">
        <x:v>0</x:v>
      </x:c>
      <x:c r="W159" t="n">
        <x:v>83</x:v>
      </x:c>
      <x:c r="X159" t="str">
        <x:v>VALUE: [[10d20]] PC 83 PC</x:v>
      </x:c>
    </x:row>
    <x:row r="160">
      <x:c r="P160" t="str">
        <x:v>1|Esprit|Précieuse</x:v>
      </x:c>
      <x:c r="Q160" t="n">
        <x:v>300</x:v>
      </x:c>
      <x:c r="R160" t="str">
        <x:v>1d4</x:v>
      </x:c>
      <x:c r="S160" t="str">
        <x:v>PA</x:v>
      </x:c>
      <x:c r="T160" t="n">
        <x:v>0</x:v>
      </x:c>
      <x:c r="U160" t="n">
        <x:v>0</x:v>
      </x:c>
      <x:c r="V160" t="n">
        <x:v>0</x:v>
      </x:c>
      <x:c r="W160" t="n">
        <x:v>50</x:v>
      </x:c>
      <x:c r="X160" t="str">
        <x:v>VALUE: [[1d4]] PA 50 PC</x:v>
      </x:c>
    </x:row>
    <x:row r="161">
      <x:c r="P161" t="str">
        <x:v>1|Esprit|Exceptionnelle</x:v>
      </x:c>
      <x:c r="Q161" t="n">
        <x:v>525</x:v>
      </x:c>
      <x:c r="R161" t="str">
        <x:v>1d6</x:v>
      </x:c>
      <x:c r="S161" t="str">
        <x:v>PA</x:v>
      </x:c>
      <x:c r="T161" t="n">
        <x:v>0</x:v>
      </x:c>
      <x:c r="U161" t="n">
        <x:v>0</x:v>
      </x:c>
      <x:c r="V161" t="n">
        <x:v>1</x:v>
      </x:c>
      <x:c r="W161" t="n">
        <x:v>75</x:v>
      </x:c>
      <x:c r="X161" t="str">
        <x:v>VALUE: [[1d6]] PA 1 PA 75 PC</x:v>
      </x:c>
    </x:row>
    <x:row r="162">
      <x:c r="P162" t="str">
        <x:v>1|Céleste|Commune</x:v>
      </x:c>
      <x:c r="Q162" t="n">
        <x:v>90</x:v>
      </x:c>
      <x:c r="R162" t="str">
        <x:v>6d20</x:v>
      </x:c>
      <x:c r="S162" t="str">
        <x:v>PC</x:v>
      </x:c>
      <x:c r="T162" t="n">
        <x:v>0</x:v>
      </x:c>
      <x:c r="U162" t="n">
        <x:v>0</x:v>
      </x:c>
      <x:c r="V162" t="n">
        <x:v>0</x:v>
      </x:c>
      <x:c r="W162" t="n">
        <x:v>27</x:v>
      </x:c>
      <x:c r="X162" t="str">
        <x:v>VALUE: [[6d20]] PC 27 PC</x:v>
      </x:c>
    </x:row>
    <x:row r="163">
      <x:c r="P163" t="str">
        <x:v>1|Céleste|Peu commune</x:v>
      </x:c>
      <x:c r="Q163" t="n">
        <x:v>135</x:v>
      </x:c>
      <x:c r="R163" t="str">
        <x:v>8d20</x:v>
      </x:c>
      <x:c r="S163" t="str">
        <x:v>PC</x:v>
      </x:c>
      <x:c r="T163" t="n">
        <x:v>0</x:v>
      </x:c>
      <x:c r="U163" t="n">
        <x:v>0</x:v>
      </x:c>
      <x:c r="V163" t="n">
        <x:v>0</x:v>
      </x:c>
      <x:c r="W163" t="n">
        <x:v>51</x:v>
      </x:c>
      <x:c r="X163" t="str">
        <x:v>VALUE: [[8d20]] PC 51 PC</x:v>
      </x:c>
    </x:row>
    <x:row r="164">
      <x:c r="P164" t="str">
        <x:v>1|Céleste|Rare</x:v>
      </x:c>
      <x:c r="Q164" t="n">
        <x:v>225</x:v>
      </x:c>
      <x:c r="R164" t="str">
        <x:v>10d20</x:v>
      </x:c>
      <x:c r="S164" t="str">
        <x:v>PC</x:v>
      </x:c>
      <x:c r="T164" t="n">
        <x:v>0</x:v>
      </x:c>
      <x:c r="U164" t="n">
        <x:v>0</x:v>
      </x:c>
      <x:c r="V164" t="n">
        <x:v>1</x:v>
      </x:c>
      <x:c r="W164" t="n">
        <x:v>20</x:v>
      </x:c>
      <x:c r="X164" t="str">
        <x:v>VALUE: [[10d20]] PC 1 PA 20 PC</x:v>
      </x:c>
    </x:row>
    <x:row r="165">
      <x:c r="P165" t="str">
        <x:v>1|Céleste|Précieuse</x:v>
      </x:c>
      <x:c r="Q165" t="n">
        <x:v>360</x:v>
      </x:c>
      <x:c r="R165" t="str">
        <x:v>1d4</x:v>
      </x:c>
      <x:c r="S165" t="str">
        <x:v>PA</x:v>
      </x:c>
      <x:c r="T165" t="n">
        <x:v>0</x:v>
      </x:c>
      <x:c r="U165" t="n">
        <x:v>0</x:v>
      </x:c>
      <x:c r="V165" t="n">
        <x:v>1</x:v>
      </x:c>
      <x:c r="W165" t="n">
        <x:v>10</x:v>
      </x:c>
      <x:c r="X165" t="str">
        <x:v>VALUE: [[1d4]] PA 1 PA 10 PC</x:v>
      </x:c>
    </x:row>
    <x:row r="166">
      <x:c r="P166" t="str">
        <x:v>1|Céleste|Exceptionnelle</x:v>
      </x:c>
      <x:c r="Q166" t="n">
        <x:v>630</x:v>
      </x:c>
      <x:c r="R166" t="str">
        <x:v>1d8</x:v>
      </x:c>
      <x:c r="S166" t="str">
        <x:v>PA</x:v>
      </x:c>
      <x:c r="T166" t="n">
        <x:v>0</x:v>
      </x:c>
      <x:c r="U166" t="n">
        <x:v>0</x:v>
      </x:c>
      <x:c r="V166" t="n">
        <x:v>1</x:v>
      </x:c>
      <x:c r="W166" t="n">
        <x:v>80</x:v>
      </x:c>
      <x:c r="X166" t="str">
        <x:v>VALUE: [[1d8]] PA 1 PA 80 PC</x:v>
      </x:c>
    </x:row>
    <x:row r="167">
      <x:c r="P167" t="str">
        <x:v>1|Dragon|Commune</x:v>
      </x:c>
      <x:c r="Q167" t="n">
        <x:v>150</x:v>
      </x:c>
      <x:c r="R167" t="str">
        <x:v>10d20</x:v>
      </x:c>
      <x:c r="S167" t="str">
        <x:v>PC</x:v>
      </x:c>
      <x:c r="T167" t="n">
        <x:v>0</x:v>
      </x:c>
      <x:c r="U167" t="n">
        <x:v>0</x:v>
      </x:c>
      <x:c r="V167" t="n">
        <x:v>0</x:v>
      </x:c>
      <x:c r="W167" t="n">
        <x:v>45</x:v>
      </x:c>
      <x:c r="X167" t="str">
        <x:v>VALUE: [[10d20]] PC 45 PC</x:v>
      </x:c>
    </x:row>
    <x:row r="168">
      <x:c r="P168" t="str">
        <x:v>1|Dragon|Peu commune</x:v>
      </x:c>
      <x:c r="Q168" t="n">
        <x:v>225</x:v>
      </x:c>
      <x:c r="R168" t="str">
        <x:v>10d20</x:v>
      </x:c>
      <x:c r="S168" t="str">
        <x:v>PC</x:v>
      </x:c>
      <x:c r="T168" t="n">
        <x:v>0</x:v>
      </x:c>
      <x:c r="U168" t="n">
        <x:v>0</x:v>
      </x:c>
      <x:c r="V168" t="n">
        <x:v>1</x:v>
      </x:c>
      <x:c r="W168" t="n">
        <x:v>20</x:v>
      </x:c>
      <x:c r="X168" t="str">
        <x:v>VALUE: [[10d20]] PC 1 PA 20 PC</x:v>
      </x:c>
    </x:row>
    <x:row r="169">
      <x:c r="P169" t="str">
        <x:v>1|Dragon|Rare</x:v>
      </x:c>
      <x:c r="Q169" t="n">
        <x:v>375</x:v>
      </x:c>
      <x:c r="R169" t="str">
        <x:v>1d4</x:v>
      </x:c>
      <x:c r="S169" t="str">
        <x:v>PA</x:v>
      </x:c>
      <x:c r="T169" t="n">
        <x:v>0</x:v>
      </x:c>
      <x:c r="U169" t="n">
        <x:v>0</x:v>
      </x:c>
      <x:c r="V169" t="n">
        <x:v>1</x:v>
      </x:c>
      <x:c r="W169" t="n">
        <x:v>25</x:v>
      </x:c>
      <x:c r="X169" t="str">
        <x:v>VALUE: [[1d4]] PA 1 PA 25 PC</x:v>
      </x:c>
    </x:row>
    <x:row r="170">
      <x:c r="P170" t="str">
        <x:v>1|Dragon|Précieuse</x:v>
      </x:c>
      <x:c r="Q170" t="n">
        <x:v>600</x:v>
      </x:c>
      <x:c r="R170" t="str">
        <x:v>1d8</x:v>
      </x:c>
      <x:c r="S170" t="str">
        <x:v>PA</x:v>
      </x:c>
      <x:c r="T170" t="n">
        <x:v>0</x:v>
      </x:c>
      <x:c r="U170" t="n">
        <x:v>0</x:v>
      </x:c>
      <x:c r="V170" t="n">
        <x:v>1</x:v>
      </x:c>
      <x:c r="W170" t="n">
        <x:v>50</x:v>
      </x:c>
      <x:c r="X170" t="str">
        <x:v>VALUE: [[1d8]] PA 1 PA 50 PC</x:v>
      </x:c>
    </x:row>
    <x:row r="171">
      <x:c r="P171" t="str">
        <x:v>1|Dragon|Exceptionnelle</x:v>
      </x:c>
      <x:c r="Q171" t="n">
        <x:v>1050</x:v>
      </x:c>
      <x:c r="R171" t="str">
        <x:v>3d4</x:v>
      </x:c>
      <x:c r="S171" t="str">
        <x:v>PA</x:v>
      </x:c>
      <x:c r="T171" t="n">
        <x:v>0</x:v>
      </x:c>
      <x:c r="U171" t="n">
        <x:v>0</x:v>
      </x:c>
      <x:c r="V171" t="n">
        <x:v>3</x:v>
      </x:c>
      <x:c r="W171" t="n">
        <x:v>0</x:v>
      </x:c>
      <x:c r="X171" t="str">
        <x:v>VALUE: [[3d4]] PA 3 PA</x:v>
      </x:c>
    </x:row>
    <x:row r="172">
      <x:c r="P172" t="str">
        <x:v>2|Vermine|Commune</x:v>
      </x:c>
      <x:c r="Q172" t="n">
        <x:v>18</x:v>
      </x:c>
      <x:c r="R172" t="str">
        <x:v>2d12</x:v>
      </x:c>
      <x:c r="S172" t="str">
        <x:v>PC</x:v>
      </x:c>
      <x:c r="T172" t="n">
        <x:v>0</x:v>
      </x:c>
      <x:c r="U172" t="n">
        <x:v>0</x:v>
      </x:c>
      <x:c r="V172" t="n">
        <x:v>0</x:v>
      </x:c>
      <x:c r="W172" t="n">
        <x:v>5</x:v>
      </x:c>
      <x:c r="X172" t="str">
        <x:v>VALUE: [[2d12]] PC 5 PC</x:v>
      </x:c>
    </x:row>
    <x:row r="173">
      <x:c r="P173" t="str">
        <x:v>2|Vermine|Peu commune</x:v>
      </x:c>
      <x:c r="Q173" t="n">
        <x:v>26</x:v>
      </x:c>
      <x:c r="R173" t="str">
        <x:v>4d8</x:v>
      </x:c>
      <x:c r="S173" t="str">
        <x:v>PC</x:v>
      </x:c>
      <x:c r="T173" t="n">
        <x:v>0</x:v>
      </x:c>
      <x:c r="U173" t="n">
        <x:v>0</x:v>
      </x:c>
      <x:c r="V173" t="n">
        <x:v>0</x:v>
      </x:c>
      <x:c r="W173" t="n">
        <x:v>8</x:v>
      </x:c>
      <x:c r="X173" t="str">
        <x:v>VALUE: [[4d8]] PC 8 PC</x:v>
      </x:c>
    </x:row>
    <x:row r="174">
      <x:c r="P174" t="str">
        <x:v>2|Vermine|Rare</x:v>
      </x:c>
      <x:c r="Q174" t="n">
        <x:v>44</x:v>
      </x:c>
      <x:c r="R174" t="str">
        <x:v>6d10</x:v>
      </x:c>
      <x:c r="S174" t="str">
        <x:v>PC</x:v>
      </x:c>
      <x:c r="T174" t="n">
        <x:v>0</x:v>
      </x:c>
      <x:c r="U174" t="n">
        <x:v>0</x:v>
      </x:c>
      <x:c r="V174" t="n">
        <x:v>0</x:v>
      </x:c>
      <x:c r="W174" t="n">
        <x:v>11</x:v>
      </x:c>
      <x:c r="X174" t="str">
        <x:v>VALUE: [[6d10]] PC 11 PC</x:v>
      </x:c>
    </x:row>
    <x:row r="175">
      <x:c r="P175" t="str">
        <x:v>2|Vermine|Précieuse</x:v>
      </x:c>
      <x:c r="Q175" t="n">
        <x:v>70</x:v>
      </x:c>
      <x:c r="R175" t="str">
        <x:v>8d12</x:v>
      </x:c>
      <x:c r="S175" t="str">
        <x:v>PC</x:v>
      </x:c>
      <x:c r="T175" t="n">
        <x:v>0</x:v>
      </x:c>
      <x:c r="U175" t="n">
        <x:v>0</x:v>
      </x:c>
      <x:c r="V175" t="n">
        <x:v>0</x:v>
      </x:c>
      <x:c r="W175" t="n">
        <x:v>18</x:v>
      </x:c>
      <x:c r="X175" t="str">
        <x:v>VALUE: [[8d12]] PC 18 PC</x:v>
      </x:c>
    </x:row>
    <x:row r="176">
      <x:c r="P176" t="str">
        <x:v>2|Vermine|Exceptionnelle</x:v>
      </x:c>
      <x:c r="Q176" t="n">
        <x:v>122</x:v>
      </x:c>
      <x:c r="R176" t="str">
        <x:v>8d20</x:v>
      </x:c>
      <x:c r="S176" t="str">
        <x:v>PC</x:v>
      </x:c>
      <x:c r="T176" t="n">
        <x:v>0</x:v>
      </x:c>
      <x:c r="U176" t="n">
        <x:v>0</x:v>
      </x:c>
      <x:c r="V176" t="n">
        <x:v>0</x:v>
      </x:c>
      <x:c r="W176" t="n">
        <x:v>38</x:v>
      </x:c>
      <x:c r="X176" t="str">
        <x:v>VALUE: [[8d20]] PC 38 PC</x:v>
      </x:c>
    </x:row>
    <x:row r="177">
      <x:c r="P177" t="str">
        <x:v>2|Bête|Commune</x:v>
      </x:c>
      <x:c r="Q177" t="n">
        <x:v>30</x:v>
      </x:c>
      <x:c r="R177" t="str">
        <x:v>2d20</x:v>
      </x:c>
      <x:c r="S177" t="str">
        <x:v>PC</x:v>
      </x:c>
      <x:c r="T177" t="n">
        <x:v>0</x:v>
      </x:c>
      <x:c r="U177" t="n">
        <x:v>0</x:v>
      </x:c>
      <x:c r="V177" t="n">
        <x:v>0</x:v>
      </x:c>
      <x:c r="W177" t="n">
        <x:v>9</x:v>
      </x:c>
      <x:c r="X177" t="str">
        <x:v>VALUE: [[2d20]] PC 9 PC</x:v>
      </x:c>
    </x:row>
    <x:row r="178">
      <x:c r="P178" t="str">
        <x:v>2|Bête|Peu commune</x:v>
      </x:c>
      <x:c r="Q178" t="n">
        <x:v>45</x:v>
      </x:c>
      <x:c r="R178" t="str">
        <x:v>6d10</x:v>
      </x:c>
      <x:c r="S178" t="str">
        <x:v>PC</x:v>
      </x:c>
      <x:c r="T178" t="n">
        <x:v>0</x:v>
      </x:c>
      <x:c r="U178" t="n">
        <x:v>0</x:v>
      </x:c>
      <x:c r="V178" t="n">
        <x:v>0</x:v>
      </x:c>
      <x:c r="W178" t="n">
        <x:v>12</x:v>
      </x:c>
      <x:c r="X178" t="str">
        <x:v>VALUE: [[6d10]] PC 12 PC</x:v>
      </x:c>
    </x:row>
    <x:row r="179">
      <x:c r="P179" t="str">
        <x:v>2|Bête|Rare</x:v>
      </x:c>
      <x:c r="Q179" t="n">
        <x:v>75</x:v>
      </x:c>
      <x:c r="R179" t="str">
        <x:v>8d12</x:v>
      </x:c>
      <x:c r="S179" t="str">
        <x:v>PC</x:v>
      </x:c>
      <x:c r="T179" t="n">
        <x:v>0</x:v>
      </x:c>
      <x:c r="U179" t="n">
        <x:v>0</x:v>
      </x:c>
      <x:c r="V179" t="n">
        <x:v>0</x:v>
      </x:c>
      <x:c r="W179" t="n">
        <x:v>23</x:v>
      </x:c>
      <x:c r="X179" t="str">
        <x:v>VALUE: [[8d12]] PC 23 PC</x:v>
      </x:c>
    </x:row>
    <x:row r="180">
      <x:c r="P180" t="str">
        <x:v>2|Bête|Précieuse</x:v>
      </x:c>
      <x:c r="Q180" t="n">
        <x:v>120</x:v>
      </x:c>
      <x:c r="R180" t="str">
        <x:v>8d20</x:v>
      </x:c>
      <x:c r="S180" t="str">
        <x:v>PC</x:v>
      </x:c>
      <x:c r="T180" t="n">
        <x:v>0</x:v>
      </x:c>
      <x:c r="U180" t="n">
        <x:v>0</x:v>
      </x:c>
      <x:c r="V180" t="n">
        <x:v>0</x:v>
      </x:c>
      <x:c r="W180" t="n">
        <x:v>36</x:v>
      </x:c>
      <x:c r="X180" t="str">
        <x:v>VALUE: [[8d20]] PC 36 PC</x:v>
      </x:c>
    </x:row>
    <x:row r="181">
      <x:c r="P181" t="str">
        <x:v>2|Bête|Exceptionnelle</x:v>
      </x:c>
      <x:c r="Q181" t="n">
        <x:v>210</x:v>
      </x:c>
      <x:c r="R181" t="str">
        <x:v>10d20</x:v>
      </x:c>
      <x:c r="S181" t="str">
        <x:v>PC</x:v>
      </x:c>
      <x:c r="T181" t="n">
        <x:v>0</x:v>
      </x:c>
      <x:c r="U181" t="n">
        <x:v>0</x:v>
      </x:c>
      <x:c r="V181" t="n">
        <x:v>1</x:v>
      </x:c>
      <x:c r="W181" t="n">
        <x:v>5</x:v>
      </x:c>
      <x:c r="X181" t="str">
        <x:v>VALUE: [[10d20]] PC 1 PA 5 PC</x:v>
      </x:c>
    </x:row>
    <x:row r="182">
      <x:c r="P182" t="str">
        <x:v>2|Aquatique|Commune</x:v>
      </x:c>
      <x:c r="Q182" t="n">
        <x:v>35</x:v>
      </x:c>
      <x:c r="R182" t="str">
        <x:v>10d4</x:v>
      </x:c>
      <x:c r="S182" t="str">
        <x:v>PC</x:v>
      </x:c>
      <x:c r="T182" t="n">
        <x:v>0</x:v>
      </x:c>
      <x:c r="U182" t="n">
        <x:v>0</x:v>
      </x:c>
      <x:c r="V182" t="n">
        <x:v>0</x:v>
      </x:c>
      <x:c r="W182" t="n">
        <x:v>10</x:v>
      </x:c>
      <x:c r="X182" t="str">
        <x:v>VALUE: [[10d4]] PC 10 PC</x:v>
      </x:c>
    </x:row>
    <x:row r="183">
      <x:c r="P183" t="str">
        <x:v>2|Aquatique|Peu commune</x:v>
      </x:c>
      <x:c r="Q183" t="n">
        <x:v>52</x:v>
      </x:c>
      <x:c r="R183" t="str">
        <x:v>8d8</x:v>
      </x:c>
      <x:c r="S183" t="str">
        <x:v>PC</x:v>
      </x:c>
      <x:c r="T183" t="n">
        <x:v>0</x:v>
      </x:c>
      <x:c r="U183" t="n">
        <x:v>0</x:v>
      </x:c>
      <x:c r="V183" t="n">
        <x:v>0</x:v>
      </x:c>
      <x:c r="W183" t="n">
        <x:v>16</x:v>
      </x:c>
      <x:c r="X183" t="str">
        <x:v>VALUE: [[8d8]] PC 16 PC</x:v>
      </x:c>
    </x:row>
    <x:row r="184">
      <x:c r="P184" t="str">
        <x:v>2|Aquatique|Rare</x:v>
      </x:c>
      <x:c r="Q184" t="n">
        <x:v>88</x:v>
      </x:c>
      <x:c r="R184" t="str">
        <x:v>6d20</x:v>
      </x:c>
      <x:c r="S184" t="str">
        <x:v>PC</x:v>
      </x:c>
      <x:c r="T184" t="n">
        <x:v>0</x:v>
      </x:c>
      <x:c r="U184" t="n">
        <x:v>0</x:v>
      </x:c>
      <x:c r="V184" t="n">
        <x:v>0</x:v>
      </x:c>
      <x:c r="W184" t="n">
        <x:v>25</x:v>
      </x:c>
      <x:c r="X184" t="str">
        <x:v>VALUE: [[6d20]] PC 25 PC</x:v>
      </x:c>
    </x:row>
    <x:row r="185">
      <x:c r="P185" t="str">
        <x:v>2|Aquatique|Précieuse</x:v>
      </x:c>
      <x:c r="Q185" t="n">
        <x:v>140</x:v>
      </x:c>
      <x:c r="R185" t="str">
        <x:v>10d20</x:v>
      </x:c>
      <x:c r="S185" t="str">
        <x:v>PC</x:v>
      </x:c>
      <x:c r="T185" t="n">
        <x:v>0</x:v>
      </x:c>
      <x:c r="U185" t="n">
        <x:v>0</x:v>
      </x:c>
      <x:c r="V185" t="n">
        <x:v>0</x:v>
      </x:c>
      <x:c r="W185" t="n">
        <x:v>35</x:v>
      </x:c>
      <x:c r="X185" t="str">
        <x:v>VALUE: [[10d20]] PC 35 PC</x:v>
      </x:c>
    </x:row>
    <x:row r="186">
      <x:c r="P186" t="str">
        <x:v>2|Aquatique|Exceptionnelle</x:v>
      </x:c>
      <x:c r="Q186" t="n">
        <x:v>245</x:v>
      </x:c>
      <x:c r="R186" t="str">
        <x:v>10d20</x:v>
      </x:c>
      <x:c r="S186" t="str">
        <x:v>PC</x:v>
      </x:c>
      <x:c r="T186" t="n">
        <x:v>0</x:v>
      </x:c>
      <x:c r="U186" t="n">
        <x:v>0</x:v>
      </x:c>
      <x:c r="V186" t="n">
        <x:v>1</x:v>
      </x:c>
      <x:c r="W186" t="n">
        <x:v>40</x:v>
      </x:c>
      <x:c r="X186" t="str">
        <x:v>VALUE: [[10d20]] PC 1 PA 40 PC</x:v>
      </x:c>
    </x:row>
    <x:row r="187">
      <x:c r="P187" t="str">
        <x:v>2|Plante|Commune</x:v>
      </x:c>
      <x:c r="Q187" t="n">
        <x:v>40</x:v>
      </x:c>
      <x:c r="R187" t="str">
        <x:v>8d6</x:v>
      </x:c>
      <x:c r="S187" t="str">
        <x:v>PC</x:v>
      </x:c>
      <x:c r="T187" t="n">
        <x:v>0</x:v>
      </x:c>
      <x:c r="U187" t="n">
        <x:v>0</x:v>
      </x:c>
      <x:c r="V187" t="n">
        <x:v>0</x:v>
      </x:c>
      <x:c r="W187" t="n">
        <x:v>12</x:v>
      </x:c>
      <x:c r="X187" t="str">
        <x:v>VALUE: [[8d6]] PC 12 PC</x:v>
      </x:c>
    </x:row>
    <x:row r="188">
      <x:c r="P188" t="str">
        <x:v>2|Plante|Peu commune</x:v>
      </x:c>
      <x:c r="Q188" t="n">
        <x:v>60</x:v>
      </x:c>
      <x:c r="R188" t="str">
        <x:v>4d20</x:v>
      </x:c>
      <x:c r="S188" t="str">
        <x:v>PC</x:v>
      </x:c>
      <x:c r="T188" t="n">
        <x:v>0</x:v>
      </x:c>
      <x:c r="U188" t="n">
        <x:v>0</x:v>
      </x:c>
      <x:c r="V188" t="n">
        <x:v>0</x:v>
      </x:c>
      <x:c r="W188" t="n">
        <x:v>18</x:v>
      </x:c>
      <x:c r="X188" t="str">
        <x:v>VALUE: [[4d20]] PC 18 PC</x:v>
      </x:c>
    </x:row>
    <x:row r="189">
      <x:c r="P189" t="str">
        <x:v>2|Plante|Rare</x:v>
      </x:c>
      <x:c r="Q189" t="n">
        <x:v>100</x:v>
      </x:c>
      <x:c r="R189" t="str">
        <x:v>10d12</x:v>
      </x:c>
      <x:c r="S189" t="str">
        <x:v>PC</x:v>
      </x:c>
      <x:c r="T189" t="n">
        <x:v>0</x:v>
      </x:c>
      <x:c r="U189" t="n">
        <x:v>0</x:v>
      </x:c>
      <x:c r="V189" t="n">
        <x:v>0</x:v>
      </x:c>
      <x:c r="W189" t="n">
        <x:v>35</x:v>
      </x:c>
      <x:c r="X189" t="str">
        <x:v>VALUE: [[10d12]] PC 35 PC</x:v>
      </x:c>
    </x:row>
    <x:row r="190">
      <x:c r="P190" t="str">
        <x:v>2|Plante|Précieuse</x:v>
      </x:c>
      <x:c r="Q190" t="n">
        <x:v>160</x:v>
      </x:c>
      <x:c r="R190" t="str">
        <x:v>10d20</x:v>
      </x:c>
      <x:c r="S190" t="str">
        <x:v>PC</x:v>
      </x:c>
      <x:c r="T190" t="n">
        <x:v>0</x:v>
      </x:c>
      <x:c r="U190" t="n">
        <x:v>0</x:v>
      </x:c>
      <x:c r="V190" t="n">
        <x:v>0</x:v>
      </x:c>
      <x:c r="W190" t="n">
        <x:v>55</x:v>
      </x:c>
      <x:c r="X190" t="str">
        <x:v>VALUE: [[10d20]] PC 55 PC</x:v>
      </x:c>
    </x:row>
    <x:row r="191">
      <x:c r="P191" t="str">
        <x:v>2|Plante|Exceptionnelle</x:v>
      </x:c>
      <x:c r="Q191" t="n">
        <x:v>280</x:v>
      </x:c>
      <x:c r="R191" t="str">
        <x:v>1d4</x:v>
      </x:c>
      <x:c r="S191" t="str">
        <x:v>PA</x:v>
      </x:c>
      <x:c r="T191" t="n">
        <x:v>0</x:v>
      </x:c>
      <x:c r="U191" t="n">
        <x:v>0</x:v>
      </x:c>
      <x:c r="V191" t="n">
        <x:v>0</x:v>
      </x:c>
      <x:c r="W191" t="n">
        <x:v>30</x:v>
      </x:c>
      <x:c r="X191" t="str">
        <x:v>VALUE: [[1d4]] PA 30 PC</x:v>
      </x:c>
    </x:row>
    <x:row r="192">
      <x:c r="P192" t="str">
        <x:v>2|Humanoïde|Commune</x:v>
      </x:c>
      <x:c r="Q192" t="n">
        <x:v>50</x:v>
      </x:c>
      <x:c r="R192" t="str">
        <x:v>10d6</x:v>
      </x:c>
      <x:c r="S192" t="str">
        <x:v>PC</x:v>
      </x:c>
      <x:c r="T192" t="n">
        <x:v>0</x:v>
      </x:c>
      <x:c r="U192" t="n">
        <x:v>0</x:v>
      </x:c>
      <x:c r="V192" t="n">
        <x:v>0</x:v>
      </x:c>
      <x:c r="W192" t="n">
        <x:v>15</x:v>
      </x:c>
      <x:c r="X192" t="str">
        <x:v>VALUE: [[10d6]] PC 15 PC</x:v>
      </x:c>
    </x:row>
    <x:row r="193">
      <x:c r="P193" t="str">
        <x:v>2|Humanoïde|Peu commune</x:v>
      </x:c>
      <x:c r="Q193" t="n">
        <x:v>75</x:v>
      </x:c>
      <x:c r="R193" t="str">
        <x:v>8d12</x:v>
      </x:c>
      <x:c r="S193" t="str">
        <x:v>PC</x:v>
      </x:c>
      <x:c r="T193" t="n">
        <x:v>0</x:v>
      </x:c>
      <x:c r="U193" t="n">
        <x:v>0</x:v>
      </x:c>
      <x:c r="V193" t="n">
        <x:v>0</x:v>
      </x:c>
      <x:c r="W193" t="n">
        <x:v>23</x:v>
      </x:c>
      <x:c r="X193" t="str">
        <x:v>VALUE: [[8d12]] PC 23 PC</x:v>
      </x:c>
    </x:row>
    <x:row r="194">
      <x:c r="P194" t="str">
        <x:v>2|Humanoïde|Rare</x:v>
      </x:c>
      <x:c r="Q194" t="n">
        <x:v>125</x:v>
      </x:c>
      <x:c r="R194" t="str">
        <x:v>8d20</x:v>
      </x:c>
      <x:c r="S194" t="str">
        <x:v>PC</x:v>
      </x:c>
      <x:c r="T194" t="n">
        <x:v>0</x:v>
      </x:c>
      <x:c r="U194" t="n">
        <x:v>0</x:v>
      </x:c>
      <x:c r="V194" t="n">
        <x:v>0</x:v>
      </x:c>
      <x:c r="W194" t="n">
        <x:v>41</x:v>
      </x:c>
      <x:c r="X194" t="str">
        <x:v>VALUE: [[8d20]] PC 41 PC</x:v>
      </x:c>
    </x:row>
    <x:row r="195">
      <x:c r="P195" t="str">
        <x:v>2|Humanoïde|Précieuse</x:v>
      </x:c>
      <x:c r="Q195" t="n">
        <x:v>200</x:v>
      </x:c>
      <x:c r="R195" t="str">
        <x:v>10d20</x:v>
      </x:c>
      <x:c r="S195" t="str">
        <x:v>PC</x:v>
      </x:c>
      <x:c r="T195" t="n">
        <x:v>0</x:v>
      </x:c>
      <x:c r="U195" t="n">
        <x:v>0</x:v>
      </x:c>
      <x:c r="V195" t="n">
        <x:v>0</x:v>
      </x:c>
      <x:c r="W195" t="n">
        <x:v>95</x:v>
      </x:c>
      <x:c r="X195" t="str">
        <x:v>VALUE: [[10d20]] PC 95 PC</x:v>
      </x:c>
    </x:row>
    <x:row r="196">
      <x:c r="P196" t="str">
        <x:v>2|Humanoïde|Exceptionnelle</x:v>
      </x:c>
      <x:c r="Q196" t="n">
        <x:v>350</x:v>
      </x:c>
      <x:c r="R196" t="str">
        <x:v>1d4</x:v>
      </x:c>
      <x:c r="S196" t="str">
        <x:v>PA</x:v>
      </x:c>
      <x:c r="T196" t="n">
        <x:v>0</x:v>
      </x:c>
      <x:c r="U196" t="n">
        <x:v>0</x:v>
      </x:c>
      <x:c r="V196" t="n">
        <x:v>1</x:v>
      </x:c>
      <x:c r="W196" t="n">
        <x:v>0</x:v>
      </x:c>
      <x:c r="X196" t="str">
        <x:v>VALUE: [[1d4]] PA 1 PA</x:v>
      </x:c>
    </x:row>
    <x:row r="197">
      <x:c r="P197" t="str">
        <x:v>2|Mort-vivant|Commune</x:v>
      </x:c>
      <x:c r="Q197" t="n">
        <x:v>50</x:v>
      </x:c>
      <x:c r="R197" t="str">
        <x:v>10d6</x:v>
      </x:c>
      <x:c r="S197" t="str">
        <x:v>PC</x:v>
      </x:c>
      <x:c r="T197" t="n">
        <x:v>0</x:v>
      </x:c>
      <x:c r="U197" t="n">
        <x:v>0</x:v>
      </x:c>
      <x:c r="V197" t="n">
        <x:v>0</x:v>
      </x:c>
      <x:c r="W197" t="n">
        <x:v>15</x:v>
      </x:c>
      <x:c r="X197" t="str">
        <x:v>VALUE: [[10d6]] PC 15 PC</x:v>
      </x:c>
    </x:row>
    <x:row r="198">
      <x:c r="P198" t="str">
        <x:v>2|Mort-vivant|Peu commune</x:v>
      </x:c>
      <x:c r="Q198" t="n">
        <x:v>75</x:v>
      </x:c>
      <x:c r="R198" t="str">
        <x:v>8d12</x:v>
      </x:c>
      <x:c r="S198" t="str">
        <x:v>PC</x:v>
      </x:c>
      <x:c r="T198" t="n">
        <x:v>0</x:v>
      </x:c>
      <x:c r="U198" t="n">
        <x:v>0</x:v>
      </x:c>
      <x:c r="V198" t="n">
        <x:v>0</x:v>
      </x:c>
      <x:c r="W198" t="n">
        <x:v>23</x:v>
      </x:c>
      <x:c r="X198" t="str">
        <x:v>VALUE: [[8d12]] PC 23 PC</x:v>
      </x:c>
    </x:row>
    <x:row r="199">
      <x:c r="P199" t="str">
        <x:v>2|Mort-vivant|Rare</x:v>
      </x:c>
      <x:c r="Q199" t="n">
        <x:v>125</x:v>
      </x:c>
      <x:c r="R199" t="str">
        <x:v>8d20</x:v>
      </x:c>
      <x:c r="S199" t="str">
        <x:v>PC</x:v>
      </x:c>
      <x:c r="T199" t="n">
        <x:v>0</x:v>
      </x:c>
      <x:c r="U199" t="n">
        <x:v>0</x:v>
      </x:c>
      <x:c r="V199" t="n">
        <x:v>0</x:v>
      </x:c>
      <x:c r="W199" t="n">
        <x:v>41</x:v>
      </x:c>
      <x:c r="X199" t="str">
        <x:v>VALUE: [[8d20]] PC 41 PC</x:v>
      </x:c>
    </x:row>
    <x:row r="200">
      <x:c r="P200" t="str">
        <x:v>2|Mort-vivant|Précieuse</x:v>
      </x:c>
      <x:c r="Q200" t="n">
        <x:v>200</x:v>
      </x:c>
      <x:c r="R200" t="str">
        <x:v>10d20</x:v>
      </x:c>
      <x:c r="S200" t="str">
        <x:v>PC</x:v>
      </x:c>
      <x:c r="T200" t="n">
        <x:v>0</x:v>
      </x:c>
      <x:c r="U200" t="n">
        <x:v>0</x:v>
      </x:c>
      <x:c r="V200" t="n">
        <x:v>0</x:v>
      </x:c>
      <x:c r="W200" t="n">
        <x:v>95</x:v>
      </x:c>
      <x:c r="X200" t="str">
        <x:v>VALUE: [[10d20]] PC 95 PC</x:v>
      </x:c>
    </x:row>
    <x:row r="201">
      <x:c r="P201" t="str">
        <x:v>2|Mort-vivant|Exceptionnelle</x:v>
      </x:c>
      <x:c r="Q201" t="n">
        <x:v>350</x:v>
      </x:c>
      <x:c r="R201" t="str">
        <x:v>1d4</x:v>
      </x:c>
      <x:c r="S201" t="str">
        <x:v>PA</x:v>
      </x:c>
      <x:c r="T201" t="n">
        <x:v>0</x:v>
      </x:c>
      <x:c r="U201" t="n">
        <x:v>0</x:v>
      </x:c>
      <x:c r="V201" t="n">
        <x:v>1</x:v>
      </x:c>
      <x:c r="W201" t="n">
        <x:v>0</x:v>
      </x:c>
      <x:c r="X201" t="str">
        <x:v>VALUE: [[1d4]] PA 1 PA</x:v>
      </x:c>
    </x:row>
    <x:row r="202">
      <x:c r="P202" t="str">
        <x:v>2|Monstre|Commune</x:v>
      </x:c>
      <x:c r="Q202" t="n">
        <x:v>50</x:v>
      </x:c>
      <x:c r="R202" t="str">
        <x:v>10d6</x:v>
      </x:c>
      <x:c r="S202" t="str">
        <x:v>PC</x:v>
      </x:c>
      <x:c r="T202" t="n">
        <x:v>0</x:v>
      </x:c>
      <x:c r="U202" t="n">
        <x:v>0</x:v>
      </x:c>
      <x:c r="V202" t="n">
        <x:v>0</x:v>
      </x:c>
      <x:c r="W202" t="n">
        <x:v>15</x:v>
      </x:c>
      <x:c r="X202" t="str">
        <x:v>VALUE: [[10d6]] PC 15 PC</x:v>
      </x:c>
    </x:row>
    <x:row r="203">
      <x:c r="P203" t="str">
        <x:v>2|Monstre|Peu commune</x:v>
      </x:c>
      <x:c r="Q203" t="n">
        <x:v>75</x:v>
      </x:c>
      <x:c r="R203" t="str">
        <x:v>8d12</x:v>
      </x:c>
      <x:c r="S203" t="str">
        <x:v>PC</x:v>
      </x:c>
      <x:c r="T203" t="n">
        <x:v>0</x:v>
      </x:c>
      <x:c r="U203" t="n">
        <x:v>0</x:v>
      </x:c>
      <x:c r="V203" t="n">
        <x:v>0</x:v>
      </x:c>
      <x:c r="W203" t="n">
        <x:v>23</x:v>
      </x:c>
      <x:c r="X203" t="str">
        <x:v>VALUE: [[8d12]] PC 23 PC</x:v>
      </x:c>
    </x:row>
    <x:row r="204">
      <x:c r="P204" t="str">
        <x:v>2|Monstre|Rare</x:v>
      </x:c>
      <x:c r="Q204" t="n">
        <x:v>125</x:v>
      </x:c>
      <x:c r="R204" t="str">
        <x:v>8d20</x:v>
      </x:c>
      <x:c r="S204" t="str">
        <x:v>PC</x:v>
      </x:c>
      <x:c r="T204" t="n">
        <x:v>0</x:v>
      </x:c>
      <x:c r="U204" t="n">
        <x:v>0</x:v>
      </x:c>
      <x:c r="V204" t="n">
        <x:v>0</x:v>
      </x:c>
      <x:c r="W204" t="n">
        <x:v>41</x:v>
      </x:c>
      <x:c r="X204" t="str">
        <x:v>VALUE: [[8d20]] PC 41 PC</x:v>
      </x:c>
    </x:row>
    <x:row r="205">
      <x:c r="P205" t="str">
        <x:v>2|Monstre|Précieuse</x:v>
      </x:c>
      <x:c r="Q205" t="n">
        <x:v>200</x:v>
      </x:c>
      <x:c r="R205" t="str">
        <x:v>10d20</x:v>
      </x:c>
      <x:c r="S205" t="str">
        <x:v>PC</x:v>
      </x:c>
      <x:c r="T205" t="n">
        <x:v>0</x:v>
      </x:c>
      <x:c r="U205" t="n">
        <x:v>0</x:v>
      </x:c>
      <x:c r="V205" t="n">
        <x:v>0</x:v>
      </x:c>
      <x:c r="W205" t="n">
        <x:v>95</x:v>
      </x:c>
      <x:c r="X205" t="str">
        <x:v>VALUE: [[10d20]] PC 95 PC</x:v>
      </x:c>
    </x:row>
    <x:row r="206">
      <x:c r="P206" t="str">
        <x:v>2|Monstre|Exceptionnelle</x:v>
      </x:c>
      <x:c r="Q206" t="n">
        <x:v>350</x:v>
      </x:c>
      <x:c r="R206" t="str">
        <x:v>1d4</x:v>
      </x:c>
      <x:c r="S206" t="str">
        <x:v>PA</x:v>
      </x:c>
      <x:c r="T206" t="n">
        <x:v>0</x:v>
      </x:c>
      <x:c r="U206" t="n">
        <x:v>0</x:v>
      </x:c>
      <x:c r="V206" t="n">
        <x:v>1</x:v>
      </x:c>
      <x:c r="W206" t="n">
        <x:v>0</x:v>
      </x:c>
      <x:c r="X206" t="str">
        <x:v>VALUE: [[1d4]] PA 1 PA</x:v>
      </x:c>
    </x:row>
    <x:row r="207">
      <x:c r="P207" t="str">
        <x:v>2|Vase|Commune</x:v>
      </x:c>
      <x:c r="Q207" t="n">
        <x:v>50</x:v>
      </x:c>
      <x:c r="R207" t="str">
        <x:v>10d6</x:v>
      </x:c>
      <x:c r="S207" t="str">
        <x:v>PC</x:v>
      </x:c>
      <x:c r="T207" t="n">
        <x:v>0</x:v>
      </x:c>
      <x:c r="U207" t="n">
        <x:v>0</x:v>
      </x:c>
      <x:c r="V207" t="n">
        <x:v>0</x:v>
      </x:c>
      <x:c r="W207" t="n">
        <x:v>15</x:v>
      </x:c>
      <x:c r="X207" t="str">
        <x:v>VALUE: [[10d6]] PC 15 PC</x:v>
      </x:c>
    </x:row>
    <x:row r="208">
      <x:c r="P208" t="str">
        <x:v>2|Vase|Peu commune</x:v>
      </x:c>
      <x:c r="Q208" t="n">
        <x:v>75</x:v>
      </x:c>
      <x:c r="R208" t="str">
        <x:v>8d12</x:v>
      </x:c>
      <x:c r="S208" t="str">
        <x:v>PC</x:v>
      </x:c>
      <x:c r="T208" t="n">
        <x:v>0</x:v>
      </x:c>
      <x:c r="U208" t="n">
        <x:v>0</x:v>
      </x:c>
      <x:c r="V208" t="n">
        <x:v>0</x:v>
      </x:c>
      <x:c r="W208" t="n">
        <x:v>23</x:v>
      </x:c>
      <x:c r="X208" t="str">
        <x:v>VALUE: [[8d12]] PC 23 PC</x:v>
      </x:c>
    </x:row>
    <x:row r="209">
      <x:c r="P209" t="str">
        <x:v>2|Vase|Rare</x:v>
      </x:c>
      <x:c r="Q209" t="n">
        <x:v>125</x:v>
      </x:c>
      <x:c r="R209" t="str">
        <x:v>8d20</x:v>
      </x:c>
      <x:c r="S209" t="str">
        <x:v>PC</x:v>
      </x:c>
      <x:c r="T209" t="n">
        <x:v>0</x:v>
      </x:c>
      <x:c r="U209" t="n">
        <x:v>0</x:v>
      </x:c>
      <x:c r="V209" t="n">
        <x:v>0</x:v>
      </x:c>
      <x:c r="W209" t="n">
        <x:v>41</x:v>
      </x:c>
      <x:c r="X209" t="str">
        <x:v>VALUE: [[8d20]] PC 41 PC</x:v>
      </x:c>
    </x:row>
    <x:row r="210">
      <x:c r="P210" t="str">
        <x:v>2|Vase|Précieuse</x:v>
      </x:c>
      <x:c r="Q210" t="n">
        <x:v>200</x:v>
      </x:c>
      <x:c r="R210" t="str">
        <x:v>10d20</x:v>
      </x:c>
      <x:c r="S210" t="str">
        <x:v>PC</x:v>
      </x:c>
      <x:c r="T210" t="n">
        <x:v>0</x:v>
      </x:c>
      <x:c r="U210" t="n">
        <x:v>0</x:v>
      </x:c>
      <x:c r="V210" t="n">
        <x:v>0</x:v>
      </x:c>
      <x:c r="W210" t="n">
        <x:v>95</x:v>
      </x:c>
      <x:c r="X210" t="str">
        <x:v>VALUE: [[10d20]] PC 95 PC</x:v>
      </x:c>
    </x:row>
    <x:row r="211">
      <x:c r="P211" t="str">
        <x:v>2|Vase|Exceptionnelle</x:v>
      </x:c>
      <x:c r="Q211" t="n">
        <x:v>350</x:v>
      </x:c>
      <x:c r="R211" t="str">
        <x:v>1d4</x:v>
      </x:c>
      <x:c r="S211" t="str">
        <x:v>PA</x:v>
      </x:c>
      <x:c r="T211" t="n">
        <x:v>0</x:v>
      </x:c>
      <x:c r="U211" t="n">
        <x:v>0</x:v>
      </x:c>
      <x:c r="V211" t="n">
        <x:v>1</x:v>
      </x:c>
      <x:c r="W211" t="n">
        <x:v>0</x:v>
      </x:c>
      <x:c r="X211" t="str">
        <x:v>VALUE: [[1d4]] PA 1 PA</x:v>
      </x:c>
    </x:row>
    <x:row r="212">
      <x:c r="P212" t="str">
        <x:v>2|Géant|Commune</x:v>
      </x:c>
      <x:c r="Q212" t="n">
        <x:v>60</x:v>
      </x:c>
      <x:c r="R212" t="str">
        <x:v>4d20</x:v>
      </x:c>
      <x:c r="S212" t="str">
        <x:v>PC</x:v>
      </x:c>
      <x:c r="T212" t="n">
        <x:v>0</x:v>
      </x:c>
      <x:c r="U212" t="n">
        <x:v>0</x:v>
      </x:c>
      <x:c r="V212" t="n">
        <x:v>0</x:v>
      </x:c>
      <x:c r="W212" t="n">
        <x:v>18</x:v>
      </x:c>
      <x:c r="X212" t="str">
        <x:v>VALUE: [[4d20]] PC 18 PC</x:v>
      </x:c>
    </x:row>
    <x:row r="213">
      <x:c r="P213" t="str">
        <x:v>2|Géant|Peu commune</x:v>
      </x:c>
      <x:c r="Q213" t="n">
        <x:v>90</x:v>
      </x:c>
      <x:c r="R213" t="str">
        <x:v>6d20</x:v>
      </x:c>
      <x:c r="S213" t="str">
        <x:v>PC</x:v>
      </x:c>
      <x:c r="T213" t="n">
        <x:v>0</x:v>
      </x:c>
      <x:c r="U213" t="n">
        <x:v>0</x:v>
      </x:c>
      <x:c r="V213" t="n">
        <x:v>0</x:v>
      </x:c>
      <x:c r="W213" t="n">
        <x:v>27</x:v>
      </x:c>
      <x:c r="X213" t="str">
        <x:v>VALUE: [[6d20]] PC 27 PC</x:v>
      </x:c>
    </x:row>
    <x:row r="214">
      <x:c r="P214" t="str">
        <x:v>2|Géant|Rare</x:v>
      </x:c>
      <x:c r="Q214" t="n">
        <x:v>150</x:v>
      </x:c>
      <x:c r="R214" t="str">
        <x:v>10d20</x:v>
      </x:c>
      <x:c r="S214" t="str">
        <x:v>PC</x:v>
      </x:c>
      <x:c r="T214" t="n">
        <x:v>0</x:v>
      </x:c>
      <x:c r="U214" t="n">
        <x:v>0</x:v>
      </x:c>
      <x:c r="V214" t="n">
        <x:v>0</x:v>
      </x:c>
      <x:c r="W214" t="n">
        <x:v>45</x:v>
      </x:c>
      <x:c r="X214" t="str">
        <x:v>VALUE: [[10d20]] PC 45 PC</x:v>
      </x:c>
    </x:row>
    <x:row r="215">
      <x:c r="P215" t="str">
        <x:v>2|Géant|Précieuse</x:v>
      </x:c>
      <x:c r="Q215" t="n">
        <x:v>240</x:v>
      </x:c>
      <x:c r="R215" t="str">
        <x:v>10d20</x:v>
      </x:c>
      <x:c r="S215" t="str">
        <x:v>PC</x:v>
      </x:c>
      <x:c r="T215" t="n">
        <x:v>0</x:v>
      </x:c>
      <x:c r="U215" t="n">
        <x:v>0</x:v>
      </x:c>
      <x:c r="V215" t="n">
        <x:v>1</x:v>
      </x:c>
      <x:c r="W215" t="n">
        <x:v>35</x:v>
      </x:c>
      <x:c r="X215" t="str">
        <x:v>VALUE: [[10d20]] PC 1 PA 35 PC</x:v>
      </x:c>
    </x:row>
    <x:row r="216">
      <x:c r="P216" t="str">
        <x:v>2|Géant|Exceptionnelle</x:v>
      </x:c>
      <x:c r="Q216" t="n">
        <x:v>420</x:v>
      </x:c>
      <x:c r="R216" t="str">
        <x:v>1d4</x:v>
      </x:c>
      <x:c r="S216" t="str">
        <x:v>PA</x:v>
      </x:c>
      <x:c r="T216" t="n">
        <x:v>0</x:v>
      </x:c>
      <x:c r="U216" t="n">
        <x:v>0</x:v>
      </x:c>
      <x:c r="V216" t="n">
        <x:v>1</x:v>
      </x:c>
      <x:c r="W216" t="n">
        <x:v>70</x:v>
      </x:c>
      <x:c r="X216" t="str">
        <x:v>VALUE: [[1d4]] PA 1 PA 70 PC</x:v>
      </x:c>
    </x:row>
    <x:row r="217">
      <x:c r="P217" t="str">
        <x:v>2|Aberration|Commune</x:v>
      </x:c>
      <x:c r="Q217" t="n">
        <x:v>75</x:v>
      </x:c>
      <x:c r="R217" t="str">
        <x:v>8d12</x:v>
      </x:c>
      <x:c r="S217" t="str">
        <x:v>PC</x:v>
      </x:c>
      <x:c r="T217" t="n">
        <x:v>0</x:v>
      </x:c>
      <x:c r="U217" t="n">
        <x:v>0</x:v>
      </x:c>
      <x:c r="V217" t="n">
        <x:v>0</x:v>
      </x:c>
      <x:c r="W217" t="n">
        <x:v>23</x:v>
      </x:c>
      <x:c r="X217" t="str">
        <x:v>VALUE: [[8d12]] PC 23 PC</x:v>
      </x:c>
    </x:row>
    <x:row r="218">
      <x:c r="P218" t="str">
        <x:v>2|Aberration|Peu commune</x:v>
      </x:c>
      <x:c r="Q218" t="n">
        <x:v>112</x:v>
      </x:c>
      <x:c r="R218" t="str">
        <x:v>8d20</x:v>
      </x:c>
      <x:c r="S218" t="str">
        <x:v>PC</x:v>
      </x:c>
      <x:c r="T218" t="n">
        <x:v>0</x:v>
      </x:c>
      <x:c r="U218" t="n">
        <x:v>0</x:v>
      </x:c>
      <x:c r="V218" t="n">
        <x:v>0</x:v>
      </x:c>
      <x:c r="W218" t="n">
        <x:v>28</x:v>
      </x:c>
      <x:c r="X218" t="str">
        <x:v>VALUE: [[8d20]] PC 28 PC</x:v>
      </x:c>
    </x:row>
    <x:row r="219">
      <x:c r="P219" t="str">
        <x:v>2|Aberration|Rare</x:v>
      </x:c>
      <x:c r="Q219" t="n">
        <x:v>188</x:v>
      </x:c>
      <x:c r="R219" t="str">
        <x:v>10d20</x:v>
      </x:c>
      <x:c r="S219" t="str">
        <x:v>PC</x:v>
      </x:c>
      <x:c r="T219" t="n">
        <x:v>0</x:v>
      </x:c>
      <x:c r="U219" t="n">
        <x:v>0</x:v>
      </x:c>
      <x:c r="V219" t="n">
        <x:v>0</x:v>
      </x:c>
      <x:c r="W219" t="n">
        <x:v>83</x:v>
      </x:c>
      <x:c r="X219" t="str">
        <x:v>VALUE: [[10d20]] PC 83 PC</x:v>
      </x:c>
    </x:row>
    <x:row r="220">
      <x:c r="P220" t="str">
        <x:v>2|Aberration|Précieuse</x:v>
      </x:c>
      <x:c r="Q220" t="n">
        <x:v>300</x:v>
      </x:c>
      <x:c r="R220" t="str">
        <x:v>1d4</x:v>
      </x:c>
      <x:c r="S220" t="str">
        <x:v>PA</x:v>
      </x:c>
      <x:c r="T220" t="n">
        <x:v>0</x:v>
      </x:c>
      <x:c r="U220" t="n">
        <x:v>0</x:v>
      </x:c>
      <x:c r="V220" t="n">
        <x:v>0</x:v>
      </x:c>
      <x:c r="W220" t="n">
        <x:v>50</x:v>
      </x:c>
      <x:c r="X220" t="str">
        <x:v>VALUE: [[1d4]] PA 50 PC</x:v>
      </x:c>
    </x:row>
    <x:row r="221">
      <x:c r="P221" t="str">
        <x:v>2|Aberration|Exceptionnelle</x:v>
      </x:c>
      <x:c r="Q221" t="n">
        <x:v>525</x:v>
      </x:c>
      <x:c r="R221" t="str">
        <x:v>1d6</x:v>
      </x:c>
      <x:c r="S221" t="str">
        <x:v>PA</x:v>
      </x:c>
      <x:c r="T221" t="n">
        <x:v>0</x:v>
      </x:c>
      <x:c r="U221" t="n">
        <x:v>0</x:v>
      </x:c>
      <x:c r="V221" t="n">
        <x:v>1</x:v>
      </x:c>
      <x:c r="W221" t="n">
        <x:v>75</x:v>
      </x:c>
      <x:c r="X221" t="str">
        <x:v>VALUE: [[1d6]] PA 1 PA 75 PC</x:v>
      </x:c>
    </x:row>
    <x:row r="222">
      <x:c r="P222" t="str">
        <x:v>2|Fée|Commune</x:v>
      </x:c>
      <x:c r="Q222" t="n">
        <x:v>90</x:v>
      </x:c>
      <x:c r="R222" t="str">
        <x:v>6d20</x:v>
      </x:c>
      <x:c r="S222" t="str">
        <x:v>PC</x:v>
      </x:c>
      <x:c r="T222" t="n">
        <x:v>0</x:v>
      </x:c>
      <x:c r="U222" t="n">
        <x:v>0</x:v>
      </x:c>
      <x:c r="V222" t="n">
        <x:v>0</x:v>
      </x:c>
      <x:c r="W222" t="n">
        <x:v>27</x:v>
      </x:c>
      <x:c r="X222" t="str">
        <x:v>VALUE: [[6d20]] PC 27 PC</x:v>
      </x:c>
    </x:row>
    <x:row r="223">
      <x:c r="P223" t="str">
        <x:v>2|Fée|Peu commune</x:v>
      </x:c>
      <x:c r="Q223" t="n">
        <x:v>135</x:v>
      </x:c>
      <x:c r="R223" t="str">
        <x:v>8d20</x:v>
      </x:c>
      <x:c r="S223" t="str">
        <x:v>PC</x:v>
      </x:c>
      <x:c r="T223" t="n">
        <x:v>0</x:v>
      </x:c>
      <x:c r="U223" t="n">
        <x:v>0</x:v>
      </x:c>
      <x:c r="V223" t="n">
        <x:v>0</x:v>
      </x:c>
      <x:c r="W223" t="n">
        <x:v>51</x:v>
      </x:c>
      <x:c r="X223" t="str">
        <x:v>VALUE: [[8d20]] PC 51 PC</x:v>
      </x:c>
    </x:row>
    <x:row r="224">
      <x:c r="P224" t="str">
        <x:v>2|Fée|Rare</x:v>
      </x:c>
      <x:c r="Q224" t="n">
        <x:v>225</x:v>
      </x:c>
      <x:c r="R224" t="str">
        <x:v>10d20</x:v>
      </x:c>
      <x:c r="S224" t="str">
        <x:v>PC</x:v>
      </x:c>
      <x:c r="T224" t="n">
        <x:v>0</x:v>
      </x:c>
      <x:c r="U224" t="n">
        <x:v>0</x:v>
      </x:c>
      <x:c r="V224" t="n">
        <x:v>1</x:v>
      </x:c>
      <x:c r="W224" t="n">
        <x:v>20</x:v>
      </x:c>
      <x:c r="X224" t="str">
        <x:v>VALUE: [[10d20]] PC 1 PA 20 PC</x:v>
      </x:c>
    </x:row>
    <x:row r="225">
      <x:c r="P225" t="str">
        <x:v>2|Fée|Précieuse</x:v>
      </x:c>
      <x:c r="Q225" t="n">
        <x:v>360</x:v>
      </x:c>
      <x:c r="R225" t="str">
        <x:v>1d4</x:v>
      </x:c>
      <x:c r="S225" t="str">
        <x:v>PA</x:v>
      </x:c>
      <x:c r="T225" t="n">
        <x:v>0</x:v>
      </x:c>
      <x:c r="U225" t="n">
        <x:v>0</x:v>
      </x:c>
      <x:c r="V225" t="n">
        <x:v>1</x:v>
      </x:c>
      <x:c r="W225" t="n">
        <x:v>10</x:v>
      </x:c>
      <x:c r="X225" t="str">
        <x:v>VALUE: [[1d4]] PA 1 PA 10 PC</x:v>
      </x:c>
    </x:row>
    <x:row r="226">
      <x:c r="P226" t="str">
        <x:v>2|Fée|Exceptionnelle</x:v>
      </x:c>
      <x:c r="Q226" t="n">
        <x:v>630</x:v>
      </x:c>
      <x:c r="R226" t="str">
        <x:v>1d8</x:v>
      </x:c>
      <x:c r="S226" t="str">
        <x:v>PA</x:v>
      </x:c>
      <x:c r="T226" t="n">
        <x:v>0</x:v>
      </x:c>
      <x:c r="U226" t="n">
        <x:v>0</x:v>
      </x:c>
      <x:c r="V226" t="n">
        <x:v>1</x:v>
      </x:c>
      <x:c r="W226" t="n">
        <x:v>80</x:v>
      </x:c>
      <x:c r="X226" t="str">
        <x:v>VALUE: [[1d8]] PA 1 PA 80 PC</x:v>
      </x:c>
    </x:row>
    <x:row r="227">
      <x:c r="P227" t="str">
        <x:v>2|Démon|Commune</x:v>
      </x:c>
      <x:c r="Q227" t="n">
        <x:v>100</x:v>
      </x:c>
      <x:c r="R227" t="str">
        <x:v>10d12</x:v>
      </x:c>
      <x:c r="S227" t="str">
        <x:v>PC</x:v>
      </x:c>
      <x:c r="T227" t="n">
        <x:v>0</x:v>
      </x:c>
      <x:c r="U227" t="n">
        <x:v>0</x:v>
      </x:c>
      <x:c r="V227" t="n">
        <x:v>0</x:v>
      </x:c>
      <x:c r="W227" t="n">
        <x:v>35</x:v>
      </x:c>
      <x:c r="X227" t="str">
        <x:v>VALUE: [[10d12]] PC 35 PC</x:v>
      </x:c>
    </x:row>
    <x:row r="228">
      <x:c r="P228" t="str">
        <x:v>2|Démon|Peu commune</x:v>
      </x:c>
      <x:c r="Q228" t="n">
        <x:v>150</x:v>
      </x:c>
      <x:c r="R228" t="str">
        <x:v>10d20</x:v>
      </x:c>
      <x:c r="S228" t="str">
        <x:v>PC</x:v>
      </x:c>
      <x:c r="T228" t="n">
        <x:v>0</x:v>
      </x:c>
      <x:c r="U228" t="n">
        <x:v>0</x:v>
      </x:c>
      <x:c r="V228" t="n">
        <x:v>0</x:v>
      </x:c>
      <x:c r="W228" t="n">
        <x:v>45</x:v>
      </x:c>
      <x:c r="X228" t="str">
        <x:v>VALUE: [[10d20]] PC 45 PC</x:v>
      </x:c>
    </x:row>
    <x:row r="229">
      <x:c r="P229" t="str">
        <x:v>2|Démon|Rare</x:v>
      </x:c>
      <x:c r="Q229" t="n">
        <x:v>250</x:v>
      </x:c>
      <x:c r="R229" t="str">
        <x:v>10d20</x:v>
      </x:c>
      <x:c r="S229" t="str">
        <x:v>PC</x:v>
      </x:c>
      <x:c r="T229" t="n">
        <x:v>0</x:v>
      </x:c>
      <x:c r="U229" t="n">
        <x:v>0</x:v>
      </x:c>
      <x:c r="V229" t="n">
        <x:v>1</x:v>
      </x:c>
      <x:c r="W229" t="n">
        <x:v>45</x:v>
      </x:c>
      <x:c r="X229" t="str">
        <x:v>VALUE: [[10d20]] PC 1 PA 45 PC</x:v>
      </x:c>
    </x:row>
    <x:row r="230">
      <x:c r="P230" t="str">
        <x:v>2|Démon|Précieuse</x:v>
      </x:c>
      <x:c r="Q230" t="n">
        <x:v>400</x:v>
      </x:c>
      <x:c r="R230" t="str">
        <x:v>1d4</x:v>
      </x:c>
      <x:c r="S230" t="str">
        <x:v>PA</x:v>
      </x:c>
      <x:c r="T230" t="n">
        <x:v>0</x:v>
      </x:c>
      <x:c r="U230" t="n">
        <x:v>0</x:v>
      </x:c>
      <x:c r="V230" t="n">
        <x:v>1</x:v>
      </x:c>
      <x:c r="W230" t="n">
        <x:v>50</x:v>
      </x:c>
      <x:c r="X230" t="str">
        <x:v>VALUE: [[1d4]] PA 1 PA 50 PC</x:v>
      </x:c>
    </x:row>
    <x:row r="231">
      <x:c r="P231" t="str">
        <x:v>2|Démon|Exceptionnelle</x:v>
      </x:c>
      <x:c r="Q231" t="n">
        <x:v>700</x:v>
      </x:c>
      <x:c r="R231" t="str">
        <x:v>2d4</x:v>
      </x:c>
      <x:c r="S231" t="str">
        <x:v>PA</x:v>
      </x:c>
      <x:c r="T231" t="n">
        <x:v>0</x:v>
      </x:c>
      <x:c r="U231" t="n">
        <x:v>0</x:v>
      </x:c>
      <x:c r="V231" t="n">
        <x:v>2</x:v>
      </x:c>
      <x:c r="W231" t="n">
        <x:v>0</x:v>
      </x:c>
      <x:c r="X231" t="str">
        <x:v>VALUE: [[2d4]] PA 2 PA</x:v>
      </x:c>
    </x:row>
    <x:row r="232">
      <x:c r="P232" t="str">
        <x:v>2|Artificiel|Commune</x:v>
      </x:c>
      <x:c r="Q232" t="n">
        <x:v>100</x:v>
      </x:c>
      <x:c r="R232" t="str">
        <x:v>10d12</x:v>
      </x:c>
      <x:c r="S232" t="str">
        <x:v>PC</x:v>
      </x:c>
      <x:c r="T232" t="n">
        <x:v>0</x:v>
      </x:c>
      <x:c r="U232" t="n">
        <x:v>0</x:v>
      </x:c>
      <x:c r="V232" t="n">
        <x:v>0</x:v>
      </x:c>
      <x:c r="W232" t="n">
        <x:v>35</x:v>
      </x:c>
      <x:c r="X232" t="str">
        <x:v>VALUE: [[10d12]] PC 35 PC</x:v>
      </x:c>
    </x:row>
    <x:row r="233">
      <x:c r="P233" t="str">
        <x:v>2|Artificiel|Peu commune</x:v>
      </x:c>
      <x:c r="Q233" t="n">
        <x:v>150</x:v>
      </x:c>
      <x:c r="R233" t="str">
        <x:v>10d20</x:v>
      </x:c>
      <x:c r="S233" t="str">
        <x:v>PC</x:v>
      </x:c>
      <x:c r="T233" t="n">
        <x:v>0</x:v>
      </x:c>
      <x:c r="U233" t="n">
        <x:v>0</x:v>
      </x:c>
      <x:c r="V233" t="n">
        <x:v>0</x:v>
      </x:c>
      <x:c r="W233" t="n">
        <x:v>45</x:v>
      </x:c>
      <x:c r="X233" t="str">
        <x:v>VALUE: [[10d20]] PC 45 PC</x:v>
      </x:c>
    </x:row>
    <x:row r="234">
      <x:c r="P234" t="str">
        <x:v>2|Artificiel|Rare</x:v>
      </x:c>
      <x:c r="Q234" t="n">
        <x:v>250</x:v>
      </x:c>
      <x:c r="R234" t="str">
        <x:v>10d20</x:v>
      </x:c>
      <x:c r="S234" t="str">
        <x:v>PC</x:v>
      </x:c>
      <x:c r="T234" t="n">
        <x:v>0</x:v>
      </x:c>
      <x:c r="U234" t="n">
        <x:v>0</x:v>
      </x:c>
      <x:c r="V234" t="n">
        <x:v>1</x:v>
      </x:c>
      <x:c r="W234" t="n">
        <x:v>45</x:v>
      </x:c>
      <x:c r="X234" t="str">
        <x:v>VALUE: [[10d20]] PC 1 PA 45 PC</x:v>
      </x:c>
    </x:row>
    <x:row r="235">
      <x:c r="P235" t="str">
        <x:v>2|Artificiel|Précieuse</x:v>
      </x:c>
      <x:c r="Q235" t="n">
        <x:v>400</x:v>
      </x:c>
      <x:c r="R235" t="str">
        <x:v>1d4</x:v>
      </x:c>
      <x:c r="S235" t="str">
        <x:v>PA</x:v>
      </x:c>
      <x:c r="T235" t="n">
        <x:v>0</x:v>
      </x:c>
      <x:c r="U235" t="n">
        <x:v>0</x:v>
      </x:c>
      <x:c r="V235" t="n">
        <x:v>1</x:v>
      </x:c>
      <x:c r="W235" t="n">
        <x:v>50</x:v>
      </x:c>
      <x:c r="X235" t="str">
        <x:v>VALUE: [[1d4]] PA 1 PA 50 PC</x:v>
      </x:c>
    </x:row>
    <x:row r="236">
      <x:c r="P236" t="str">
        <x:v>2|Artificiel|Exceptionnelle</x:v>
      </x:c>
      <x:c r="Q236" t="n">
        <x:v>700</x:v>
      </x:c>
      <x:c r="R236" t="str">
        <x:v>2d4</x:v>
      </x:c>
      <x:c r="S236" t="str">
        <x:v>PA</x:v>
      </x:c>
      <x:c r="T236" t="n">
        <x:v>0</x:v>
      </x:c>
      <x:c r="U236" t="n">
        <x:v>0</x:v>
      </x:c>
      <x:c r="V236" t="n">
        <x:v>2</x:v>
      </x:c>
      <x:c r="W236" t="n">
        <x:v>0</x:v>
      </x:c>
      <x:c r="X236" t="str">
        <x:v>VALUE: [[2d4]] PA 2 PA</x:v>
      </x:c>
    </x:row>
    <x:row r="237">
      <x:c r="P237" t="str">
        <x:v>2|Élémentaire|Commune</x:v>
      </x:c>
      <x:c r="Q237" t="n">
        <x:v>125</x:v>
      </x:c>
      <x:c r="R237" t="str">
        <x:v>8d20</x:v>
      </x:c>
      <x:c r="S237" t="str">
        <x:v>PC</x:v>
      </x:c>
      <x:c r="T237" t="n">
        <x:v>0</x:v>
      </x:c>
      <x:c r="U237" t="n">
        <x:v>0</x:v>
      </x:c>
      <x:c r="V237" t="n">
        <x:v>0</x:v>
      </x:c>
      <x:c r="W237" t="n">
        <x:v>41</x:v>
      </x:c>
      <x:c r="X237" t="str">
        <x:v>VALUE: [[8d20]] PC 41 PC</x:v>
      </x:c>
    </x:row>
    <x:row r="238">
      <x:c r="P238" t="str">
        <x:v>2|Élémentaire|Peu commune</x:v>
      </x:c>
      <x:c r="Q238" t="n">
        <x:v>188</x:v>
      </x:c>
      <x:c r="R238" t="str">
        <x:v>10d20</x:v>
      </x:c>
      <x:c r="S238" t="str">
        <x:v>PC</x:v>
      </x:c>
      <x:c r="T238" t="n">
        <x:v>0</x:v>
      </x:c>
      <x:c r="U238" t="n">
        <x:v>0</x:v>
      </x:c>
      <x:c r="V238" t="n">
        <x:v>0</x:v>
      </x:c>
      <x:c r="W238" t="n">
        <x:v>83</x:v>
      </x:c>
      <x:c r="X238" t="str">
        <x:v>VALUE: [[10d20]] PC 83 PC</x:v>
      </x:c>
    </x:row>
    <x:row r="239">
      <x:c r="P239" t="str">
        <x:v>2|Élémentaire|Rare</x:v>
      </x:c>
      <x:c r="Q239" t="n">
        <x:v>312</x:v>
      </x:c>
      <x:c r="R239" t="str">
        <x:v>1d4</x:v>
      </x:c>
      <x:c r="S239" t="str">
        <x:v>PA</x:v>
      </x:c>
      <x:c r="T239" t="n">
        <x:v>0</x:v>
      </x:c>
      <x:c r="U239" t="n">
        <x:v>0</x:v>
      </x:c>
      <x:c r="V239" t="n">
        <x:v>0</x:v>
      </x:c>
      <x:c r="W239" t="n">
        <x:v>62</x:v>
      </x:c>
      <x:c r="X239" t="str">
        <x:v>VALUE: [[1d4]] PA 62 PC</x:v>
      </x:c>
    </x:row>
    <x:row r="240">
      <x:c r="P240" t="str">
        <x:v>2|Élémentaire|Précieuse</x:v>
      </x:c>
      <x:c r="Q240" t="n">
        <x:v>500</x:v>
      </x:c>
      <x:c r="R240" t="str">
        <x:v>1d6</x:v>
      </x:c>
      <x:c r="S240" t="str">
        <x:v>PA</x:v>
      </x:c>
      <x:c r="T240" t="n">
        <x:v>0</x:v>
      </x:c>
      <x:c r="U240" t="n">
        <x:v>0</x:v>
      </x:c>
      <x:c r="V240" t="n">
        <x:v>1</x:v>
      </x:c>
      <x:c r="W240" t="n">
        <x:v>50</x:v>
      </x:c>
      <x:c r="X240" t="str">
        <x:v>VALUE: [[1d6]] PA 1 PA 50 PC</x:v>
      </x:c>
    </x:row>
    <x:row r="241">
      <x:c r="P241" t="str">
        <x:v>2|Élémentaire|Exceptionnelle</x:v>
      </x:c>
      <x:c r="Q241" t="n">
        <x:v>875</x:v>
      </x:c>
      <x:c r="R241" t="str">
        <x:v>1d12</x:v>
      </x:c>
      <x:c r="S241" t="str">
        <x:v>PA</x:v>
      </x:c>
      <x:c r="T241" t="n">
        <x:v>0</x:v>
      </x:c>
      <x:c r="U241" t="n">
        <x:v>0</x:v>
      </x:c>
      <x:c r="V241" t="n">
        <x:v>2</x:v>
      </x:c>
      <x:c r="W241" t="n">
        <x:v>25</x:v>
      </x:c>
      <x:c r="X241" t="str">
        <x:v>VALUE: [[1d12]] PA 2 PA 25 PC</x:v>
      </x:c>
    </x:row>
    <x:row r="242">
      <x:c r="P242" t="str">
        <x:v>2|Esprit|Commune</x:v>
      </x:c>
      <x:c r="Q242" t="n">
        <x:v>125</x:v>
      </x:c>
      <x:c r="R242" t="str">
        <x:v>8d20</x:v>
      </x:c>
      <x:c r="S242" t="str">
        <x:v>PC</x:v>
      </x:c>
      <x:c r="T242" t="n">
        <x:v>0</x:v>
      </x:c>
      <x:c r="U242" t="n">
        <x:v>0</x:v>
      </x:c>
      <x:c r="V242" t="n">
        <x:v>0</x:v>
      </x:c>
      <x:c r="W242" t="n">
        <x:v>41</x:v>
      </x:c>
      <x:c r="X242" t="str">
        <x:v>VALUE: [[8d20]] PC 41 PC</x:v>
      </x:c>
    </x:row>
    <x:row r="243">
      <x:c r="P243" t="str">
        <x:v>2|Esprit|Peu commune</x:v>
      </x:c>
      <x:c r="Q243" t="n">
        <x:v>188</x:v>
      </x:c>
      <x:c r="R243" t="str">
        <x:v>10d20</x:v>
      </x:c>
      <x:c r="S243" t="str">
        <x:v>PC</x:v>
      </x:c>
      <x:c r="T243" t="n">
        <x:v>0</x:v>
      </x:c>
      <x:c r="U243" t="n">
        <x:v>0</x:v>
      </x:c>
      <x:c r="V243" t="n">
        <x:v>0</x:v>
      </x:c>
      <x:c r="W243" t="n">
        <x:v>83</x:v>
      </x:c>
      <x:c r="X243" t="str">
        <x:v>VALUE: [[10d20]] PC 83 PC</x:v>
      </x:c>
    </x:row>
    <x:row r="244">
      <x:c r="P244" t="str">
        <x:v>2|Esprit|Rare</x:v>
      </x:c>
      <x:c r="Q244" t="n">
        <x:v>312</x:v>
      </x:c>
      <x:c r="R244" t="str">
        <x:v>1d4</x:v>
      </x:c>
      <x:c r="S244" t="str">
        <x:v>PA</x:v>
      </x:c>
      <x:c r="T244" t="n">
        <x:v>0</x:v>
      </x:c>
      <x:c r="U244" t="n">
        <x:v>0</x:v>
      </x:c>
      <x:c r="V244" t="n">
        <x:v>0</x:v>
      </x:c>
      <x:c r="W244" t="n">
        <x:v>62</x:v>
      </x:c>
      <x:c r="X244" t="str">
        <x:v>VALUE: [[1d4]] PA 62 PC</x:v>
      </x:c>
    </x:row>
    <x:row r="245">
      <x:c r="P245" t="str">
        <x:v>2|Esprit|Précieuse</x:v>
      </x:c>
      <x:c r="Q245" t="n">
        <x:v>500</x:v>
      </x:c>
      <x:c r="R245" t="str">
        <x:v>1d6</x:v>
      </x:c>
      <x:c r="S245" t="str">
        <x:v>PA</x:v>
      </x:c>
      <x:c r="T245" t="n">
        <x:v>0</x:v>
      </x:c>
      <x:c r="U245" t="n">
        <x:v>0</x:v>
      </x:c>
      <x:c r="V245" t="n">
        <x:v>1</x:v>
      </x:c>
      <x:c r="W245" t="n">
        <x:v>50</x:v>
      </x:c>
      <x:c r="X245" t="str">
        <x:v>VALUE: [[1d6]] PA 1 PA 50 PC</x:v>
      </x:c>
    </x:row>
    <x:row r="246">
      <x:c r="P246" t="str">
        <x:v>2|Esprit|Exceptionnelle</x:v>
      </x:c>
      <x:c r="Q246" t="n">
        <x:v>875</x:v>
      </x:c>
      <x:c r="R246" t="str">
        <x:v>1d12</x:v>
      </x:c>
      <x:c r="S246" t="str">
        <x:v>PA</x:v>
      </x:c>
      <x:c r="T246" t="n">
        <x:v>0</x:v>
      </x:c>
      <x:c r="U246" t="n">
        <x:v>0</x:v>
      </x:c>
      <x:c r="V246" t="n">
        <x:v>2</x:v>
      </x:c>
      <x:c r="W246" t="n">
        <x:v>25</x:v>
      </x:c>
      <x:c r="X246" t="str">
        <x:v>VALUE: [[1d12]] PA 2 PA 25 PC</x:v>
      </x:c>
    </x:row>
    <x:row r="247">
      <x:c r="P247" t="str">
        <x:v>2|Céleste|Commune</x:v>
      </x:c>
      <x:c r="Q247" t="n">
        <x:v>150</x:v>
      </x:c>
      <x:c r="R247" t="str">
        <x:v>10d20</x:v>
      </x:c>
      <x:c r="S247" t="str">
        <x:v>PC</x:v>
      </x:c>
      <x:c r="T247" t="n">
        <x:v>0</x:v>
      </x:c>
      <x:c r="U247" t="n">
        <x:v>0</x:v>
      </x:c>
      <x:c r="V247" t="n">
        <x:v>0</x:v>
      </x:c>
      <x:c r="W247" t="n">
        <x:v>45</x:v>
      </x:c>
      <x:c r="X247" t="str">
        <x:v>VALUE: [[10d20]] PC 45 PC</x:v>
      </x:c>
    </x:row>
    <x:row r="248">
      <x:c r="P248" t="str">
        <x:v>2|Céleste|Peu commune</x:v>
      </x:c>
      <x:c r="Q248" t="n">
        <x:v>225</x:v>
      </x:c>
      <x:c r="R248" t="str">
        <x:v>10d20</x:v>
      </x:c>
      <x:c r="S248" t="str">
        <x:v>PC</x:v>
      </x:c>
      <x:c r="T248" t="n">
        <x:v>0</x:v>
      </x:c>
      <x:c r="U248" t="n">
        <x:v>0</x:v>
      </x:c>
      <x:c r="V248" t="n">
        <x:v>1</x:v>
      </x:c>
      <x:c r="W248" t="n">
        <x:v>20</x:v>
      </x:c>
      <x:c r="X248" t="str">
        <x:v>VALUE: [[10d20]] PC 1 PA 20 PC</x:v>
      </x:c>
    </x:row>
    <x:row r="249">
      <x:c r="P249" t="str">
        <x:v>2|Céleste|Rare</x:v>
      </x:c>
      <x:c r="Q249" t="n">
        <x:v>375</x:v>
      </x:c>
      <x:c r="R249" t="str">
        <x:v>1d4</x:v>
      </x:c>
      <x:c r="S249" t="str">
        <x:v>PA</x:v>
      </x:c>
      <x:c r="T249" t="n">
        <x:v>0</x:v>
      </x:c>
      <x:c r="U249" t="n">
        <x:v>0</x:v>
      </x:c>
      <x:c r="V249" t="n">
        <x:v>1</x:v>
      </x:c>
      <x:c r="W249" t="n">
        <x:v>25</x:v>
      </x:c>
      <x:c r="X249" t="str">
        <x:v>VALUE: [[1d4]] PA 1 PA 25 PC</x:v>
      </x:c>
    </x:row>
    <x:row r="250">
      <x:c r="P250" t="str">
        <x:v>2|Céleste|Précieuse</x:v>
      </x:c>
      <x:c r="Q250" t="n">
        <x:v>600</x:v>
      </x:c>
      <x:c r="R250" t="str">
        <x:v>1d8</x:v>
      </x:c>
      <x:c r="S250" t="str">
        <x:v>PA</x:v>
      </x:c>
      <x:c r="T250" t="n">
        <x:v>0</x:v>
      </x:c>
      <x:c r="U250" t="n">
        <x:v>0</x:v>
      </x:c>
      <x:c r="V250" t="n">
        <x:v>1</x:v>
      </x:c>
      <x:c r="W250" t="n">
        <x:v>50</x:v>
      </x:c>
      <x:c r="X250" t="str">
        <x:v>VALUE: [[1d8]] PA 1 PA 50 PC</x:v>
      </x:c>
    </x:row>
    <x:row r="251">
      <x:c r="P251" t="str">
        <x:v>2|Céleste|Exceptionnelle</x:v>
      </x:c>
      <x:c r="Q251" t="n">
        <x:v>1050</x:v>
      </x:c>
      <x:c r="R251" t="str">
        <x:v>3d4</x:v>
      </x:c>
      <x:c r="S251" t="str">
        <x:v>PA</x:v>
      </x:c>
      <x:c r="T251" t="n">
        <x:v>0</x:v>
      </x:c>
      <x:c r="U251" t="n">
        <x:v>0</x:v>
      </x:c>
      <x:c r="V251" t="n">
        <x:v>3</x:v>
      </x:c>
      <x:c r="W251" t="n">
        <x:v>0</x:v>
      </x:c>
      <x:c r="X251" t="str">
        <x:v>VALUE: [[3d4]] PA 3 PA</x:v>
      </x:c>
    </x:row>
    <x:row r="252">
      <x:c r="P252" t="str">
        <x:v>2|Dragon|Commune</x:v>
      </x:c>
      <x:c r="Q252" t="n">
        <x:v>250</x:v>
      </x:c>
      <x:c r="R252" t="str">
        <x:v>10d20</x:v>
      </x:c>
      <x:c r="S252" t="str">
        <x:v>PC</x:v>
      </x:c>
      <x:c r="T252" t="n">
        <x:v>0</x:v>
      </x:c>
      <x:c r="U252" t="n">
        <x:v>0</x:v>
      </x:c>
      <x:c r="V252" t="n">
        <x:v>1</x:v>
      </x:c>
      <x:c r="W252" t="n">
        <x:v>45</x:v>
      </x:c>
      <x:c r="X252" t="str">
        <x:v>VALUE: [[10d20]] PC 1 PA 45 PC</x:v>
      </x:c>
    </x:row>
    <x:row r="253">
      <x:c r="P253" t="str">
        <x:v>2|Dragon|Peu commune</x:v>
      </x:c>
      <x:c r="Q253" t="n">
        <x:v>375</x:v>
      </x:c>
      <x:c r="R253" t="str">
        <x:v>1d4</x:v>
      </x:c>
      <x:c r="S253" t="str">
        <x:v>PA</x:v>
      </x:c>
      <x:c r="T253" t="n">
        <x:v>0</x:v>
      </x:c>
      <x:c r="U253" t="n">
        <x:v>0</x:v>
      </x:c>
      <x:c r="V253" t="n">
        <x:v>1</x:v>
      </x:c>
      <x:c r="W253" t="n">
        <x:v>25</x:v>
      </x:c>
      <x:c r="X253" t="str">
        <x:v>VALUE: [[1d4]] PA 1 PA 25 PC</x:v>
      </x:c>
    </x:row>
    <x:row r="254">
      <x:c r="P254" t="str">
        <x:v>2|Dragon|Rare</x:v>
      </x:c>
      <x:c r="Q254" t="n">
        <x:v>625</x:v>
      </x:c>
      <x:c r="R254" t="str">
        <x:v>1d8</x:v>
      </x:c>
      <x:c r="S254" t="str">
        <x:v>PA</x:v>
      </x:c>
      <x:c r="T254" t="n">
        <x:v>0</x:v>
      </x:c>
      <x:c r="U254" t="n">
        <x:v>0</x:v>
      </x:c>
      <x:c r="V254" t="n">
        <x:v>1</x:v>
      </x:c>
      <x:c r="W254" t="n">
        <x:v>75</x:v>
      </x:c>
      <x:c r="X254" t="str">
        <x:v>VALUE: [[1d8]] PA 1 PA 75 PC</x:v>
      </x:c>
    </x:row>
    <x:row r="255">
      <x:c r="P255" t="str">
        <x:v>2|Dragon|Précieuse</x:v>
      </x:c>
      <x:c r="Q255" t="n">
        <x:v>1000</x:v>
      </x:c>
      <x:c r="R255" t="str">
        <x:v>2d6</x:v>
      </x:c>
      <x:c r="S255" t="str">
        <x:v>PA</x:v>
      </x:c>
      <x:c r="T255" t="n">
        <x:v>0</x:v>
      </x:c>
      <x:c r="U255" t="n">
        <x:v>0</x:v>
      </x:c>
      <x:c r="V255" t="n">
        <x:v>3</x:v>
      </x:c>
      <x:c r="W255" t="n">
        <x:v>0</x:v>
      </x:c>
      <x:c r="X255" t="str">
        <x:v>VALUE: [[2d6]] PA 3 PA</x:v>
      </x:c>
    </x:row>
    <x:row r="256">
      <x:c r="P256" t="str">
        <x:v>2|Dragon|Exceptionnelle</x:v>
      </x:c>
      <x:c r="Q256" t="n">
        <x:v>1750</x:v>
      </x:c>
      <x:c r="R256" t="str">
        <x:v>5d4</x:v>
      </x:c>
      <x:c r="S256" t="str">
        <x:v>PA</x:v>
      </x:c>
      <x:c r="T256" t="n">
        <x:v>0</x:v>
      </x:c>
      <x:c r="U256" t="n">
        <x:v>0</x:v>
      </x:c>
      <x:c r="V256" t="n">
        <x:v>5</x:v>
      </x:c>
      <x:c r="W256" t="n">
        <x:v>0</x:v>
      </x:c>
      <x:c r="X256" t="str">
        <x:v>VALUE: [[5d4]] PA 5 PA</x:v>
      </x:c>
    </x:row>
    <x:row r="257">
      <x:c r="P257" t="str">
        <x:v>3|Vermine|Commune</x:v>
      </x:c>
      <x:c r="Q257" t="n">
        <x:v>28</x:v>
      </x:c>
      <x:c r="R257" t="str">
        <x:v>8d4</x:v>
      </x:c>
      <x:c r="S257" t="str">
        <x:v>PC</x:v>
      </x:c>
      <x:c r="T257" t="n">
        <x:v>0</x:v>
      </x:c>
      <x:c r="U257" t="n">
        <x:v>0</x:v>
      </x:c>
      <x:c r="V257" t="n">
        <x:v>0</x:v>
      </x:c>
      <x:c r="W257" t="n">
        <x:v>8</x:v>
      </x:c>
      <x:c r="X257" t="str">
        <x:v>VALUE: [[8d4]] PC 8 PC</x:v>
      </x:c>
    </x:row>
    <x:row r="258">
      <x:c r="P258" t="str">
        <x:v>3|Vermine|Peu commune</x:v>
      </x:c>
      <x:c r="Q258" t="n">
        <x:v>42</x:v>
      </x:c>
      <x:c r="R258" t="str">
        <x:v>8d6</x:v>
      </x:c>
      <x:c r="S258" t="str">
        <x:v>PC</x:v>
      </x:c>
      <x:c r="T258" t="n">
        <x:v>0</x:v>
      </x:c>
      <x:c r="U258" t="n">
        <x:v>0</x:v>
      </x:c>
      <x:c r="V258" t="n">
        <x:v>0</x:v>
      </x:c>
      <x:c r="W258" t="n">
        <x:v>14</x:v>
      </x:c>
      <x:c r="X258" t="str">
        <x:v>VALUE: [[8d6]] PC 14 PC</x:v>
      </x:c>
    </x:row>
    <x:row r="259">
      <x:c r="P259" t="str">
        <x:v>3|Vermine|Rare</x:v>
      </x:c>
      <x:c r="Q259" t="n">
        <x:v>70</x:v>
      </x:c>
      <x:c r="R259" t="str">
        <x:v>8d12</x:v>
      </x:c>
      <x:c r="S259" t="str">
        <x:v>PC</x:v>
      </x:c>
      <x:c r="T259" t="n">
        <x:v>0</x:v>
      </x:c>
      <x:c r="U259" t="n">
        <x:v>0</x:v>
      </x:c>
      <x:c r="V259" t="n">
        <x:v>0</x:v>
      </x:c>
      <x:c r="W259" t="n">
        <x:v>18</x:v>
      </x:c>
      <x:c r="X259" t="str">
        <x:v>VALUE: [[8d12]] PC 18 PC</x:v>
      </x:c>
    </x:row>
    <x:row r="260">
      <x:c r="P260" t="str">
        <x:v>3|Vermine|Précieuse</x:v>
      </x:c>
      <x:c r="Q260" t="n">
        <x:v>112</x:v>
      </x:c>
      <x:c r="R260" t="str">
        <x:v>8d20</x:v>
      </x:c>
      <x:c r="S260" t="str">
        <x:v>PC</x:v>
      </x:c>
      <x:c r="T260" t="n">
        <x:v>0</x:v>
      </x:c>
      <x:c r="U260" t="n">
        <x:v>0</x:v>
      </x:c>
      <x:c r="V260" t="n">
        <x:v>0</x:v>
      </x:c>
      <x:c r="W260" t="n">
        <x:v>28</x:v>
      </x:c>
      <x:c r="X260" t="str">
        <x:v>VALUE: [[8d20]] PC 28 PC</x:v>
      </x:c>
    </x:row>
    <x:row r="261">
      <x:c r="P261" t="str">
        <x:v>3|Vermine|Exceptionnelle</x:v>
      </x:c>
      <x:c r="Q261" t="n">
        <x:v>196</x:v>
      </x:c>
      <x:c r="R261" t="str">
        <x:v>10d20</x:v>
      </x:c>
      <x:c r="S261" t="str">
        <x:v>PC</x:v>
      </x:c>
      <x:c r="T261" t="n">
        <x:v>0</x:v>
      </x:c>
      <x:c r="U261" t="n">
        <x:v>0</x:v>
      </x:c>
      <x:c r="V261" t="n">
        <x:v>0</x:v>
      </x:c>
      <x:c r="W261" t="n">
        <x:v>91</x:v>
      </x:c>
      <x:c r="X261" t="str">
        <x:v>VALUE: [[10d20]] PC 91 PC</x:v>
      </x:c>
    </x:row>
    <x:row r="262">
      <x:c r="P262" t="str">
        <x:v>3|Bête|Commune</x:v>
      </x:c>
      <x:c r="Q262" t="n">
        <x:v>48</x:v>
      </x:c>
      <x:c r="R262" t="str">
        <x:v>6d10</x:v>
      </x:c>
      <x:c r="S262" t="str">
        <x:v>PC</x:v>
      </x:c>
      <x:c r="T262" t="n">
        <x:v>0</x:v>
      </x:c>
      <x:c r="U262" t="n">
        <x:v>0</x:v>
      </x:c>
      <x:c r="V262" t="n">
        <x:v>0</x:v>
      </x:c>
      <x:c r="W262" t="n">
        <x:v>15</x:v>
      </x:c>
      <x:c r="X262" t="str">
        <x:v>VALUE: [[6d10]] PC 15 PC</x:v>
      </x:c>
    </x:row>
    <x:row r="263">
      <x:c r="P263" t="str">
        <x:v>3|Bête|Peu commune</x:v>
      </x:c>
      <x:c r="Q263" t="n">
        <x:v>72</x:v>
      </x:c>
      <x:c r="R263" t="str">
        <x:v>8d12</x:v>
      </x:c>
      <x:c r="S263" t="str">
        <x:v>PC</x:v>
      </x:c>
      <x:c r="T263" t="n">
        <x:v>0</x:v>
      </x:c>
      <x:c r="U263" t="n">
        <x:v>0</x:v>
      </x:c>
      <x:c r="V263" t="n">
        <x:v>0</x:v>
      </x:c>
      <x:c r="W263" t="n">
        <x:v>20</x:v>
      </x:c>
      <x:c r="X263" t="str">
        <x:v>VALUE: [[8d12]] PC 20 PC</x:v>
      </x:c>
    </x:row>
    <x:row r="264">
      <x:c r="P264" t="str">
        <x:v>3|Bête|Rare</x:v>
      </x:c>
      <x:c r="Q264" t="n">
        <x:v>120</x:v>
      </x:c>
      <x:c r="R264" t="str">
        <x:v>8d20</x:v>
      </x:c>
      <x:c r="S264" t="str">
        <x:v>PC</x:v>
      </x:c>
      <x:c r="T264" t="n">
        <x:v>0</x:v>
      </x:c>
      <x:c r="U264" t="n">
        <x:v>0</x:v>
      </x:c>
      <x:c r="V264" t="n">
        <x:v>0</x:v>
      </x:c>
      <x:c r="W264" t="n">
        <x:v>36</x:v>
      </x:c>
      <x:c r="X264" t="str">
        <x:v>VALUE: [[8d20]] PC 36 PC</x:v>
      </x:c>
    </x:row>
    <x:row r="265">
      <x:c r="P265" t="str">
        <x:v>3|Bête|Précieuse</x:v>
      </x:c>
      <x:c r="Q265" t="n">
        <x:v>192</x:v>
      </x:c>
      <x:c r="R265" t="str">
        <x:v>10d20</x:v>
      </x:c>
      <x:c r="S265" t="str">
        <x:v>PC</x:v>
      </x:c>
      <x:c r="T265" t="n">
        <x:v>0</x:v>
      </x:c>
      <x:c r="U265" t="n">
        <x:v>0</x:v>
      </x:c>
      <x:c r="V265" t="n">
        <x:v>0</x:v>
      </x:c>
      <x:c r="W265" t="n">
        <x:v>87</x:v>
      </x:c>
      <x:c r="X265" t="str">
        <x:v>VALUE: [[10d20]] PC 87 PC</x:v>
      </x:c>
    </x:row>
    <x:row r="266">
      <x:c r="P266" t="str">
        <x:v>3|Bête|Exceptionnelle</x:v>
      </x:c>
      <x:c r="Q266" t="n">
        <x:v>336</x:v>
      </x:c>
      <x:c r="R266" t="str">
        <x:v>1d4</x:v>
      </x:c>
      <x:c r="S266" t="str">
        <x:v>PA</x:v>
      </x:c>
      <x:c r="T266" t="n">
        <x:v>0</x:v>
      </x:c>
      <x:c r="U266" t="n">
        <x:v>0</x:v>
      </x:c>
      <x:c r="V266" t="n">
        <x:v>0</x:v>
      </x:c>
      <x:c r="W266" t="n">
        <x:v>86</x:v>
      </x:c>
      <x:c r="X266" t="str">
        <x:v>VALUE: [[1d4]] PA 86 PC</x:v>
      </x:c>
    </x:row>
    <x:row r="267">
      <x:c r="P267" t="str">
        <x:v>3|Aquatique|Commune</x:v>
      </x:c>
      <x:c r="Q267" t="n">
        <x:v>56</x:v>
      </x:c>
      <x:c r="R267" t="str">
        <x:v>6d12</x:v>
      </x:c>
      <x:c r="S267" t="str">
        <x:v>PC</x:v>
      </x:c>
      <x:c r="T267" t="n">
        <x:v>0</x:v>
      </x:c>
      <x:c r="U267" t="n">
        <x:v>0</x:v>
      </x:c>
      <x:c r="V267" t="n">
        <x:v>0</x:v>
      </x:c>
      <x:c r="W267" t="n">
        <x:v>17</x:v>
      </x:c>
      <x:c r="X267" t="str">
        <x:v>VALUE: [[6d12]] PC 17 PC</x:v>
      </x:c>
    </x:row>
    <x:row r="268">
      <x:c r="P268" t="str">
        <x:v>3|Aquatique|Peu commune</x:v>
      </x:c>
      <x:c r="Q268" t="n">
        <x:v>84</x:v>
      </x:c>
      <x:c r="R268" t="str">
        <x:v>10d10</x:v>
      </x:c>
      <x:c r="S268" t="str">
        <x:v>PC</x:v>
      </x:c>
      <x:c r="T268" t="n">
        <x:v>0</x:v>
      </x:c>
      <x:c r="U268" t="n">
        <x:v>0</x:v>
      </x:c>
      <x:c r="V268" t="n">
        <x:v>0</x:v>
      </x:c>
      <x:c r="W268" t="n">
        <x:v>29</x:v>
      </x:c>
      <x:c r="X268" t="str">
        <x:v>VALUE: [[10d10]] PC 29 PC</x:v>
      </x:c>
    </x:row>
    <x:row r="269">
      <x:c r="P269" t="str">
        <x:v>3|Aquatique|Rare</x:v>
      </x:c>
      <x:c r="Q269" t="n">
        <x:v>140</x:v>
      </x:c>
      <x:c r="R269" t="str">
        <x:v>10d20</x:v>
      </x:c>
      <x:c r="S269" t="str">
        <x:v>PC</x:v>
      </x:c>
      <x:c r="T269" t="n">
        <x:v>0</x:v>
      </x:c>
      <x:c r="U269" t="n">
        <x:v>0</x:v>
      </x:c>
      <x:c r="V269" t="n">
        <x:v>0</x:v>
      </x:c>
      <x:c r="W269" t="n">
        <x:v>35</x:v>
      </x:c>
      <x:c r="X269" t="str">
        <x:v>VALUE: [[10d20]] PC 35 PC</x:v>
      </x:c>
    </x:row>
    <x:row r="270">
      <x:c r="P270" t="str">
        <x:v>3|Aquatique|Précieuse</x:v>
      </x:c>
      <x:c r="Q270" t="n">
        <x:v>224</x:v>
      </x:c>
      <x:c r="R270" t="str">
        <x:v>10d20</x:v>
      </x:c>
      <x:c r="S270" t="str">
        <x:v>PC</x:v>
      </x:c>
      <x:c r="T270" t="n">
        <x:v>0</x:v>
      </x:c>
      <x:c r="U270" t="n">
        <x:v>0</x:v>
      </x:c>
      <x:c r="V270" t="n">
        <x:v>1</x:v>
      </x:c>
      <x:c r="W270" t="n">
        <x:v>19</x:v>
      </x:c>
      <x:c r="X270" t="str">
        <x:v>VALUE: [[10d20]] PC 1 PA 19 PC</x:v>
      </x:c>
    </x:row>
    <x:row r="271">
      <x:c r="P271" t="str">
        <x:v>3|Aquatique|Exceptionnelle</x:v>
      </x:c>
      <x:c r="Q271" t="n">
        <x:v>392</x:v>
      </x:c>
      <x:c r="R271" t="str">
        <x:v>1d4</x:v>
      </x:c>
      <x:c r="S271" t="str">
        <x:v>PA</x:v>
      </x:c>
      <x:c r="T271" t="n">
        <x:v>0</x:v>
      </x:c>
      <x:c r="U271" t="n">
        <x:v>0</x:v>
      </x:c>
      <x:c r="V271" t="n">
        <x:v>1</x:v>
      </x:c>
      <x:c r="W271" t="n">
        <x:v>42</x:v>
      </x:c>
      <x:c r="X271" t="str">
        <x:v>VALUE: [[1d4]] PA 1 PA 42 PC</x:v>
      </x:c>
    </x:row>
    <x:row r="272">
      <x:c r="P272" t="str">
        <x:v>3|Plante|Commune</x:v>
      </x:c>
      <x:c r="Q272" t="n">
        <x:v>64</x:v>
      </x:c>
      <x:c r="R272" t="str">
        <x:v>10d8</x:v>
      </x:c>
      <x:c r="S272" t="str">
        <x:v>PC</x:v>
      </x:c>
      <x:c r="T272" t="n">
        <x:v>0</x:v>
      </x:c>
      <x:c r="U272" t="n">
        <x:v>0</x:v>
      </x:c>
      <x:c r="V272" t="n">
        <x:v>0</x:v>
      </x:c>
      <x:c r="W272" t="n">
        <x:v>19</x:v>
      </x:c>
      <x:c r="X272" t="str">
        <x:v>VALUE: [[10d8]] PC 19 PC</x:v>
      </x:c>
    </x:row>
    <x:row r="273">
      <x:c r="P273" t="str">
        <x:v>3|Plante|Peu commune</x:v>
      </x:c>
      <x:c r="Q273" t="n">
        <x:v>96</x:v>
      </x:c>
      <x:c r="R273" t="str">
        <x:v>10d12</x:v>
      </x:c>
      <x:c r="S273" t="str">
        <x:v>PC</x:v>
      </x:c>
      <x:c r="T273" t="n">
        <x:v>0</x:v>
      </x:c>
      <x:c r="U273" t="n">
        <x:v>0</x:v>
      </x:c>
      <x:c r="V273" t="n">
        <x:v>0</x:v>
      </x:c>
      <x:c r="W273" t="n">
        <x:v>31</x:v>
      </x:c>
      <x:c r="X273" t="str">
        <x:v>VALUE: [[10d12]] PC 31 PC</x:v>
      </x:c>
    </x:row>
    <x:row r="274">
      <x:c r="P274" t="str">
        <x:v>3|Plante|Rare</x:v>
      </x:c>
      <x:c r="Q274" t="n">
        <x:v>160</x:v>
      </x:c>
      <x:c r="R274" t="str">
        <x:v>10d20</x:v>
      </x:c>
      <x:c r="S274" t="str">
        <x:v>PC</x:v>
      </x:c>
      <x:c r="T274" t="n">
        <x:v>0</x:v>
      </x:c>
      <x:c r="U274" t="n">
        <x:v>0</x:v>
      </x:c>
      <x:c r="V274" t="n">
        <x:v>0</x:v>
      </x:c>
      <x:c r="W274" t="n">
        <x:v>55</x:v>
      </x:c>
      <x:c r="X274" t="str">
        <x:v>VALUE: [[10d20]] PC 55 PC</x:v>
      </x:c>
    </x:row>
    <x:row r="275">
      <x:c r="P275" t="str">
        <x:v>3|Plante|Précieuse</x:v>
      </x:c>
      <x:c r="Q275" t="n">
        <x:v>256</x:v>
      </x:c>
      <x:c r="R275" t="str">
        <x:v>1d4</x:v>
      </x:c>
      <x:c r="S275" t="str">
        <x:v>PA</x:v>
      </x:c>
      <x:c r="T275" t="n">
        <x:v>0</x:v>
      </x:c>
      <x:c r="U275" t="n">
        <x:v>0</x:v>
      </x:c>
      <x:c r="V275" t="n">
        <x:v>0</x:v>
      </x:c>
      <x:c r="W275" t="n">
        <x:v>6</x:v>
      </x:c>
      <x:c r="X275" t="str">
        <x:v>VALUE: [[1d4]] PA 6 PC</x:v>
      </x:c>
    </x:row>
    <x:row r="276">
      <x:c r="P276" t="str">
        <x:v>3|Plante|Exceptionnelle</x:v>
      </x:c>
      <x:c r="Q276" t="n">
        <x:v>448</x:v>
      </x:c>
      <x:c r="R276" t="str">
        <x:v>1d6</x:v>
      </x:c>
      <x:c r="S276" t="str">
        <x:v>PA</x:v>
      </x:c>
      <x:c r="T276" t="n">
        <x:v>0</x:v>
      </x:c>
      <x:c r="U276" t="n">
        <x:v>0</x:v>
      </x:c>
      <x:c r="V276" t="n">
        <x:v>0</x:v>
      </x:c>
      <x:c r="W276" t="n">
        <x:v>98</x:v>
      </x:c>
      <x:c r="X276" t="str">
        <x:v>VALUE: [[1d6]] PA 98 PC</x:v>
      </x:c>
    </x:row>
    <x:row r="277">
      <x:c r="P277" t="str">
        <x:v>3|Humanoïde|Commune</x:v>
      </x:c>
      <x:c r="Q277" t="n">
        <x:v>80</x:v>
      </x:c>
      <x:c r="R277" t="str">
        <x:v>10d10</x:v>
      </x:c>
      <x:c r="S277" t="str">
        <x:v>PC</x:v>
      </x:c>
      <x:c r="T277" t="n">
        <x:v>0</x:v>
      </x:c>
      <x:c r="U277" t="n">
        <x:v>0</x:v>
      </x:c>
      <x:c r="V277" t="n">
        <x:v>0</x:v>
      </x:c>
      <x:c r="W277" t="n">
        <x:v>25</x:v>
      </x:c>
      <x:c r="X277" t="str">
        <x:v>VALUE: [[10d10]] PC 25 PC</x:v>
      </x:c>
    </x:row>
    <x:row r="278">
      <x:c r="P278" t="str">
        <x:v>3|Humanoïde|Peu commune</x:v>
      </x:c>
      <x:c r="Q278" t="n">
        <x:v>120</x:v>
      </x:c>
      <x:c r="R278" t="str">
        <x:v>8d20</x:v>
      </x:c>
      <x:c r="S278" t="str">
        <x:v>PC</x:v>
      </x:c>
      <x:c r="T278" t="n">
        <x:v>0</x:v>
      </x:c>
      <x:c r="U278" t="n">
        <x:v>0</x:v>
      </x:c>
      <x:c r="V278" t="n">
        <x:v>0</x:v>
      </x:c>
      <x:c r="W278" t="n">
        <x:v>36</x:v>
      </x:c>
      <x:c r="X278" t="str">
        <x:v>VALUE: [[8d20]] PC 36 PC</x:v>
      </x:c>
    </x:row>
    <x:row r="279">
      <x:c r="P279" t="str">
        <x:v>3|Humanoïde|Rare</x:v>
      </x:c>
      <x:c r="Q279" t="n">
        <x:v>200</x:v>
      </x:c>
      <x:c r="R279" t="str">
        <x:v>10d20</x:v>
      </x:c>
      <x:c r="S279" t="str">
        <x:v>PC</x:v>
      </x:c>
      <x:c r="T279" t="n">
        <x:v>0</x:v>
      </x:c>
      <x:c r="U279" t="n">
        <x:v>0</x:v>
      </x:c>
      <x:c r="V279" t="n">
        <x:v>0</x:v>
      </x:c>
      <x:c r="W279" t="n">
        <x:v>95</x:v>
      </x:c>
      <x:c r="X279" t="str">
        <x:v>VALUE: [[10d20]] PC 95 PC</x:v>
      </x:c>
    </x:row>
    <x:row r="280">
      <x:c r="P280" t="str">
        <x:v>3|Humanoïde|Précieuse</x:v>
      </x:c>
      <x:c r="Q280" t="n">
        <x:v>320</x:v>
      </x:c>
      <x:c r="R280" t="str">
        <x:v>1d4</x:v>
      </x:c>
      <x:c r="S280" t="str">
        <x:v>PA</x:v>
      </x:c>
      <x:c r="T280" t="n">
        <x:v>0</x:v>
      </x:c>
      <x:c r="U280" t="n">
        <x:v>0</x:v>
      </x:c>
      <x:c r="V280" t="n">
        <x:v>0</x:v>
      </x:c>
      <x:c r="W280" t="n">
        <x:v>70</x:v>
      </x:c>
      <x:c r="X280" t="str">
        <x:v>VALUE: [[1d4]] PA 70 PC</x:v>
      </x:c>
    </x:row>
    <x:row r="281">
      <x:c r="P281" t="str">
        <x:v>3|Humanoïde|Exceptionnelle</x:v>
      </x:c>
      <x:c r="Q281" t="n">
        <x:v>560</x:v>
      </x:c>
      <x:c r="R281" t="str">
        <x:v>1d6</x:v>
      </x:c>
      <x:c r="S281" t="str">
        <x:v>PA</x:v>
      </x:c>
      <x:c r="T281" t="n">
        <x:v>0</x:v>
      </x:c>
      <x:c r="U281" t="n">
        <x:v>0</x:v>
      </x:c>
      <x:c r="V281" t="n">
        <x:v>2</x:v>
      </x:c>
      <x:c r="W281" t="n">
        <x:v>10</x:v>
      </x:c>
      <x:c r="X281" t="str">
        <x:v>VALUE: [[1d6]] PA 2 PA 10 PC</x:v>
      </x:c>
    </x:row>
    <x:row r="282">
      <x:c r="P282" t="str">
        <x:v>3|Mort-vivant|Commune</x:v>
      </x:c>
      <x:c r="Q282" t="n">
        <x:v>80</x:v>
      </x:c>
      <x:c r="R282" t="str">
        <x:v>10d10</x:v>
      </x:c>
      <x:c r="S282" t="str">
        <x:v>PC</x:v>
      </x:c>
      <x:c r="T282" t="n">
        <x:v>0</x:v>
      </x:c>
      <x:c r="U282" t="n">
        <x:v>0</x:v>
      </x:c>
      <x:c r="V282" t="n">
        <x:v>0</x:v>
      </x:c>
      <x:c r="W282" t="n">
        <x:v>25</x:v>
      </x:c>
      <x:c r="X282" t="str">
        <x:v>VALUE: [[10d10]] PC 25 PC</x:v>
      </x:c>
    </x:row>
    <x:row r="283">
      <x:c r="P283" t="str">
        <x:v>3|Mort-vivant|Peu commune</x:v>
      </x:c>
      <x:c r="Q283" t="n">
        <x:v>120</x:v>
      </x:c>
      <x:c r="R283" t="str">
        <x:v>8d20</x:v>
      </x:c>
      <x:c r="S283" t="str">
        <x:v>PC</x:v>
      </x:c>
      <x:c r="T283" t="n">
        <x:v>0</x:v>
      </x:c>
      <x:c r="U283" t="n">
        <x:v>0</x:v>
      </x:c>
      <x:c r="V283" t="n">
        <x:v>0</x:v>
      </x:c>
      <x:c r="W283" t="n">
        <x:v>36</x:v>
      </x:c>
      <x:c r="X283" t="str">
        <x:v>VALUE: [[8d20]] PC 36 PC</x:v>
      </x:c>
    </x:row>
    <x:row r="284">
      <x:c r="P284" t="str">
        <x:v>3|Mort-vivant|Rare</x:v>
      </x:c>
      <x:c r="Q284" t="n">
        <x:v>200</x:v>
      </x:c>
      <x:c r="R284" t="str">
        <x:v>10d20</x:v>
      </x:c>
      <x:c r="S284" t="str">
        <x:v>PC</x:v>
      </x:c>
      <x:c r="T284" t="n">
        <x:v>0</x:v>
      </x:c>
      <x:c r="U284" t="n">
        <x:v>0</x:v>
      </x:c>
      <x:c r="V284" t="n">
        <x:v>0</x:v>
      </x:c>
      <x:c r="W284" t="n">
        <x:v>95</x:v>
      </x:c>
      <x:c r="X284" t="str">
        <x:v>VALUE: [[10d20]] PC 95 PC</x:v>
      </x:c>
    </x:row>
    <x:row r="285">
      <x:c r="P285" t="str">
        <x:v>3|Mort-vivant|Précieuse</x:v>
      </x:c>
      <x:c r="Q285" t="n">
        <x:v>320</x:v>
      </x:c>
      <x:c r="R285" t="str">
        <x:v>1d4</x:v>
      </x:c>
      <x:c r="S285" t="str">
        <x:v>PA</x:v>
      </x:c>
      <x:c r="T285" t="n">
        <x:v>0</x:v>
      </x:c>
      <x:c r="U285" t="n">
        <x:v>0</x:v>
      </x:c>
      <x:c r="V285" t="n">
        <x:v>0</x:v>
      </x:c>
      <x:c r="W285" t="n">
        <x:v>70</x:v>
      </x:c>
      <x:c r="X285" t="str">
        <x:v>VALUE: [[1d4]] PA 70 PC</x:v>
      </x:c>
    </x:row>
    <x:row r="286">
      <x:c r="P286" t="str">
        <x:v>3|Mort-vivant|Exceptionnelle</x:v>
      </x:c>
      <x:c r="Q286" t="n">
        <x:v>560</x:v>
      </x:c>
      <x:c r="R286" t="str">
        <x:v>1d6</x:v>
      </x:c>
      <x:c r="S286" t="str">
        <x:v>PA</x:v>
      </x:c>
      <x:c r="T286" t="n">
        <x:v>0</x:v>
      </x:c>
      <x:c r="U286" t="n">
        <x:v>0</x:v>
      </x:c>
      <x:c r="V286" t="n">
        <x:v>2</x:v>
      </x:c>
      <x:c r="W286" t="n">
        <x:v>10</x:v>
      </x:c>
      <x:c r="X286" t="str">
        <x:v>VALUE: [[1d6]] PA 2 PA 10 PC</x:v>
      </x:c>
    </x:row>
    <x:row r="287">
      <x:c r="P287" t="str">
        <x:v>3|Monstre|Commune</x:v>
      </x:c>
      <x:c r="Q287" t="n">
        <x:v>80</x:v>
      </x:c>
      <x:c r="R287" t="str">
        <x:v>10d10</x:v>
      </x:c>
      <x:c r="S287" t="str">
        <x:v>PC</x:v>
      </x:c>
      <x:c r="T287" t="n">
        <x:v>0</x:v>
      </x:c>
      <x:c r="U287" t="n">
        <x:v>0</x:v>
      </x:c>
      <x:c r="V287" t="n">
        <x:v>0</x:v>
      </x:c>
      <x:c r="W287" t="n">
        <x:v>25</x:v>
      </x:c>
      <x:c r="X287" t="str">
        <x:v>VALUE: [[10d10]] PC 25 PC</x:v>
      </x:c>
    </x:row>
    <x:row r="288">
      <x:c r="P288" t="str">
        <x:v>3|Monstre|Peu commune</x:v>
      </x:c>
      <x:c r="Q288" t="n">
        <x:v>120</x:v>
      </x:c>
      <x:c r="R288" t="str">
        <x:v>8d20</x:v>
      </x:c>
      <x:c r="S288" t="str">
        <x:v>PC</x:v>
      </x:c>
      <x:c r="T288" t="n">
        <x:v>0</x:v>
      </x:c>
      <x:c r="U288" t="n">
        <x:v>0</x:v>
      </x:c>
      <x:c r="V288" t="n">
        <x:v>0</x:v>
      </x:c>
      <x:c r="W288" t="n">
        <x:v>36</x:v>
      </x:c>
      <x:c r="X288" t="str">
        <x:v>VALUE: [[8d20]] PC 36 PC</x:v>
      </x:c>
    </x:row>
    <x:row r="289">
      <x:c r="P289" t="str">
        <x:v>3|Monstre|Rare</x:v>
      </x:c>
      <x:c r="Q289" t="n">
        <x:v>200</x:v>
      </x:c>
      <x:c r="R289" t="str">
        <x:v>10d20</x:v>
      </x:c>
      <x:c r="S289" t="str">
        <x:v>PC</x:v>
      </x:c>
      <x:c r="T289" t="n">
        <x:v>0</x:v>
      </x:c>
      <x:c r="U289" t="n">
        <x:v>0</x:v>
      </x:c>
      <x:c r="V289" t="n">
        <x:v>0</x:v>
      </x:c>
      <x:c r="W289" t="n">
        <x:v>95</x:v>
      </x:c>
      <x:c r="X289" t="str">
        <x:v>VALUE: [[10d20]] PC 95 PC</x:v>
      </x:c>
    </x:row>
    <x:row r="290">
      <x:c r="P290" t="str">
        <x:v>3|Monstre|Précieuse</x:v>
      </x:c>
      <x:c r="Q290" t="n">
        <x:v>320</x:v>
      </x:c>
      <x:c r="R290" t="str">
        <x:v>1d4</x:v>
      </x:c>
      <x:c r="S290" t="str">
        <x:v>PA</x:v>
      </x:c>
      <x:c r="T290" t="n">
        <x:v>0</x:v>
      </x:c>
      <x:c r="U290" t="n">
        <x:v>0</x:v>
      </x:c>
      <x:c r="V290" t="n">
        <x:v>0</x:v>
      </x:c>
      <x:c r="W290" t="n">
        <x:v>70</x:v>
      </x:c>
      <x:c r="X290" t="str">
        <x:v>VALUE: [[1d4]] PA 70 PC</x:v>
      </x:c>
    </x:row>
    <x:row r="291">
      <x:c r="P291" t="str">
        <x:v>3|Monstre|Exceptionnelle</x:v>
      </x:c>
      <x:c r="Q291" t="n">
        <x:v>560</x:v>
      </x:c>
      <x:c r="R291" t="str">
        <x:v>1d6</x:v>
      </x:c>
      <x:c r="S291" t="str">
        <x:v>PA</x:v>
      </x:c>
      <x:c r="T291" t="n">
        <x:v>0</x:v>
      </x:c>
      <x:c r="U291" t="n">
        <x:v>0</x:v>
      </x:c>
      <x:c r="V291" t="n">
        <x:v>2</x:v>
      </x:c>
      <x:c r="W291" t="n">
        <x:v>10</x:v>
      </x:c>
      <x:c r="X291" t="str">
        <x:v>VALUE: [[1d6]] PA 2 PA 10 PC</x:v>
      </x:c>
    </x:row>
    <x:row r="292">
      <x:c r="P292" t="str">
        <x:v>3|Vase|Commune</x:v>
      </x:c>
      <x:c r="Q292" t="n">
        <x:v>80</x:v>
      </x:c>
      <x:c r="R292" t="str">
        <x:v>10d10</x:v>
      </x:c>
      <x:c r="S292" t="str">
        <x:v>PC</x:v>
      </x:c>
      <x:c r="T292" t="n">
        <x:v>0</x:v>
      </x:c>
      <x:c r="U292" t="n">
        <x:v>0</x:v>
      </x:c>
      <x:c r="V292" t="n">
        <x:v>0</x:v>
      </x:c>
      <x:c r="W292" t="n">
        <x:v>25</x:v>
      </x:c>
      <x:c r="X292" t="str">
        <x:v>VALUE: [[10d10]] PC 25 PC</x:v>
      </x:c>
    </x:row>
    <x:row r="293">
      <x:c r="P293" t="str">
        <x:v>3|Vase|Peu commune</x:v>
      </x:c>
      <x:c r="Q293" t="n">
        <x:v>120</x:v>
      </x:c>
      <x:c r="R293" t="str">
        <x:v>8d20</x:v>
      </x:c>
      <x:c r="S293" t="str">
        <x:v>PC</x:v>
      </x:c>
      <x:c r="T293" t="n">
        <x:v>0</x:v>
      </x:c>
      <x:c r="U293" t="n">
        <x:v>0</x:v>
      </x:c>
      <x:c r="V293" t="n">
        <x:v>0</x:v>
      </x:c>
      <x:c r="W293" t="n">
        <x:v>36</x:v>
      </x:c>
      <x:c r="X293" t="str">
        <x:v>VALUE: [[8d20]] PC 36 PC</x:v>
      </x:c>
    </x:row>
    <x:row r="294">
      <x:c r="P294" t="str">
        <x:v>3|Vase|Rare</x:v>
      </x:c>
      <x:c r="Q294" t="n">
        <x:v>200</x:v>
      </x:c>
      <x:c r="R294" t="str">
        <x:v>10d20</x:v>
      </x:c>
      <x:c r="S294" t="str">
        <x:v>PC</x:v>
      </x:c>
      <x:c r="T294" t="n">
        <x:v>0</x:v>
      </x:c>
      <x:c r="U294" t="n">
        <x:v>0</x:v>
      </x:c>
      <x:c r="V294" t="n">
        <x:v>0</x:v>
      </x:c>
      <x:c r="W294" t="n">
        <x:v>95</x:v>
      </x:c>
      <x:c r="X294" t="str">
        <x:v>VALUE: [[10d20]] PC 95 PC</x:v>
      </x:c>
    </x:row>
    <x:row r="295">
      <x:c r="P295" t="str">
        <x:v>3|Vase|Précieuse</x:v>
      </x:c>
      <x:c r="Q295" t="n">
        <x:v>320</x:v>
      </x:c>
      <x:c r="R295" t="str">
        <x:v>1d4</x:v>
      </x:c>
      <x:c r="S295" t="str">
        <x:v>PA</x:v>
      </x:c>
      <x:c r="T295" t="n">
        <x:v>0</x:v>
      </x:c>
      <x:c r="U295" t="n">
        <x:v>0</x:v>
      </x:c>
      <x:c r="V295" t="n">
        <x:v>0</x:v>
      </x:c>
      <x:c r="W295" t="n">
        <x:v>70</x:v>
      </x:c>
      <x:c r="X295" t="str">
        <x:v>VALUE: [[1d4]] PA 70 PC</x:v>
      </x:c>
    </x:row>
    <x:row r="296">
      <x:c r="P296" t="str">
        <x:v>3|Vase|Exceptionnelle</x:v>
      </x:c>
      <x:c r="Q296" t="n">
        <x:v>560</x:v>
      </x:c>
      <x:c r="R296" t="str">
        <x:v>1d6</x:v>
      </x:c>
      <x:c r="S296" t="str">
        <x:v>PA</x:v>
      </x:c>
      <x:c r="T296" t="n">
        <x:v>0</x:v>
      </x:c>
      <x:c r="U296" t="n">
        <x:v>0</x:v>
      </x:c>
      <x:c r="V296" t="n">
        <x:v>2</x:v>
      </x:c>
      <x:c r="W296" t="n">
        <x:v>10</x:v>
      </x:c>
      <x:c r="X296" t="str">
        <x:v>VALUE: [[1d6]] PA 2 PA 10 PC</x:v>
      </x:c>
    </x:row>
    <x:row r="297">
      <x:c r="P297" t="str">
        <x:v>3|Géant|Commune</x:v>
      </x:c>
      <x:c r="Q297" t="n">
        <x:v>96</x:v>
      </x:c>
      <x:c r="R297" t="str">
        <x:v>10d12</x:v>
      </x:c>
      <x:c r="S297" t="str">
        <x:v>PC</x:v>
      </x:c>
      <x:c r="T297" t="n">
        <x:v>0</x:v>
      </x:c>
      <x:c r="U297" t="n">
        <x:v>0</x:v>
      </x:c>
      <x:c r="V297" t="n">
        <x:v>0</x:v>
      </x:c>
      <x:c r="W297" t="n">
        <x:v>31</x:v>
      </x:c>
      <x:c r="X297" t="str">
        <x:v>VALUE: [[10d12]] PC 31 PC</x:v>
      </x:c>
    </x:row>
    <x:row r="298">
      <x:c r="P298" t="str">
        <x:v>3|Géant|Peu commune</x:v>
      </x:c>
      <x:c r="Q298" t="n">
        <x:v>144</x:v>
      </x:c>
      <x:c r="R298" t="str">
        <x:v>10d20</x:v>
      </x:c>
      <x:c r="S298" t="str">
        <x:v>PC</x:v>
      </x:c>
      <x:c r="T298" t="n">
        <x:v>0</x:v>
      </x:c>
      <x:c r="U298" t="n">
        <x:v>0</x:v>
      </x:c>
      <x:c r="V298" t="n">
        <x:v>0</x:v>
      </x:c>
      <x:c r="W298" t="n">
        <x:v>39</x:v>
      </x:c>
      <x:c r="X298" t="str">
        <x:v>VALUE: [[10d20]] PC 39 PC</x:v>
      </x:c>
    </x:row>
    <x:row r="299">
      <x:c r="P299" t="str">
        <x:v>3|Géant|Rare</x:v>
      </x:c>
      <x:c r="Q299" t="n">
        <x:v>240</x:v>
      </x:c>
      <x:c r="R299" t="str">
        <x:v>10d20</x:v>
      </x:c>
      <x:c r="S299" t="str">
        <x:v>PC</x:v>
      </x:c>
      <x:c r="T299" t="n">
        <x:v>0</x:v>
      </x:c>
      <x:c r="U299" t="n">
        <x:v>0</x:v>
      </x:c>
      <x:c r="V299" t="n">
        <x:v>1</x:v>
      </x:c>
      <x:c r="W299" t="n">
        <x:v>35</x:v>
      </x:c>
      <x:c r="X299" t="str">
        <x:v>VALUE: [[10d20]] PC 1 PA 35 PC</x:v>
      </x:c>
    </x:row>
    <x:row r="300">
      <x:c r="P300" t="str">
        <x:v>3|Géant|Précieuse</x:v>
      </x:c>
      <x:c r="Q300" t="n">
        <x:v>384</x:v>
      </x:c>
      <x:c r="R300" t="str">
        <x:v>1d4</x:v>
      </x:c>
      <x:c r="S300" t="str">
        <x:v>PA</x:v>
      </x:c>
      <x:c r="T300" t="n">
        <x:v>0</x:v>
      </x:c>
      <x:c r="U300" t="n">
        <x:v>0</x:v>
      </x:c>
      <x:c r="V300" t="n">
        <x:v>1</x:v>
      </x:c>
      <x:c r="W300" t="n">
        <x:v>34</x:v>
      </x:c>
      <x:c r="X300" t="str">
        <x:v>VALUE: [[1d4]] PA 1 PA 34 PC</x:v>
      </x:c>
    </x:row>
    <x:row r="301">
      <x:c r="P301" t="str">
        <x:v>3|Géant|Exceptionnelle</x:v>
      </x:c>
      <x:c r="Q301" t="n">
        <x:v>672</x:v>
      </x:c>
      <x:c r="R301" t="str">
        <x:v>1d8</x:v>
      </x:c>
      <x:c r="S301" t="str">
        <x:v>PA</x:v>
      </x:c>
      <x:c r="T301" t="n">
        <x:v>0</x:v>
      </x:c>
      <x:c r="U301" t="n">
        <x:v>0</x:v>
      </x:c>
      <x:c r="V301" t="n">
        <x:v>2</x:v>
      </x:c>
      <x:c r="W301" t="n">
        <x:v>22</x:v>
      </x:c>
      <x:c r="X301" t="str">
        <x:v>VALUE: [[1d8]] PA 2 PA 22 PC</x:v>
      </x:c>
    </x:row>
    <x:row r="302">
      <x:c r="P302" t="str">
        <x:v>3|Aberration|Commune</x:v>
      </x:c>
      <x:c r="Q302" t="n">
        <x:v>120</x:v>
      </x:c>
      <x:c r="R302" t="str">
        <x:v>8d20</x:v>
      </x:c>
      <x:c r="S302" t="str">
        <x:v>PC</x:v>
      </x:c>
      <x:c r="T302" t="n">
        <x:v>0</x:v>
      </x:c>
      <x:c r="U302" t="n">
        <x:v>0</x:v>
      </x:c>
      <x:c r="V302" t="n">
        <x:v>0</x:v>
      </x:c>
      <x:c r="W302" t="n">
        <x:v>36</x:v>
      </x:c>
      <x:c r="X302" t="str">
        <x:v>VALUE: [[8d20]] PC 36 PC</x:v>
      </x:c>
    </x:row>
    <x:row r="303">
      <x:c r="P303" t="str">
        <x:v>3|Aberration|Peu commune</x:v>
      </x:c>
      <x:c r="Q303" t="n">
        <x:v>180</x:v>
      </x:c>
      <x:c r="R303" t="str">
        <x:v>10d20</x:v>
      </x:c>
      <x:c r="S303" t="str">
        <x:v>PC</x:v>
      </x:c>
      <x:c r="T303" t="n">
        <x:v>0</x:v>
      </x:c>
      <x:c r="U303" t="n">
        <x:v>0</x:v>
      </x:c>
      <x:c r="V303" t="n">
        <x:v>0</x:v>
      </x:c>
      <x:c r="W303" t="n">
        <x:v>75</x:v>
      </x:c>
      <x:c r="X303" t="str">
        <x:v>VALUE: [[10d20]] PC 75 PC</x:v>
      </x:c>
    </x:row>
    <x:row r="304">
      <x:c r="P304" t="str">
        <x:v>3|Aberration|Rare</x:v>
      </x:c>
      <x:c r="Q304" t="n">
        <x:v>300</x:v>
      </x:c>
      <x:c r="R304" t="str">
        <x:v>1d4</x:v>
      </x:c>
      <x:c r="S304" t="str">
        <x:v>PA</x:v>
      </x:c>
      <x:c r="T304" t="n">
        <x:v>0</x:v>
      </x:c>
      <x:c r="U304" t="n">
        <x:v>0</x:v>
      </x:c>
      <x:c r="V304" t="n">
        <x:v>0</x:v>
      </x:c>
      <x:c r="W304" t="n">
        <x:v>50</x:v>
      </x:c>
      <x:c r="X304" t="str">
        <x:v>VALUE: [[1d4]] PA 50 PC</x:v>
      </x:c>
    </x:row>
    <x:row r="305">
      <x:c r="P305" t="str">
        <x:v>3|Aberration|Précieuse</x:v>
      </x:c>
      <x:c r="Q305" t="n">
        <x:v>480</x:v>
      </x:c>
      <x:c r="R305" t="str">
        <x:v>1d6</x:v>
      </x:c>
      <x:c r="S305" t="str">
        <x:v>PA</x:v>
      </x:c>
      <x:c r="T305" t="n">
        <x:v>0</x:v>
      </x:c>
      <x:c r="U305" t="n">
        <x:v>0</x:v>
      </x:c>
      <x:c r="V305" t="n">
        <x:v>1</x:v>
      </x:c>
      <x:c r="W305" t="n">
        <x:v>30</x:v>
      </x:c>
      <x:c r="X305" t="str">
        <x:v>VALUE: [[1d6]] PA 1 PA 30 PC</x:v>
      </x:c>
    </x:row>
    <x:row r="306">
      <x:c r="P306" t="str">
        <x:v>3|Aberration|Exceptionnelle</x:v>
      </x:c>
      <x:c r="Q306" t="n">
        <x:v>840</x:v>
      </x:c>
      <x:c r="R306" t="str">
        <x:v>1d10</x:v>
      </x:c>
      <x:c r="S306" t="str">
        <x:v>PA</x:v>
      </x:c>
      <x:c r="T306" t="n">
        <x:v>0</x:v>
      </x:c>
      <x:c r="U306" t="n">
        <x:v>0</x:v>
      </x:c>
      <x:c r="V306" t="n">
        <x:v>2</x:v>
      </x:c>
      <x:c r="W306" t="n">
        <x:v>90</x:v>
      </x:c>
      <x:c r="X306" t="str">
        <x:v>VALUE: [[1d10]] PA 2 PA 90 PC</x:v>
      </x:c>
    </x:row>
    <x:row r="307">
      <x:c r="P307" t="str">
        <x:v>3|Fée|Commune</x:v>
      </x:c>
      <x:c r="Q307" t="n">
        <x:v>144</x:v>
      </x:c>
      <x:c r="R307" t="str">
        <x:v>10d20</x:v>
      </x:c>
      <x:c r="S307" t="str">
        <x:v>PC</x:v>
      </x:c>
      <x:c r="T307" t="n">
        <x:v>0</x:v>
      </x:c>
      <x:c r="U307" t="n">
        <x:v>0</x:v>
      </x:c>
      <x:c r="V307" t="n">
        <x:v>0</x:v>
      </x:c>
      <x:c r="W307" t="n">
        <x:v>39</x:v>
      </x:c>
      <x:c r="X307" t="str">
        <x:v>VALUE: [[10d20]] PC 39 PC</x:v>
      </x:c>
    </x:row>
    <x:row r="308">
      <x:c r="P308" t="str">
        <x:v>3|Fée|Peu commune</x:v>
      </x:c>
      <x:c r="Q308" t="n">
        <x:v>216</x:v>
      </x:c>
      <x:c r="R308" t="str">
        <x:v>10d20</x:v>
      </x:c>
      <x:c r="S308" t="str">
        <x:v>PC</x:v>
      </x:c>
      <x:c r="T308" t="n">
        <x:v>0</x:v>
      </x:c>
      <x:c r="U308" t="n">
        <x:v>0</x:v>
      </x:c>
      <x:c r="V308" t="n">
        <x:v>1</x:v>
      </x:c>
      <x:c r="W308" t="n">
        <x:v>11</x:v>
      </x:c>
      <x:c r="X308" t="str">
        <x:v>VALUE: [[10d20]] PC 1 PA 11 PC</x:v>
      </x:c>
    </x:row>
    <x:row r="309">
      <x:c r="P309" t="str">
        <x:v>3|Fée|Rare</x:v>
      </x:c>
      <x:c r="Q309" t="n">
        <x:v>360</x:v>
      </x:c>
      <x:c r="R309" t="str">
        <x:v>1d4</x:v>
      </x:c>
      <x:c r="S309" t="str">
        <x:v>PA</x:v>
      </x:c>
      <x:c r="T309" t="n">
        <x:v>0</x:v>
      </x:c>
      <x:c r="U309" t="n">
        <x:v>0</x:v>
      </x:c>
      <x:c r="V309" t="n">
        <x:v>1</x:v>
      </x:c>
      <x:c r="W309" t="n">
        <x:v>10</x:v>
      </x:c>
      <x:c r="X309" t="str">
        <x:v>VALUE: [[1d4]] PA 1 PA 10 PC</x:v>
      </x:c>
    </x:row>
    <x:row r="310">
      <x:c r="P310" t="str">
        <x:v>3|Fée|Précieuse</x:v>
      </x:c>
      <x:c r="Q310" t="n">
        <x:v>576</x:v>
      </x:c>
      <x:c r="R310" t="str">
        <x:v>1d8</x:v>
      </x:c>
      <x:c r="S310" t="str">
        <x:v>PA</x:v>
      </x:c>
      <x:c r="T310" t="n">
        <x:v>0</x:v>
      </x:c>
      <x:c r="U310" t="n">
        <x:v>0</x:v>
      </x:c>
      <x:c r="V310" t="n">
        <x:v>1</x:v>
      </x:c>
      <x:c r="W310" t="n">
        <x:v>26</x:v>
      </x:c>
      <x:c r="X310" t="str">
        <x:v>VALUE: [[1d8]] PA 1 PA 26 PC</x:v>
      </x:c>
    </x:row>
    <x:row r="311">
      <x:c r="P311" t="str">
        <x:v>3|Fée|Exceptionnelle</x:v>
      </x:c>
      <x:c r="Q311" t="n">
        <x:v>1008</x:v>
      </x:c>
      <x:c r="R311" t="str">
        <x:v>2d6</x:v>
      </x:c>
      <x:c r="S311" t="str">
        <x:v>PA</x:v>
      </x:c>
      <x:c r="T311" t="n">
        <x:v>0</x:v>
      </x:c>
      <x:c r="U311" t="n">
        <x:v>0</x:v>
      </x:c>
      <x:c r="V311" t="n">
        <x:v>3</x:v>
      </x:c>
      <x:c r="W311" t="n">
        <x:v>8</x:v>
      </x:c>
      <x:c r="X311" t="str">
        <x:v>VALUE: [[2d6]] PA 3 PA 8 PC</x:v>
      </x:c>
    </x:row>
    <x:row r="312">
      <x:c r="P312" t="str">
        <x:v>3|Démon|Commune</x:v>
      </x:c>
      <x:c r="Q312" t="n">
        <x:v>160</x:v>
      </x:c>
      <x:c r="R312" t="str">
        <x:v>10d20</x:v>
      </x:c>
      <x:c r="S312" t="str">
        <x:v>PC</x:v>
      </x:c>
      <x:c r="T312" t="n">
        <x:v>0</x:v>
      </x:c>
      <x:c r="U312" t="n">
        <x:v>0</x:v>
      </x:c>
      <x:c r="V312" t="n">
        <x:v>0</x:v>
      </x:c>
      <x:c r="W312" t="n">
        <x:v>55</x:v>
      </x:c>
      <x:c r="X312" t="str">
        <x:v>VALUE: [[10d20]] PC 55 PC</x:v>
      </x:c>
    </x:row>
    <x:row r="313">
      <x:c r="P313" t="str">
        <x:v>3|Démon|Peu commune</x:v>
      </x:c>
      <x:c r="Q313" t="n">
        <x:v>240</x:v>
      </x:c>
      <x:c r="R313" t="str">
        <x:v>10d20</x:v>
      </x:c>
      <x:c r="S313" t="str">
        <x:v>PC</x:v>
      </x:c>
      <x:c r="T313" t="n">
        <x:v>0</x:v>
      </x:c>
      <x:c r="U313" t="n">
        <x:v>0</x:v>
      </x:c>
      <x:c r="V313" t="n">
        <x:v>1</x:v>
      </x:c>
      <x:c r="W313" t="n">
        <x:v>35</x:v>
      </x:c>
      <x:c r="X313" t="str">
        <x:v>VALUE: [[10d20]] PC 1 PA 35 PC</x:v>
      </x:c>
    </x:row>
    <x:row r="314">
      <x:c r="P314" t="str">
        <x:v>3|Démon|Rare</x:v>
      </x:c>
      <x:c r="Q314" t="n">
        <x:v>400</x:v>
      </x:c>
      <x:c r="R314" t="str">
        <x:v>1d4</x:v>
      </x:c>
      <x:c r="S314" t="str">
        <x:v>PA</x:v>
      </x:c>
      <x:c r="T314" t="n">
        <x:v>0</x:v>
      </x:c>
      <x:c r="U314" t="n">
        <x:v>0</x:v>
      </x:c>
      <x:c r="V314" t="n">
        <x:v>1</x:v>
      </x:c>
      <x:c r="W314" t="n">
        <x:v>50</x:v>
      </x:c>
      <x:c r="X314" t="str">
        <x:v>VALUE: [[1d4]] PA 1 PA 50 PC</x:v>
      </x:c>
    </x:row>
    <x:row r="315">
      <x:c r="P315" t="str">
        <x:v>3|Démon|Précieuse</x:v>
      </x:c>
      <x:c r="Q315" t="n">
        <x:v>640</x:v>
      </x:c>
      <x:c r="R315" t="str">
        <x:v>1d8</x:v>
      </x:c>
      <x:c r="S315" t="str">
        <x:v>PA</x:v>
      </x:c>
      <x:c r="T315" t="n">
        <x:v>0</x:v>
      </x:c>
      <x:c r="U315" t="n">
        <x:v>0</x:v>
      </x:c>
      <x:c r="V315" t="n">
        <x:v>1</x:v>
      </x:c>
      <x:c r="W315" t="n">
        <x:v>90</x:v>
      </x:c>
      <x:c r="X315" t="str">
        <x:v>VALUE: [[1d8]] PA 1 PA 90 PC</x:v>
      </x:c>
    </x:row>
    <x:row r="316">
      <x:c r="P316" t="str">
        <x:v>3|Démon|Exceptionnelle</x:v>
      </x:c>
      <x:c r="Q316" t="n">
        <x:v>1120</x:v>
      </x:c>
      <x:c r="R316" t="str">
        <x:v>3d4</x:v>
      </x:c>
      <x:c r="S316" t="str">
        <x:v>PA</x:v>
      </x:c>
      <x:c r="T316" t="n">
        <x:v>0</x:v>
      </x:c>
      <x:c r="U316" t="n">
        <x:v>0</x:v>
      </x:c>
      <x:c r="V316" t="n">
        <x:v>3</x:v>
      </x:c>
      <x:c r="W316" t="n">
        <x:v>70</x:v>
      </x:c>
      <x:c r="X316" t="str">
        <x:v>VALUE: [[3d4]] PA 3 PA 70 PC</x:v>
      </x:c>
    </x:row>
    <x:row r="317">
      <x:c r="P317" t="str">
        <x:v>3|Artificiel|Commune</x:v>
      </x:c>
      <x:c r="Q317" t="n">
        <x:v>160</x:v>
      </x:c>
      <x:c r="R317" t="str">
        <x:v>10d20</x:v>
      </x:c>
      <x:c r="S317" t="str">
        <x:v>PC</x:v>
      </x:c>
      <x:c r="T317" t="n">
        <x:v>0</x:v>
      </x:c>
      <x:c r="U317" t="n">
        <x:v>0</x:v>
      </x:c>
      <x:c r="V317" t="n">
        <x:v>0</x:v>
      </x:c>
      <x:c r="W317" t="n">
        <x:v>55</x:v>
      </x:c>
      <x:c r="X317" t="str">
        <x:v>VALUE: [[10d20]] PC 55 PC</x:v>
      </x:c>
    </x:row>
    <x:row r="318">
      <x:c r="P318" t="str">
        <x:v>3|Artificiel|Peu commune</x:v>
      </x:c>
      <x:c r="Q318" t="n">
        <x:v>240</x:v>
      </x:c>
      <x:c r="R318" t="str">
        <x:v>10d20</x:v>
      </x:c>
      <x:c r="S318" t="str">
        <x:v>PC</x:v>
      </x:c>
      <x:c r="T318" t="n">
        <x:v>0</x:v>
      </x:c>
      <x:c r="U318" t="n">
        <x:v>0</x:v>
      </x:c>
      <x:c r="V318" t="n">
        <x:v>1</x:v>
      </x:c>
      <x:c r="W318" t="n">
        <x:v>35</x:v>
      </x:c>
      <x:c r="X318" t="str">
        <x:v>VALUE: [[10d20]] PC 1 PA 35 PC</x:v>
      </x:c>
    </x:row>
    <x:row r="319">
      <x:c r="P319" t="str">
        <x:v>3|Artificiel|Rare</x:v>
      </x:c>
      <x:c r="Q319" t="n">
        <x:v>400</x:v>
      </x:c>
      <x:c r="R319" t="str">
        <x:v>1d4</x:v>
      </x:c>
      <x:c r="S319" t="str">
        <x:v>PA</x:v>
      </x:c>
      <x:c r="T319" t="n">
        <x:v>0</x:v>
      </x:c>
      <x:c r="U319" t="n">
        <x:v>0</x:v>
      </x:c>
      <x:c r="V319" t="n">
        <x:v>1</x:v>
      </x:c>
      <x:c r="W319" t="n">
        <x:v>50</x:v>
      </x:c>
      <x:c r="X319" t="str">
        <x:v>VALUE: [[1d4]] PA 1 PA 50 PC</x:v>
      </x:c>
    </x:row>
    <x:row r="320">
      <x:c r="P320" t="str">
        <x:v>3|Artificiel|Précieuse</x:v>
      </x:c>
      <x:c r="Q320" t="n">
        <x:v>640</x:v>
      </x:c>
      <x:c r="R320" t="str">
        <x:v>1d8</x:v>
      </x:c>
      <x:c r="S320" t="str">
        <x:v>PA</x:v>
      </x:c>
      <x:c r="T320" t="n">
        <x:v>0</x:v>
      </x:c>
      <x:c r="U320" t="n">
        <x:v>0</x:v>
      </x:c>
      <x:c r="V320" t="n">
        <x:v>1</x:v>
      </x:c>
      <x:c r="W320" t="n">
        <x:v>90</x:v>
      </x:c>
      <x:c r="X320" t="str">
        <x:v>VALUE: [[1d8]] PA 1 PA 90 PC</x:v>
      </x:c>
    </x:row>
    <x:row r="321">
      <x:c r="P321" t="str">
        <x:v>3|Artificiel|Exceptionnelle</x:v>
      </x:c>
      <x:c r="Q321" t="n">
        <x:v>1120</x:v>
      </x:c>
      <x:c r="R321" t="str">
        <x:v>3d4</x:v>
      </x:c>
      <x:c r="S321" t="str">
        <x:v>PA</x:v>
      </x:c>
      <x:c r="T321" t="n">
        <x:v>0</x:v>
      </x:c>
      <x:c r="U321" t="n">
        <x:v>0</x:v>
      </x:c>
      <x:c r="V321" t="n">
        <x:v>3</x:v>
      </x:c>
      <x:c r="W321" t="n">
        <x:v>70</x:v>
      </x:c>
      <x:c r="X321" t="str">
        <x:v>VALUE: [[3d4]] PA 3 PA 70 PC</x:v>
      </x:c>
    </x:row>
    <x:row r="322">
      <x:c r="P322" t="str">
        <x:v>3|Élémentaire|Commune</x:v>
      </x:c>
      <x:c r="Q322" t="n">
        <x:v>200</x:v>
      </x:c>
      <x:c r="R322" t="str">
        <x:v>10d20</x:v>
      </x:c>
      <x:c r="S322" t="str">
        <x:v>PC</x:v>
      </x:c>
      <x:c r="T322" t="n">
        <x:v>0</x:v>
      </x:c>
      <x:c r="U322" t="n">
        <x:v>0</x:v>
      </x:c>
      <x:c r="V322" t="n">
        <x:v>0</x:v>
      </x:c>
      <x:c r="W322" t="n">
        <x:v>95</x:v>
      </x:c>
      <x:c r="X322" t="str">
        <x:v>VALUE: [[10d20]] PC 95 PC</x:v>
      </x:c>
    </x:row>
    <x:row r="323">
      <x:c r="P323" t="str">
        <x:v>3|Élémentaire|Peu commune</x:v>
      </x:c>
      <x:c r="Q323" t="n">
        <x:v>300</x:v>
      </x:c>
      <x:c r="R323" t="str">
        <x:v>1d4</x:v>
      </x:c>
      <x:c r="S323" t="str">
        <x:v>PA</x:v>
      </x:c>
      <x:c r="T323" t="n">
        <x:v>0</x:v>
      </x:c>
      <x:c r="U323" t="n">
        <x:v>0</x:v>
      </x:c>
      <x:c r="V323" t="n">
        <x:v>0</x:v>
      </x:c>
      <x:c r="W323" t="n">
        <x:v>50</x:v>
      </x:c>
      <x:c r="X323" t="str">
        <x:v>VALUE: [[1d4]] PA 50 PC</x:v>
      </x:c>
    </x:row>
    <x:row r="324">
      <x:c r="P324" t="str">
        <x:v>3|Élémentaire|Rare</x:v>
      </x:c>
      <x:c r="Q324" t="n">
        <x:v>500</x:v>
      </x:c>
      <x:c r="R324" t="str">
        <x:v>1d6</x:v>
      </x:c>
      <x:c r="S324" t="str">
        <x:v>PA</x:v>
      </x:c>
      <x:c r="T324" t="n">
        <x:v>0</x:v>
      </x:c>
      <x:c r="U324" t="n">
        <x:v>0</x:v>
      </x:c>
      <x:c r="V324" t="n">
        <x:v>1</x:v>
      </x:c>
      <x:c r="W324" t="n">
        <x:v>50</x:v>
      </x:c>
      <x:c r="X324" t="str">
        <x:v>VALUE: [[1d6]] PA 1 PA 50 PC</x:v>
      </x:c>
    </x:row>
    <x:row r="325">
      <x:c r="P325" t="str">
        <x:v>3|Élémentaire|Précieuse</x:v>
      </x:c>
      <x:c r="Q325" t="n">
        <x:v>800</x:v>
      </x:c>
      <x:c r="R325" t="str">
        <x:v>1d10</x:v>
      </x:c>
      <x:c r="S325" t="str">
        <x:v>PA</x:v>
      </x:c>
      <x:c r="T325" t="n">
        <x:v>0</x:v>
      </x:c>
      <x:c r="U325" t="n">
        <x:v>0</x:v>
      </x:c>
      <x:c r="V325" t="n">
        <x:v>2</x:v>
      </x:c>
      <x:c r="W325" t="n">
        <x:v>50</x:v>
      </x:c>
      <x:c r="X325" t="str">
        <x:v>VALUE: [[1d10]] PA 2 PA 50 PC</x:v>
      </x:c>
    </x:row>
    <x:row r="326">
      <x:c r="P326" t="str">
        <x:v>3|Élémentaire|Exceptionnelle</x:v>
      </x:c>
      <x:c r="Q326" t="n">
        <x:v>1400</x:v>
      </x:c>
      <x:c r="R326" t="str">
        <x:v>4d4</x:v>
      </x:c>
      <x:c r="S326" t="str">
        <x:v>PA</x:v>
      </x:c>
      <x:c r="T326" t="n">
        <x:v>0</x:v>
      </x:c>
      <x:c r="U326" t="n">
        <x:v>0</x:v>
      </x:c>
      <x:c r="V326" t="n">
        <x:v>4</x:v>
      </x:c>
      <x:c r="W326" t="n">
        <x:v>0</x:v>
      </x:c>
      <x:c r="X326" t="str">
        <x:v>VALUE: [[4d4]] PA 4 PA</x:v>
      </x:c>
    </x:row>
    <x:row r="327">
      <x:c r="P327" t="str">
        <x:v>3|Esprit|Commune</x:v>
      </x:c>
      <x:c r="Q327" t="n">
        <x:v>200</x:v>
      </x:c>
      <x:c r="R327" t="str">
        <x:v>10d20</x:v>
      </x:c>
      <x:c r="S327" t="str">
        <x:v>PC</x:v>
      </x:c>
      <x:c r="T327" t="n">
        <x:v>0</x:v>
      </x:c>
      <x:c r="U327" t="n">
        <x:v>0</x:v>
      </x:c>
      <x:c r="V327" t="n">
        <x:v>0</x:v>
      </x:c>
      <x:c r="W327" t="n">
        <x:v>95</x:v>
      </x:c>
      <x:c r="X327" t="str">
        <x:v>VALUE: [[10d20]] PC 95 PC</x:v>
      </x:c>
    </x:row>
    <x:row r="328">
      <x:c r="P328" t="str">
        <x:v>3|Esprit|Peu commune</x:v>
      </x:c>
      <x:c r="Q328" t="n">
        <x:v>300</x:v>
      </x:c>
      <x:c r="R328" t="str">
        <x:v>1d4</x:v>
      </x:c>
      <x:c r="S328" t="str">
        <x:v>PA</x:v>
      </x:c>
      <x:c r="T328" t="n">
        <x:v>0</x:v>
      </x:c>
      <x:c r="U328" t="n">
        <x:v>0</x:v>
      </x:c>
      <x:c r="V328" t="n">
        <x:v>0</x:v>
      </x:c>
      <x:c r="W328" t="n">
        <x:v>50</x:v>
      </x:c>
      <x:c r="X328" t="str">
        <x:v>VALUE: [[1d4]] PA 50 PC</x:v>
      </x:c>
    </x:row>
    <x:row r="329">
      <x:c r="P329" t="str">
        <x:v>3|Esprit|Rare</x:v>
      </x:c>
      <x:c r="Q329" t="n">
        <x:v>500</x:v>
      </x:c>
      <x:c r="R329" t="str">
        <x:v>1d6</x:v>
      </x:c>
      <x:c r="S329" t="str">
        <x:v>PA</x:v>
      </x:c>
      <x:c r="T329" t="n">
        <x:v>0</x:v>
      </x:c>
      <x:c r="U329" t="n">
        <x:v>0</x:v>
      </x:c>
      <x:c r="V329" t="n">
        <x:v>1</x:v>
      </x:c>
      <x:c r="W329" t="n">
        <x:v>50</x:v>
      </x:c>
      <x:c r="X329" t="str">
        <x:v>VALUE: [[1d6]] PA 1 PA 50 PC</x:v>
      </x:c>
    </x:row>
    <x:row r="330">
      <x:c r="P330" t="str">
        <x:v>3|Esprit|Précieuse</x:v>
      </x:c>
      <x:c r="Q330" t="n">
        <x:v>800</x:v>
      </x:c>
      <x:c r="R330" t="str">
        <x:v>1d10</x:v>
      </x:c>
      <x:c r="S330" t="str">
        <x:v>PA</x:v>
      </x:c>
      <x:c r="T330" t="n">
        <x:v>0</x:v>
      </x:c>
      <x:c r="U330" t="n">
        <x:v>0</x:v>
      </x:c>
      <x:c r="V330" t="n">
        <x:v>2</x:v>
      </x:c>
      <x:c r="W330" t="n">
        <x:v>50</x:v>
      </x:c>
      <x:c r="X330" t="str">
        <x:v>VALUE: [[1d10]] PA 2 PA 50 PC</x:v>
      </x:c>
    </x:row>
    <x:row r="331">
      <x:c r="P331" t="str">
        <x:v>3|Esprit|Exceptionnelle</x:v>
      </x:c>
      <x:c r="Q331" t="n">
        <x:v>1400</x:v>
      </x:c>
      <x:c r="R331" t="str">
        <x:v>4d4</x:v>
      </x:c>
      <x:c r="S331" t="str">
        <x:v>PA</x:v>
      </x:c>
      <x:c r="T331" t="n">
        <x:v>0</x:v>
      </x:c>
      <x:c r="U331" t="n">
        <x:v>0</x:v>
      </x:c>
      <x:c r="V331" t="n">
        <x:v>4</x:v>
      </x:c>
      <x:c r="W331" t="n">
        <x:v>0</x:v>
      </x:c>
      <x:c r="X331" t="str">
        <x:v>VALUE: [[4d4]] PA 4 PA</x:v>
      </x:c>
    </x:row>
    <x:row r="332">
      <x:c r="P332" t="str">
        <x:v>3|Céleste|Commune</x:v>
      </x:c>
      <x:c r="Q332" t="n">
        <x:v>240</x:v>
      </x:c>
      <x:c r="R332" t="str">
        <x:v>10d20</x:v>
      </x:c>
      <x:c r="S332" t="str">
        <x:v>PC</x:v>
      </x:c>
      <x:c r="T332" t="n">
        <x:v>0</x:v>
      </x:c>
      <x:c r="U332" t="n">
        <x:v>0</x:v>
      </x:c>
      <x:c r="V332" t="n">
        <x:v>1</x:v>
      </x:c>
      <x:c r="W332" t="n">
        <x:v>35</x:v>
      </x:c>
      <x:c r="X332" t="str">
        <x:v>VALUE: [[10d20]] PC 1 PA 35 PC</x:v>
      </x:c>
    </x:row>
    <x:row r="333">
      <x:c r="P333" t="str">
        <x:v>3|Céleste|Peu commune</x:v>
      </x:c>
      <x:c r="Q333" t="n">
        <x:v>360</x:v>
      </x:c>
      <x:c r="R333" t="str">
        <x:v>1d4</x:v>
      </x:c>
      <x:c r="S333" t="str">
        <x:v>PA</x:v>
      </x:c>
      <x:c r="T333" t="n">
        <x:v>0</x:v>
      </x:c>
      <x:c r="U333" t="n">
        <x:v>0</x:v>
      </x:c>
      <x:c r="V333" t="n">
        <x:v>1</x:v>
      </x:c>
      <x:c r="W333" t="n">
        <x:v>10</x:v>
      </x:c>
      <x:c r="X333" t="str">
        <x:v>VALUE: [[1d4]] PA 1 PA 10 PC</x:v>
      </x:c>
    </x:row>
    <x:row r="334">
      <x:c r="P334" t="str">
        <x:v>3|Céleste|Rare</x:v>
      </x:c>
      <x:c r="Q334" t="n">
        <x:v>600</x:v>
      </x:c>
      <x:c r="R334" t="str">
        <x:v>1d8</x:v>
      </x:c>
      <x:c r="S334" t="str">
        <x:v>PA</x:v>
      </x:c>
      <x:c r="T334" t="n">
        <x:v>0</x:v>
      </x:c>
      <x:c r="U334" t="n">
        <x:v>0</x:v>
      </x:c>
      <x:c r="V334" t="n">
        <x:v>1</x:v>
      </x:c>
      <x:c r="W334" t="n">
        <x:v>50</x:v>
      </x:c>
      <x:c r="X334" t="str">
        <x:v>VALUE: [[1d8]] PA 1 PA 50 PC</x:v>
      </x:c>
    </x:row>
    <x:row r="335">
      <x:c r="P335" t="str">
        <x:v>3|Céleste|Précieuse</x:v>
      </x:c>
      <x:c r="Q335" t="n">
        <x:v>960</x:v>
      </x:c>
      <x:c r="R335" t="str">
        <x:v>1d12</x:v>
      </x:c>
      <x:c r="S335" t="str">
        <x:v>PA</x:v>
      </x:c>
      <x:c r="T335" t="n">
        <x:v>0</x:v>
      </x:c>
      <x:c r="U335" t="n">
        <x:v>0</x:v>
      </x:c>
      <x:c r="V335" t="n">
        <x:v>3</x:v>
      </x:c>
      <x:c r="W335" t="n">
        <x:v>10</x:v>
      </x:c>
      <x:c r="X335" t="str">
        <x:v>VALUE: [[1d12]] PA 3 PA 10 PC</x:v>
      </x:c>
    </x:row>
    <x:row r="336">
      <x:c r="P336" t="str">
        <x:v>3|Céleste|Exceptionnelle</x:v>
      </x:c>
      <x:c r="Q336" t="n">
        <x:v>1680</x:v>
      </x:c>
      <x:c r="R336" t="str">
        <x:v>5d4</x:v>
      </x:c>
      <x:c r="S336" t="str">
        <x:v>PA</x:v>
      </x:c>
      <x:c r="T336" t="n">
        <x:v>0</x:v>
      </x:c>
      <x:c r="U336" t="n">
        <x:v>0</x:v>
      </x:c>
      <x:c r="V336" t="n">
        <x:v>4</x:v>
      </x:c>
      <x:c r="W336" t="n">
        <x:v>30</x:v>
      </x:c>
      <x:c r="X336" t="str">
        <x:v>VALUE: [[5d4]] PA 4 PA 30 PC</x:v>
      </x:c>
    </x:row>
    <x:row r="337">
      <x:c r="P337" t="str">
        <x:v>3|Dragon|Commune</x:v>
      </x:c>
      <x:c r="Q337" t="n">
        <x:v>400</x:v>
      </x:c>
      <x:c r="R337" t="str">
        <x:v>1d4</x:v>
      </x:c>
      <x:c r="S337" t="str">
        <x:v>PA</x:v>
      </x:c>
      <x:c r="T337" t="n">
        <x:v>0</x:v>
      </x:c>
      <x:c r="U337" t="n">
        <x:v>0</x:v>
      </x:c>
      <x:c r="V337" t="n">
        <x:v>1</x:v>
      </x:c>
      <x:c r="W337" t="n">
        <x:v>50</x:v>
      </x:c>
      <x:c r="X337" t="str">
        <x:v>VALUE: [[1d4]] PA 1 PA 50 PC</x:v>
      </x:c>
    </x:row>
    <x:row r="338">
      <x:c r="P338" t="str">
        <x:v>3|Dragon|Peu commune</x:v>
      </x:c>
      <x:c r="Q338" t="n">
        <x:v>600</x:v>
      </x:c>
      <x:c r="R338" t="str">
        <x:v>1d8</x:v>
      </x:c>
      <x:c r="S338" t="str">
        <x:v>PA</x:v>
      </x:c>
      <x:c r="T338" t="n">
        <x:v>0</x:v>
      </x:c>
      <x:c r="U338" t="n">
        <x:v>0</x:v>
      </x:c>
      <x:c r="V338" t="n">
        <x:v>1</x:v>
      </x:c>
      <x:c r="W338" t="n">
        <x:v>50</x:v>
      </x:c>
      <x:c r="X338" t="str">
        <x:v>VALUE: [[1d8]] PA 1 PA 50 PC</x:v>
      </x:c>
    </x:row>
    <x:row r="339">
      <x:c r="P339" t="str">
        <x:v>3|Dragon|Rare</x:v>
      </x:c>
      <x:c r="Q339" t="n">
        <x:v>1000</x:v>
      </x:c>
      <x:c r="R339" t="str">
        <x:v>2d6</x:v>
      </x:c>
      <x:c r="S339" t="str">
        <x:v>PA</x:v>
      </x:c>
      <x:c r="T339" t="n">
        <x:v>0</x:v>
      </x:c>
      <x:c r="U339" t="n">
        <x:v>0</x:v>
      </x:c>
      <x:c r="V339" t="n">
        <x:v>3</x:v>
      </x:c>
      <x:c r="W339" t="n">
        <x:v>0</x:v>
      </x:c>
      <x:c r="X339" t="str">
        <x:v>VALUE: [[2d6]] PA 3 PA</x:v>
      </x:c>
    </x:row>
    <x:row r="340">
      <x:c r="P340" t="str">
        <x:v>3|Dragon|Précieuse</x:v>
      </x:c>
      <x:c r="Q340" t="n">
        <x:v>1600</x:v>
      </x:c>
      <x:c r="R340" t="str">
        <x:v>2d10</x:v>
      </x:c>
      <x:c r="S340" t="str">
        <x:v>PA</x:v>
      </x:c>
      <x:c r="T340" t="n">
        <x:v>0</x:v>
      </x:c>
      <x:c r="U340" t="n">
        <x:v>0</x:v>
      </x:c>
      <x:c r="V340" t="n">
        <x:v>5</x:v>
      </x:c>
      <x:c r="W340" t="n">
        <x:v>0</x:v>
      </x:c>
      <x:c r="X340" t="str">
        <x:v>VALUE: [[2d10]] PA 5 PA</x:v>
      </x:c>
    </x:row>
    <x:row r="341">
      <x:c r="P341" t="str">
        <x:v>3|Dragon|Exceptionnelle</x:v>
      </x:c>
      <x:c r="Q341" t="n">
        <x:v>2800</x:v>
      </x:c>
      <x:c r="R341" t="str">
        <x:v>3d12</x:v>
      </x:c>
      <x:c r="S341" t="str">
        <x:v>PA</x:v>
      </x:c>
      <x:c r="T341" t="n">
        <x:v>0</x:v>
      </x:c>
      <x:c r="U341" t="n">
        <x:v>0</x:v>
      </x:c>
      <x:c r="V341" t="n">
        <x:v>8</x:v>
      </x:c>
      <x:c r="W341" t="n">
        <x:v>50</x:v>
      </x:c>
      <x:c r="X341" t="str">
        <x:v>VALUE: [[3d12]] PA 8 PA 50 PC</x:v>
      </x:c>
    </x:row>
    <x:row r="342">
      <x:c r="P342" t="str">
        <x:v>4|Vermine|Commune</x:v>
      </x:c>
      <x:c r="Q342" t="n">
        <x:v>42</x:v>
      </x:c>
      <x:c r="R342" t="str">
        <x:v>8d6</x:v>
      </x:c>
      <x:c r="S342" t="str">
        <x:v>PC</x:v>
      </x:c>
      <x:c r="T342" t="n">
        <x:v>0</x:v>
      </x:c>
      <x:c r="U342" t="n">
        <x:v>0</x:v>
      </x:c>
      <x:c r="V342" t="n">
        <x:v>0</x:v>
      </x:c>
      <x:c r="W342" t="n">
        <x:v>14</x:v>
      </x:c>
      <x:c r="X342" t="str">
        <x:v>VALUE: [[8d6]] PC 14 PC</x:v>
      </x:c>
    </x:row>
    <x:row r="343">
      <x:c r="P343" t="str">
        <x:v>4|Vermine|Peu commune</x:v>
      </x:c>
      <x:c r="Q343" t="n">
        <x:v>63</x:v>
      </x:c>
      <x:c r="R343" t="str">
        <x:v>8d10</x:v>
      </x:c>
      <x:c r="S343" t="str">
        <x:v>PC</x:v>
      </x:c>
      <x:c r="T343" t="n">
        <x:v>0</x:v>
      </x:c>
      <x:c r="U343" t="n">
        <x:v>0</x:v>
      </x:c>
      <x:c r="V343" t="n">
        <x:v>0</x:v>
      </x:c>
      <x:c r="W343" t="n">
        <x:v>19</x:v>
      </x:c>
      <x:c r="X343" t="str">
        <x:v>VALUE: [[8d10]] PC 19 PC</x:v>
      </x:c>
    </x:row>
    <x:row r="344">
      <x:c r="P344" t="str">
        <x:v>4|Vermine|Rare</x:v>
      </x:c>
      <x:c r="Q344" t="n">
        <x:v>105</x:v>
      </x:c>
      <x:c r="R344" t="str">
        <x:v>10d12</x:v>
      </x:c>
      <x:c r="S344" t="str">
        <x:v>PC</x:v>
      </x:c>
      <x:c r="T344" t="n">
        <x:v>0</x:v>
      </x:c>
      <x:c r="U344" t="n">
        <x:v>0</x:v>
      </x:c>
      <x:c r="V344" t="n">
        <x:v>0</x:v>
      </x:c>
      <x:c r="W344" t="n">
        <x:v>40</x:v>
      </x:c>
      <x:c r="X344" t="str">
        <x:v>VALUE: [[10d12]] PC 40 PC</x:v>
      </x:c>
    </x:row>
    <x:row r="345">
      <x:c r="P345" t="str">
        <x:v>4|Vermine|Précieuse</x:v>
      </x:c>
      <x:c r="Q345" t="n">
        <x:v>168</x:v>
      </x:c>
      <x:c r="R345" t="str">
        <x:v>10d20</x:v>
      </x:c>
      <x:c r="S345" t="str">
        <x:v>PC</x:v>
      </x:c>
      <x:c r="T345" t="n">
        <x:v>0</x:v>
      </x:c>
      <x:c r="U345" t="n">
        <x:v>0</x:v>
      </x:c>
      <x:c r="V345" t="n">
        <x:v>0</x:v>
      </x:c>
      <x:c r="W345" t="n">
        <x:v>63</x:v>
      </x:c>
      <x:c r="X345" t="str">
        <x:v>VALUE: [[10d20]] PC 63 PC</x:v>
      </x:c>
    </x:row>
    <x:row r="346">
      <x:c r="P346" t="str">
        <x:v>4|Vermine|Exceptionnelle</x:v>
      </x:c>
      <x:c r="Q346" t="n">
        <x:v>294</x:v>
      </x:c>
      <x:c r="R346" t="str">
        <x:v>1d4</x:v>
      </x:c>
      <x:c r="S346" t="str">
        <x:v>PA</x:v>
      </x:c>
      <x:c r="T346" t="n">
        <x:v>0</x:v>
      </x:c>
      <x:c r="U346" t="n">
        <x:v>0</x:v>
      </x:c>
      <x:c r="V346" t="n">
        <x:v>0</x:v>
      </x:c>
      <x:c r="W346" t="n">
        <x:v>44</x:v>
      </x:c>
      <x:c r="X346" t="str">
        <x:v>VALUE: [[1d4]] PA 44 PC</x:v>
      </x:c>
    </x:row>
    <x:row r="347">
      <x:c r="P347" t="str">
        <x:v>4|Bête|Commune</x:v>
      </x:c>
      <x:c r="Q347" t="n">
        <x:v>72</x:v>
      </x:c>
      <x:c r="R347" t="str">
        <x:v>8d12</x:v>
      </x:c>
      <x:c r="S347" t="str">
        <x:v>PC</x:v>
      </x:c>
      <x:c r="T347" t="n">
        <x:v>0</x:v>
      </x:c>
      <x:c r="U347" t="n">
        <x:v>0</x:v>
      </x:c>
      <x:c r="V347" t="n">
        <x:v>0</x:v>
      </x:c>
      <x:c r="W347" t="n">
        <x:v>20</x:v>
      </x:c>
      <x:c r="X347" t="str">
        <x:v>VALUE: [[8d12]] PC 20 PC</x:v>
      </x:c>
    </x:row>
    <x:row r="348">
      <x:c r="P348" t="str">
        <x:v>4|Bête|Peu commune</x:v>
      </x:c>
      <x:c r="Q348" t="n">
        <x:v>108</x:v>
      </x:c>
      <x:c r="R348" t="str">
        <x:v>8d20</x:v>
      </x:c>
      <x:c r="S348" t="str">
        <x:v>PC</x:v>
      </x:c>
      <x:c r="T348" t="n">
        <x:v>0</x:v>
      </x:c>
      <x:c r="U348" t="n">
        <x:v>0</x:v>
      </x:c>
      <x:c r="V348" t="n">
        <x:v>0</x:v>
      </x:c>
      <x:c r="W348" t="n">
        <x:v>24</x:v>
      </x:c>
      <x:c r="X348" t="str">
        <x:v>VALUE: [[8d20]] PC 24 PC</x:v>
      </x:c>
    </x:row>
    <x:row r="349">
      <x:c r="P349" t="str">
        <x:v>4|Bête|Rare</x:v>
      </x:c>
      <x:c r="Q349" t="n">
        <x:v>180</x:v>
      </x:c>
      <x:c r="R349" t="str">
        <x:v>10d20</x:v>
      </x:c>
      <x:c r="S349" t="str">
        <x:v>PC</x:v>
      </x:c>
      <x:c r="T349" t="n">
        <x:v>0</x:v>
      </x:c>
      <x:c r="U349" t="n">
        <x:v>0</x:v>
      </x:c>
      <x:c r="V349" t="n">
        <x:v>0</x:v>
      </x:c>
      <x:c r="W349" t="n">
        <x:v>75</x:v>
      </x:c>
      <x:c r="X349" t="str">
        <x:v>VALUE: [[10d20]] PC 75 PC</x:v>
      </x:c>
    </x:row>
    <x:row r="350">
      <x:c r="P350" t="str">
        <x:v>4|Bête|Précieuse</x:v>
      </x:c>
      <x:c r="Q350" t="n">
        <x:v>288</x:v>
      </x:c>
      <x:c r="R350" t="str">
        <x:v>1d4</x:v>
      </x:c>
      <x:c r="S350" t="str">
        <x:v>PA</x:v>
      </x:c>
      <x:c r="T350" t="n">
        <x:v>0</x:v>
      </x:c>
      <x:c r="U350" t="n">
        <x:v>0</x:v>
      </x:c>
      <x:c r="V350" t="n">
        <x:v>0</x:v>
      </x:c>
      <x:c r="W350" t="n">
        <x:v>38</x:v>
      </x:c>
      <x:c r="X350" t="str">
        <x:v>VALUE: [[1d4]] PA 38 PC</x:v>
      </x:c>
    </x:row>
    <x:row r="351">
      <x:c r="P351" t="str">
        <x:v>4|Bête|Exceptionnelle</x:v>
      </x:c>
      <x:c r="Q351" t="n">
        <x:v>504</x:v>
      </x:c>
      <x:c r="R351" t="str">
        <x:v>1d6</x:v>
      </x:c>
      <x:c r="S351" t="str">
        <x:v>PA</x:v>
      </x:c>
      <x:c r="T351" t="n">
        <x:v>0</x:v>
      </x:c>
      <x:c r="U351" t="n">
        <x:v>0</x:v>
      </x:c>
      <x:c r="V351" t="n">
        <x:v>1</x:v>
      </x:c>
      <x:c r="W351" t="n">
        <x:v>54</x:v>
      </x:c>
      <x:c r="X351" t="str">
        <x:v>VALUE: [[1d6]] PA 1 PA 54 PC</x:v>
      </x:c>
    </x:row>
    <x:row r="352">
      <x:c r="P352" t="str">
        <x:v>4|Aquatique|Commune</x:v>
      </x:c>
      <x:c r="Q352" t="n">
        <x:v>84</x:v>
      </x:c>
      <x:c r="R352" t="str">
        <x:v>10d10</x:v>
      </x:c>
      <x:c r="S352" t="str">
        <x:v>PC</x:v>
      </x:c>
      <x:c r="T352" t="n">
        <x:v>0</x:v>
      </x:c>
      <x:c r="U352" t="n">
        <x:v>0</x:v>
      </x:c>
      <x:c r="V352" t="n">
        <x:v>0</x:v>
      </x:c>
      <x:c r="W352" t="n">
        <x:v>29</x:v>
      </x:c>
      <x:c r="X352" t="str">
        <x:v>VALUE: [[10d10]] PC 29 PC</x:v>
      </x:c>
    </x:row>
    <x:row r="353">
      <x:c r="P353" t="str">
        <x:v>4|Aquatique|Peu commune</x:v>
      </x:c>
      <x:c r="Q353" t="n">
        <x:v>126</x:v>
      </x:c>
      <x:c r="R353" t="str">
        <x:v>8d20</x:v>
      </x:c>
      <x:c r="S353" t="str">
        <x:v>PC</x:v>
      </x:c>
      <x:c r="T353" t="n">
        <x:v>0</x:v>
      </x:c>
      <x:c r="U353" t="n">
        <x:v>0</x:v>
      </x:c>
      <x:c r="V353" t="n">
        <x:v>0</x:v>
      </x:c>
      <x:c r="W353" t="n">
        <x:v>42</x:v>
      </x:c>
      <x:c r="X353" t="str">
        <x:v>VALUE: [[8d20]] PC 42 PC</x:v>
      </x:c>
    </x:row>
    <x:row r="354">
      <x:c r="P354" t="str">
        <x:v>4|Aquatique|Rare</x:v>
      </x:c>
      <x:c r="Q354" t="n">
        <x:v>210</x:v>
      </x:c>
      <x:c r="R354" t="str">
        <x:v>10d20</x:v>
      </x:c>
      <x:c r="S354" t="str">
        <x:v>PC</x:v>
      </x:c>
      <x:c r="T354" t="n">
        <x:v>0</x:v>
      </x:c>
      <x:c r="U354" t="n">
        <x:v>0</x:v>
      </x:c>
      <x:c r="V354" t="n">
        <x:v>1</x:v>
      </x:c>
      <x:c r="W354" t="n">
        <x:v>5</x:v>
      </x:c>
      <x:c r="X354" t="str">
        <x:v>VALUE: [[10d20]] PC 1 PA 5 PC</x:v>
      </x:c>
    </x:row>
    <x:row r="355">
      <x:c r="P355" t="str">
        <x:v>4|Aquatique|Précieuse</x:v>
      </x:c>
      <x:c r="Q355" t="n">
        <x:v>336</x:v>
      </x:c>
      <x:c r="R355" t="str">
        <x:v>1d4</x:v>
      </x:c>
      <x:c r="S355" t="str">
        <x:v>PA</x:v>
      </x:c>
      <x:c r="T355" t="n">
        <x:v>0</x:v>
      </x:c>
      <x:c r="U355" t="n">
        <x:v>0</x:v>
      </x:c>
      <x:c r="V355" t="n">
        <x:v>0</x:v>
      </x:c>
      <x:c r="W355" t="n">
        <x:v>86</x:v>
      </x:c>
      <x:c r="X355" t="str">
        <x:v>VALUE: [[1d4]] PA 86 PC</x:v>
      </x:c>
    </x:row>
    <x:row r="356">
      <x:c r="P356" t="str">
        <x:v>4|Aquatique|Exceptionnelle</x:v>
      </x:c>
      <x:c r="Q356" t="n">
        <x:v>588</x:v>
      </x:c>
      <x:c r="R356" t="str">
        <x:v>1d8</x:v>
      </x:c>
      <x:c r="S356" t="str">
        <x:v>PA</x:v>
      </x:c>
      <x:c r="T356" t="n">
        <x:v>0</x:v>
      </x:c>
      <x:c r="U356" t="n">
        <x:v>0</x:v>
      </x:c>
      <x:c r="V356" t="n">
        <x:v>1</x:v>
      </x:c>
      <x:c r="W356" t="n">
        <x:v>38</x:v>
      </x:c>
      <x:c r="X356" t="str">
        <x:v>VALUE: [[1d8]] PA 1 PA 38 PC</x:v>
      </x:c>
    </x:row>
    <x:row r="357">
      <x:c r="P357" t="str">
        <x:v>4|Plante|Commune</x:v>
      </x:c>
      <x:c r="Q357" t="n">
        <x:v>96</x:v>
      </x:c>
      <x:c r="R357" t="str">
        <x:v>10d12</x:v>
      </x:c>
      <x:c r="S357" t="str">
        <x:v>PC</x:v>
      </x:c>
      <x:c r="T357" t="n">
        <x:v>0</x:v>
      </x:c>
      <x:c r="U357" t="n">
        <x:v>0</x:v>
      </x:c>
      <x:c r="V357" t="n">
        <x:v>0</x:v>
      </x:c>
      <x:c r="W357" t="n">
        <x:v>31</x:v>
      </x:c>
      <x:c r="X357" t="str">
        <x:v>VALUE: [[10d12]] PC 31 PC</x:v>
      </x:c>
    </x:row>
    <x:row r="358">
      <x:c r="P358" t="str">
        <x:v>4|Plante|Peu commune</x:v>
      </x:c>
      <x:c r="Q358" t="n">
        <x:v>144</x:v>
      </x:c>
      <x:c r="R358" t="str">
        <x:v>10d20</x:v>
      </x:c>
      <x:c r="S358" t="str">
        <x:v>PC</x:v>
      </x:c>
      <x:c r="T358" t="n">
        <x:v>0</x:v>
      </x:c>
      <x:c r="U358" t="n">
        <x:v>0</x:v>
      </x:c>
      <x:c r="V358" t="n">
        <x:v>0</x:v>
      </x:c>
      <x:c r="W358" t="n">
        <x:v>39</x:v>
      </x:c>
      <x:c r="X358" t="str">
        <x:v>VALUE: [[10d20]] PC 39 PC</x:v>
      </x:c>
    </x:row>
    <x:row r="359">
      <x:c r="P359" t="str">
        <x:v>4|Plante|Rare</x:v>
      </x:c>
      <x:c r="Q359" t="n">
        <x:v>240</x:v>
      </x:c>
      <x:c r="R359" t="str">
        <x:v>10d20</x:v>
      </x:c>
      <x:c r="S359" t="str">
        <x:v>PC</x:v>
      </x:c>
      <x:c r="T359" t="n">
        <x:v>0</x:v>
      </x:c>
      <x:c r="U359" t="n">
        <x:v>0</x:v>
      </x:c>
      <x:c r="V359" t="n">
        <x:v>1</x:v>
      </x:c>
      <x:c r="W359" t="n">
        <x:v>35</x:v>
      </x:c>
      <x:c r="X359" t="str">
        <x:v>VALUE: [[10d20]] PC 1 PA 35 PC</x:v>
      </x:c>
    </x:row>
    <x:row r="360">
      <x:c r="P360" t="str">
        <x:v>4|Plante|Précieuse</x:v>
      </x:c>
      <x:c r="Q360" t="n">
        <x:v>384</x:v>
      </x:c>
      <x:c r="R360" t="str">
        <x:v>1d4</x:v>
      </x:c>
      <x:c r="S360" t="str">
        <x:v>PA</x:v>
      </x:c>
      <x:c r="T360" t="n">
        <x:v>0</x:v>
      </x:c>
      <x:c r="U360" t="n">
        <x:v>0</x:v>
      </x:c>
      <x:c r="V360" t="n">
        <x:v>1</x:v>
      </x:c>
      <x:c r="W360" t="n">
        <x:v>34</x:v>
      </x:c>
      <x:c r="X360" t="str">
        <x:v>VALUE: [[1d4]] PA 1 PA 34 PC</x:v>
      </x:c>
    </x:row>
    <x:row r="361">
      <x:c r="P361" t="str">
        <x:v>4|Plante|Exceptionnelle</x:v>
      </x:c>
      <x:c r="Q361" t="n">
        <x:v>672</x:v>
      </x:c>
      <x:c r="R361" t="str">
        <x:v>1d8</x:v>
      </x:c>
      <x:c r="S361" t="str">
        <x:v>PA</x:v>
      </x:c>
      <x:c r="T361" t="n">
        <x:v>0</x:v>
      </x:c>
      <x:c r="U361" t="n">
        <x:v>0</x:v>
      </x:c>
      <x:c r="V361" t="n">
        <x:v>2</x:v>
      </x:c>
      <x:c r="W361" t="n">
        <x:v>22</x:v>
      </x:c>
      <x:c r="X361" t="str">
        <x:v>VALUE: [[1d8]] PA 2 PA 22 PC</x:v>
      </x:c>
    </x:row>
    <x:row r="362">
      <x:c r="P362" t="str">
        <x:v>4|Humanoïde|Commune</x:v>
      </x:c>
      <x:c r="Q362" t="n">
        <x:v>120</x:v>
      </x:c>
      <x:c r="R362" t="str">
        <x:v>8d20</x:v>
      </x:c>
      <x:c r="S362" t="str">
        <x:v>PC</x:v>
      </x:c>
      <x:c r="T362" t="n">
        <x:v>0</x:v>
      </x:c>
      <x:c r="U362" t="n">
        <x:v>0</x:v>
      </x:c>
      <x:c r="V362" t="n">
        <x:v>0</x:v>
      </x:c>
      <x:c r="W362" t="n">
        <x:v>36</x:v>
      </x:c>
      <x:c r="X362" t="str">
        <x:v>VALUE: [[8d20]] PC 36 PC</x:v>
      </x:c>
    </x:row>
    <x:row r="363">
      <x:c r="P363" t="str">
        <x:v>4|Humanoïde|Peu commune</x:v>
      </x:c>
      <x:c r="Q363" t="n">
        <x:v>180</x:v>
      </x:c>
      <x:c r="R363" t="str">
        <x:v>10d20</x:v>
      </x:c>
      <x:c r="S363" t="str">
        <x:v>PC</x:v>
      </x:c>
      <x:c r="T363" t="n">
        <x:v>0</x:v>
      </x:c>
      <x:c r="U363" t="n">
        <x:v>0</x:v>
      </x:c>
      <x:c r="V363" t="n">
        <x:v>0</x:v>
      </x:c>
      <x:c r="W363" t="n">
        <x:v>75</x:v>
      </x:c>
      <x:c r="X363" t="str">
        <x:v>VALUE: [[10d20]] PC 75 PC</x:v>
      </x:c>
    </x:row>
    <x:row r="364">
      <x:c r="P364" t="str">
        <x:v>4|Humanoïde|Rare</x:v>
      </x:c>
      <x:c r="Q364" t="n">
        <x:v>300</x:v>
      </x:c>
      <x:c r="R364" t="str">
        <x:v>1d4</x:v>
      </x:c>
      <x:c r="S364" t="str">
        <x:v>PA</x:v>
      </x:c>
      <x:c r="T364" t="n">
        <x:v>0</x:v>
      </x:c>
      <x:c r="U364" t="n">
        <x:v>0</x:v>
      </x:c>
      <x:c r="V364" t="n">
        <x:v>0</x:v>
      </x:c>
      <x:c r="W364" t="n">
        <x:v>50</x:v>
      </x:c>
      <x:c r="X364" t="str">
        <x:v>VALUE: [[1d4]] PA 50 PC</x:v>
      </x:c>
    </x:row>
    <x:row r="365">
      <x:c r="P365" t="str">
        <x:v>4|Humanoïde|Précieuse</x:v>
      </x:c>
      <x:c r="Q365" t="n">
        <x:v>480</x:v>
      </x:c>
      <x:c r="R365" t="str">
        <x:v>1d6</x:v>
      </x:c>
      <x:c r="S365" t="str">
        <x:v>PA</x:v>
      </x:c>
      <x:c r="T365" t="n">
        <x:v>0</x:v>
      </x:c>
      <x:c r="U365" t="n">
        <x:v>0</x:v>
      </x:c>
      <x:c r="V365" t="n">
        <x:v>1</x:v>
      </x:c>
      <x:c r="W365" t="n">
        <x:v>30</x:v>
      </x:c>
      <x:c r="X365" t="str">
        <x:v>VALUE: [[1d6]] PA 1 PA 30 PC</x:v>
      </x:c>
    </x:row>
    <x:row r="366">
      <x:c r="P366" t="str">
        <x:v>4|Humanoïde|Exceptionnelle</x:v>
      </x:c>
      <x:c r="Q366" t="n">
        <x:v>840</x:v>
      </x:c>
      <x:c r="R366" t="str">
        <x:v>1d10</x:v>
      </x:c>
      <x:c r="S366" t="str">
        <x:v>PA</x:v>
      </x:c>
      <x:c r="T366" t="n">
        <x:v>0</x:v>
      </x:c>
      <x:c r="U366" t="n">
        <x:v>0</x:v>
      </x:c>
      <x:c r="V366" t="n">
        <x:v>2</x:v>
      </x:c>
      <x:c r="W366" t="n">
        <x:v>90</x:v>
      </x:c>
      <x:c r="X366" t="str">
        <x:v>VALUE: [[1d10]] PA 2 PA 90 PC</x:v>
      </x:c>
    </x:row>
    <x:row r="367">
      <x:c r="P367" t="str">
        <x:v>4|Mort-vivant|Commune</x:v>
      </x:c>
      <x:c r="Q367" t="n">
        <x:v>120</x:v>
      </x:c>
      <x:c r="R367" t="str">
        <x:v>8d20</x:v>
      </x:c>
      <x:c r="S367" t="str">
        <x:v>PC</x:v>
      </x:c>
      <x:c r="T367" t="n">
        <x:v>0</x:v>
      </x:c>
      <x:c r="U367" t="n">
        <x:v>0</x:v>
      </x:c>
      <x:c r="V367" t="n">
        <x:v>0</x:v>
      </x:c>
      <x:c r="W367" t="n">
        <x:v>36</x:v>
      </x:c>
      <x:c r="X367" t="str">
        <x:v>VALUE: [[8d20]] PC 36 PC</x:v>
      </x:c>
    </x:row>
    <x:row r="368">
      <x:c r="P368" t="str">
        <x:v>4|Mort-vivant|Peu commune</x:v>
      </x:c>
      <x:c r="Q368" t="n">
        <x:v>180</x:v>
      </x:c>
      <x:c r="R368" t="str">
        <x:v>10d20</x:v>
      </x:c>
      <x:c r="S368" t="str">
        <x:v>PC</x:v>
      </x:c>
      <x:c r="T368" t="n">
        <x:v>0</x:v>
      </x:c>
      <x:c r="U368" t="n">
        <x:v>0</x:v>
      </x:c>
      <x:c r="V368" t="n">
        <x:v>0</x:v>
      </x:c>
      <x:c r="W368" t="n">
        <x:v>75</x:v>
      </x:c>
      <x:c r="X368" t="str">
        <x:v>VALUE: [[10d20]] PC 75 PC</x:v>
      </x:c>
    </x:row>
    <x:row r="369">
      <x:c r="P369" t="str">
        <x:v>4|Mort-vivant|Rare</x:v>
      </x:c>
      <x:c r="Q369" t="n">
        <x:v>300</x:v>
      </x:c>
      <x:c r="R369" t="str">
        <x:v>1d4</x:v>
      </x:c>
      <x:c r="S369" t="str">
        <x:v>PA</x:v>
      </x:c>
      <x:c r="T369" t="n">
        <x:v>0</x:v>
      </x:c>
      <x:c r="U369" t="n">
        <x:v>0</x:v>
      </x:c>
      <x:c r="V369" t="n">
        <x:v>0</x:v>
      </x:c>
      <x:c r="W369" t="n">
        <x:v>50</x:v>
      </x:c>
      <x:c r="X369" t="str">
        <x:v>VALUE: [[1d4]] PA 50 PC</x:v>
      </x:c>
    </x:row>
    <x:row r="370">
      <x:c r="P370" t="str">
        <x:v>4|Mort-vivant|Précieuse</x:v>
      </x:c>
      <x:c r="Q370" t="n">
        <x:v>480</x:v>
      </x:c>
      <x:c r="R370" t="str">
        <x:v>1d6</x:v>
      </x:c>
      <x:c r="S370" t="str">
        <x:v>PA</x:v>
      </x:c>
      <x:c r="T370" t="n">
        <x:v>0</x:v>
      </x:c>
      <x:c r="U370" t="n">
        <x:v>0</x:v>
      </x:c>
      <x:c r="V370" t="n">
        <x:v>1</x:v>
      </x:c>
      <x:c r="W370" t="n">
        <x:v>30</x:v>
      </x:c>
      <x:c r="X370" t="str">
        <x:v>VALUE: [[1d6]] PA 1 PA 30 PC</x:v>
      </x:c>
    </x:row>
    <x:row r="371">
      <x:c r="P371" t="str">
        <x:v>4|Mort-vivant|Exceptionnelle</x:v>
      </x:c>
      <x:c r="Q371" t="n">
        <x:v>840</x:v>
      </x:c>
      <x:c r="R371" t="str">
        <x:v>1d10</x:v>
      </x:c>
      <x:c r="S371" t="str">
        <x:v>PA</x:v>
      </x:c>
      <x:c r="T371" t="n">
        <x:v>0</x:v>
      </x:c>
      <x:c r="U371" t="n">
        <x:v>0</x:v>
      </x:c>
      <x:c r="V371" t="n">
        <x:v>2</x:v>
      </x:c>
      <x:c r="W371" t="n">
        <x:v>90</x:v>
      </x:c>
      <x:c r="X371" t="str">
        <x:v>VALUE: [[1d10]] PA 2 PA 90 PC</x:v>
      </x:c>
    </x:row>
    <x:row r="372">
      <x:c r="P372" t="str">
        <x:v>4|Monstre|Commune</x:v>
      </x:c>
      <x:c r="Q372" t="n">
        <x:v>120</x:v>
      </x:c>
      <x:c r="R372" t="str">
        <x:v>8d20</x:v>
      </x:c>
      <x:c r="S372" t="str">
        <x:v>PC</x:v>
      </x:c>
      <x:c r="T372" t="n">
        <x:v>0</x:v>
      </x:c>
      <x:c r="U372" t="n">
        <x:v>0</x:v>
      </x:c>
      <x:c r="V372" t="n">
        <x:v>0</x:v>
      </x:c>
      <x:c r="W372" t="n">
        <x:v>36</x:v>
      </x:c>
      <x:c r="X372" t="str">
        <x:v>VALUE: [[8d20]] PC 36 PC</x:v>
      </x:c>
    </x:row>
    <x:row r="373">
      <x:c r="P373" t="str">
        <x:v>4|Monstre|Peu commune</x:v>
      </x:c>
      <x:c r="Q373" t="n">
        <x:v>180</x:v>
      </x:c>
      <x:c r="R373" t="str">
        <x:v>10d20</x:v>
      </x:c>
      <x:c r="S373" t="str">
        <x:v>PC</x:v>
      </x:c>
      <x:c r="T373" t="n">
        <x:v>0</x:v>
      </x:c>
      <x:c r="U373" t="n">
        <x:v>0</x:v>
      </x:c>
      <x:c r="V373" t="n">
        <x:v>0</x:v>
      </x:c>
      <x:c r="W373" t="n">
        <x:v>75</x:v>
      </x:c>
      <x:c r="X373" t="str">
        <x:v>VALUE: [[10d20]] PC 75 PC</x:v>
      </x:c>
    </x:row>
    <x:row r="374">
      <x:c r="P374" t="str">
        <x:v>4|Monstre|Rare</x:v>
      </x:c>
      <x:c r="Q374" t="n">
        <x:v>300</x:v>
      </x:c>
      <x:c r="R374" t="str">
        <x:v>1d4</x:v>
      </x:c>
      <x:c r="S374" t="str">
        <x:v>PA</x:v>
      </x:c>
      <x:c r="T374" t="n">
        <x:v>0</x:v>
      </x:c>
      <x:c r="U374" t="n">
        <x:v>0</x:v>
      </x:c>
      <x:c r="V374" t="n">
        <x:v>0</x:v>
      </x:c>
      <x:c r="W374" t="n">
        <x:v>50</x:v>
      </x:c>
      <x:c r="X374" t="str">
        <x:v>VALUE: [[1d4]] PA 50 PC</x:v>
      </x:c>
    </x:row>
    <x:row r="375">
      <x:c r="P375" t="str">
        <x:v>4|Monstre|Précieuse</x:v>
      </x:c>
      <x:c r="Q375" t="n">
        <x:v>480</x:v>
      </x:c>
      <x:c r="R375" t="str">
        <x:v>1d6</x:v>
      </x:c>
      <x:c r="S375" t="str">
        <x:v>PA</x:v>
      </x:c>
      <x:c r="T375" t="n">
        <x:v>0</x:v>
      </x:c>
      <x:c r="U375" t="n">
        <x:v>0</x:v>
      </x:c>
      <x:c r="V375" t="n">
        <x:v>1</x:v>
      </x:c>
      <x:c r="W375" t="n">
        <x:v>30</x:v>
      </x:c>
      <x:c r="X375" t="str">
        <x:v>VALUE: [[1d6]] PA 1 PA 30 PC</x:v>
      </x:c>
    </x:row>
    <x:row r="376">
      <x:c r="P376" t="str">
        <x:v>4|Monstre|Exceptionnelle</x:v>
      </x:c>
      <x:c r="Q376" t="n">
        <x:v>840</x:v>
      </x:c>
      <x:c r="R376" t="str">
        <x:v>1d10</x:v>
      </x:c>
      <x:c r="S376" t="str">
        <x:v>PA</x:v>
      </x:c>
      <x:c r="T376" t="n">
        <x:v>0</x:v>
      </x:c>
      <x:c r="U376" t="n">
        <x:v>0</x:v>
      </x:c>
      <x:c r="V376" t="n">
        <x:v>2</x:v>
      </x:c>
      <x:c r="W376" t="n">
        <x:v>90</x:v>
      </x:c>
      <x:c r="X376" t="str">
        <x:v>VALUE: [[1d10]] PA 2 PA 90 PC</x:v>
      </x:c>
    </x:row>
    <x:row r="377">
      <x:c r="P377" t="str">
        <x:v>4|Vase|Commune</x:v>
      </x:c>
      <x:c r="Q377" t="n">
        <x:v>120</x:v>
      </x:c>
      <x:c r="R377" t="str">
        <x:v>8d20</x:v>
      </x:c>
      <x:c r="S377" t="str">
        <x:v>PC</x:v>
      </x:c>
      <x:c r="T377" t="n">
        <x:v>0</x:v>
      </x:c>
      <x:c r="U377" t="n">
        <x:v>0</x:v>
      </x:c>
      <x:c r="V377" t="n">
        <x:v>0</x:v>
      </x:c>
      <x:c r="W377" t="n">
        <x:v>36</x:v>
      </x:c>
      <x:c r="X377" t="str">
        <x:v>VALUE: [[8d20]] PC 36 PC</x:v>
      </x:c>
    </x:row>
    <x:row r="378">
      <x:c r="P378" t="str">
        <x:v>4|Vase|Peu commune</x:v>
      </x:c>
      <x:c r="Q378" t="n">
        <x:v>180</x:v>
      </x:c>
      <x:c r="R378" t="str">
        <x:v>10d20</x:v>
      </x:c>
      <x:c r="S378" t="str">
        <x:v>PC</x:v>
      </x:c>
      <x:c r="T378" t="n">
        <x:v>0</x:v>
      </x:c>
      <x:c r="U378" t="n">
        <x:v>0</x:v>
      </x:c>
      <x:c r="V378" t="n">
        <x:v>0</x:v>
      </x:c>
      <x:c r="W378" t="n">
        <x:v>75</x:v>
      </x:c>
      <x:c r="X378" t="str">
        <x:v>VALUE: [[10d20]] PC 75 PC</x:v>
      </x:c>
    </x:row>
    <x:row r="379">
      <x:c r="P379" t="str">
        <x:v>4|Vase|Rare</x:v>
      </x:c>
      <x:c r="Q379" t="n">
        <x:v>300</x:v>
      </x:c>
      <x:c r="R379" t="str">
        <x:v>1d4</x:v>
      </x:c>
      <x:c r="S379" t="str">
        <x:v>PA</x:v>
      </x:c>
      <x:c r="T379" t="n">
        <x:v>0</x:v>
      </x:c>
      <x:c r="U379" t="n">
        <x:v>0</x:v>
      </x:c>
      <x:c r="V379" t="n">
        <x:v>0</x:v>
      </x:c>
      <x:c r="W379" t="n">
        <x:v>50</x:v>
      </x:c>
      <x:c r="X379" t="str">
        <x:v>VALUE: [[1d4]] PA 50 PC</x:v>
      </x:c>
    </x:row>
    <x:row r="380">
      <x:c r="P380" t="str">
        <x:v>4|Vase|Précieuse</x:v>
      </x:c>
      <x:c r="Q380" t="n">
        <x:v>480</x:v>
      </x:c>
      <x:c r="R380" t="str">
        <x:v>1d6</x:v>
      </x:c>
      <x:c r="S380" t="str">
        <x:v>PA</x:v>
      </x:c>
      <x:c r="T380" t="n">
        <x:v>0</x:v>
      </x:c>
      <x:c r="U380" t="n">
        <x:v>0</x:v>
      </x:c>
      <x:c r="V380" t="n">
        <x:v>1</x:v>
      </x:c>
      <x:c r="W380" t="n">
        <x:v>30</x:v>
      </x:c>
      <x:c r="X380" t="str">
        <x:v>VALUE: [[1d6]] PA 1 PA 30 PC</x:v>
      </x:c>
    </x:row>
    <x:row r="381">
      <x:c r="P381" t="str">
        <x:v>4|Vase|Exceptionnelle</x:v>
      </x:c>
      <x:c r="Q381" t="n">
        <x:v>840</x:v>
      </x:c>
      <x:c r="R381" t="str">
        <x:v>1d10</x:v>
      </x:c>
      <x:c r="S381" t="str">
        <x:v>PA</x:v>
      </x:c>
      <x:c r="T381" t="n">
        <x:v>0</x:v>
      </x:c>
      <x:c r="U381" t="n">
        <x:v>0</x:v>
      </x:c>
      <x:c r="V381" t="n">
        <x:v>2</x:v>
      </x:c>
      <x:c r="W381" t="n">
        <x:v>90</x:v>
      </x:c>
      <x:c r="X381" t="str">
        <x:v>VALUE: [[1d10]] PA 2 PA 90 PC</x:v>
      </x:c>
    </x:row>
    <x:row r="382">
      <x:c r="P382" t="str">
        <x:v>4|Géant|Commune</x:v>
      </x:c>
      <x:c r="Q382" t="n">
        <x:v>144</x:v>
      </x:c>
      <x:c r="R382" t="str">
        <x:v>10d20</x:v>
      </x:c>
      <x:c r="S382" t="str">
        <x:v>PC</x:v>
      </x:c>
      <x:c r="T382" t="n">
        <x:v>0</x:v>
      </x:c>
      <x:c r="U382" t="n">
        <x:v>0</x:v>
      </x:c>
      <x:c r="V382" t="n">
        <x:v>0</x:v>
      </x:c>
      <x:c r="W382" t="n">
        <x:v>39</x:v>
      </x:c>
      <x:c r="X382" t="str">
        <x:v>VALUE: [[10d20]] PC 39 PC</x:v>
      </x:c>
    </x:row>
    <x:row r="383">
      <x:c r="P383" t="str">
        <x:v>4|Géant|Peu commune</x:v>
      </x:c>
      <x:c r="Q383" t="n">
        <x:v>216</x:v>
      </x:c>
      <x:c r="R383" t="str">
        <x:v>10d20</x:v>
      </x:c>
      <x:c r="S383" t="str">
        <x:v>PC</x:v>
      </x:c>
      <x:c r="T383" t="n">
        <x:v>0</x:v>
      </x:c>
      <x:c r="U383" t="n">
        <x:v>0</x:v>
      </x:c>
      <x:c r="V383" t="n">
        <x:v>1</x:v>
      </x:c>
      <x:c r="W383" t="n">
        <x:v>11</x:v>
      </x:c>
      <x:c r="X383" t="str">
        <x:v>VALUE: [[10d20]] PC 1 PA 11 PC</x:v>
      </x:c>
    </x:row>
    <x:row r="384">
      <x:c r="P384" t="str">
        <x:v>4|Géant|Rare</x:v>
      </x:c>
      <x:c r="Q384" t="n">
        <x:v>360</x:v>
      </x:c>
      <x:c r="R384" t="str">
        <x:v>1d4</x:v>
      </x:c>
      <x:c r="S384" t="str">
        <x:v>PA</x:v>
      </x:c>
      <x:c r="T384" t="n">
        <x:v>0</x:v>
      </x:c>
      <x:c r="U384" t="n">
        <x:v>0</x:v>
      </x:c>
      <x:c r="V384" t="n">
        <x:v>1</x:v>
      </x:c>
      <x:c r="W384" t="n">
        <x:v>10</x:v>
      </x:c>
      <x:c r="X384" t="str">
        <x:v>VALUE: [[1d4]] PA 1 PA 10 PC</x:v>
      </x:c>
    </x:row>
    <x:row r="385">
      <x:c r="P385" t="str">
        <x:v>4|Géant|Précieuse</x:v>
      </x:c>
      <x:c r="Q385" t="n">
        <x:v>576</x:v>
      </x:c>
      <x:c r="R385" t="str">
        <x:v>1d8</x:v>
      </x:c>
      <x:c r="S385" t="str">
        <x:v>PA</x:v>
      </x:c>
      <x:c r="T385" t="n">
        <x:v>0</x:v>
      </x:c>
      <x:c r="U385" t="n">
        <x:v>0</x:v>
      </x:c>
      <x:c r="V385" t="n">
        <x:v>1</x:v>
      </x:c>
      <x:c r="W385" t="n">
        <x:v>26</x:v>
      </x:c>
      <x:c r="X385" t="str">
        <x:v>VALUE: [[1d8]] PA 1 PA 26 PC</x:v>
      </x:c>
    </x:row>
    <x:row r="386">
      <x:c r="P386" t="str">
        <x:v>4|Géant|Exceptionnelle</x:v>
      </x:c>
      <x:c r="Q386" t="n">
        <x:v>1008</x:v>
      </x:c>
      <x:c r="R386" t="str">
        <x:v>2d6</x:v>
      </x:c>
      <x:c r="S386" t="str">
        <x:v>PA</x:v>
      </x:c>
      <x:c r="T386" t="n">
        <x:v>0</x:v>
      </x:c>
      <x:c r="U386" t="n">
        <x:v>0</x:v>
      </x:c>
      <x:c r="V386" t="n">
        <x:v>3</x:v>
      </x:c>
      <x:c r="W386" t="n">
        <x:v>8</x:v>
      </x:c>
      <x:c r="X386" t="str">
        <x:v>VALUE: [[2d6]] PA 3 PA 8 PC</x:v>
      </x:c>
    </x:row>
    <x:row r="387">
      <x:c r="P387" t="str">
        <x:v>4|Aberration|Commune</x:v>
      </x:c>
      <x:c r="Q387" t="n">
        <x:v>180</x:v>
      </x:c>
      <x:c r="R387" t="str">
        <x:v>10d20</x:v>
      </x:c>
      <x:c r="S387" t="str">
        <x:v>PC</x:v>
      </x:c>
      <x:c r="T387" t="n">
        <x:v>0</x:v>
      </x:c>
      <x:c r="U387" t="n">
        <x:v>0</x:v>
      </x:c>
      <x:c r="V387" t="n">
        <x:v>0</x:v>
      </x:c>
      <x:c r="W387" t="n">
        <x:v>75</x:v>
      </x:c>
      <x:c r="X387" t="str">
        <x:v>VALUE: [[10d20]] PC 75 PC</x:v>
      </x:c>
    </x:row>
    <x:row r="388">
      <x:c r="P388" t="str">
        <x:v>4|Aberration|Peu commune</x:v>
      </x:c>
      <x:c r="Q388" t="n">
        <x:v>270</x:v>
      </x:c>
      <x:c r="R388" t="str">
        <x:v>1d4</x:v>
      </x:c>
      <x:c r="S388" t="str">
        <x:v>PA</x:v>
      </x:c>
      <x:c r="T388" t="n">
        <x:v>0</x:v>
      </x:c>
      <x:c r="U388" t="n">
        <x:v>0</x:v>
      </x:c>
      <x:c r="V388" t="n">
        <x:v>0</x:v>
      </x:c>
      <x:c r="W388" t="n">
        <x:v>20</x:v>
      </x:c>
      <x:c r="X388" t="str">
        <x:v>VALUE: [[1d4]] PA 20 PC</x:v>
      </x:c>
    </x:row>
    <x:row r="389">
      <x:c r="P389" t="str">
        <x:v>4|Aberration|Rare</x:v>
      </x:c>
      <x:c r="Q389" t="n">
        <x:v>450</x:v>
      </x:c>
      <x:c r="R389" t="str">
        <x:v>1d6</x:v>
      </x:c>
      <x:c r="S389" t="str">
        <x:v>PA</x:v>
      </x:c>
      <x:c r="T389" t="n">
        <x:v>0</x:v>
      </x:c>
      <x:c r="U389" t="n">
        <x:v>0</x:v>
      </x:c>
      <x:c r="V389" t="n">
        <x:v>1</x:v>
      </x:c>
      <x:c r="W389" t="n">
        <x:v>0</x:v>
      </x:c>
      <x:c r="X389" t="str">
        <x:v>VALUE: [[1d6]] PA 1 PA</x:v>
      </x:c>
    </x:row>
    <x:row r="390">
      <x:c r="P390" t="str">
        <x:v>4|Aberration|Précieuse</x:v>
      </x:c>
      <x:c r="Q390" t="n">
        <x:v>720</x:v>
      </x:c>
      <x:c r="R390" t="str">
        <x:v>2d4</x:v>
      </x:c>
      <x:c r="S390" t="str">
        <x:v>PA</x:v>
      </x:c>
      <x:c r="T390" t="n">
        <x:v>0</x:v>
      </x:c>
      <x:c r="U390" t="n">
        <x:v>0</x:v>
      </x:c>
      <x:c r="V390" t="n">
        <x:v>2</x:v>
      </x:c>
      <x:c r="W390" t="n">
        <x:v>20</x:v>
      </x:c>
      <x:c r="X390" t="str">
        <x:v>VALUE: [[2d4]] PA 2 PA 20 PC</x:v>
      </x:c>
    </x:row>
    <x:row r="391">
      <x:c r="P391" t="str">
        <x:v>4|Aberration|Exceptionnelle</x:v>
      </x:c>
      <x:c r="Q391" t="n">
        <x:v>1260</x:v>
      </x:c>
      <x:c r="R391" t="str">
        <x:v>2d8</x:v>
      </x:c>
      <x:c r="S391" t="str">
        <x:v>PA</x:v>
      </x:c>
      <x:c r="T391" t="n">
        <x:v>0</x:v>
      </x:c>
      <x:c r="U391" t="n">
        <x:v>0</x:v>
      </x:c>
      <x:c r="V391" t="n">
        <x:v>3</x:v>
      </x:c>
      <x:c r="W391" t="n">
        <x:v>60</x:v>
      </x:c>
      <x:c r="X391" t="str">
        <x:v>VALUE: [[2d8]] PA 3 PA 60 PC</x:v>
      </x:c>
    </x:row>
    <x:row r="392">
      <x:c r="P392" t="str">
        <x:v>4|Fée|Commune</x:v>
      </x:c>
      <x:c r="Q392" t="n">
        <x:v>216</x:v>
      </x:c>
      <x:c r="R392" t="str">
        <x:v>10d20</x:v>
      </x:c>
      <x:c r="S392" t="str">
        <x:v>PC</x:v>
      </x:c>
      <x:c r="T392" t="n">
        <x:v>0</x:v>
      </x:c>
      <x:c r="U392" t="n">
        <x:v>0</x:v>
      </x:c>
      <x:c r="V392" t="n">
        <x:v>1</x:v>
      </x:c>
      <x:c r="W392" t="n">
        <x:v>11</x:v>
      </x:c>
      <x:c r="X392" t="str">
        <x:v>VALUE: [[10d20]] PC 1 PA 11 PC</x:v>
      </x:c>
    </x:row>
    <x:row r="393">
      <x:c r="P393" t="str">
        <x:v>4|Fée|Peu commune</x:v>
      </x:c>
      <x:c r="Q393" t="n">
        <x:v>324</x:v>
      </x:c>
      <x:c r="R393" t="str">
        <x:v>1d4</x:v>
      </x:c>
      <x:c r="S393" t="str">
        <x:v>PA</x:v>
      </x:c>
      <x:c r="T393" t="n">
        <x:v>0</x:v>
      </x:c>
      <x:c r="U393" t="n">
        <x:v>0</x:v>
      </x:c>
      <x:c r="V393" t="n">
        <x:v>0</x:v>
      </x:c>
      <x:c r="W393" t="n">
        <x:v>74</x:v>
      </x:c>
      <x:c r="X393" t="str">
        <x:v>VALUE: [[1d4]] PA 74 PC</x:v>
      </x:c>
    </x:row>
    <x:row r="394">
      <x:c r="P394" t="str">
        <x:v>4|Fée|Rare</x:v>
      </x:c>
      <x:c r="Q394" t="n">
        <x:v>540</x:v>
      </x:c>
      <x:c r="R394" t="str">
        <x:v>1d6</x:v>
      </x:c>
      <x:c r="S394" t="str">
        <x:v>PA</x:v>
      </x:c>
      <x:c r="T394" t="n">
        <x:v>0</x:v>
      </x:c>
      <x:c r="U394" t="n">
        <x:v>0</x:v>
      </x:c>
      <x:c r="V394" t="n">
        <x:v>1</x:v>
      </x:c>
      <x:c r="W394" t="n">
        <x:v>90</x:v>
      </x:c>
      <x:c r="X394" t="str">
        <x:v>VALUE: [[1d6]] PA 1 PA 90 PC</x:v>
      </x:c>
    </x:row>
    <x:row r="395">
      <x:c r="P395" t="str">
        <x:v>4|Fée|Précieuse</x:v>
      </x:c>
      <x:c r="Q395" t="n">
        <x:v>864</x:v>
      </x:c>
      <x:c r="R395" t="str">
        <x:v>1d12</x:v>
      </x:c>
      <x:c r="S395" t="str">
        <x:v>PA</x:v>
      </x:c>
      <x:c r="T395" t="n">
        <x:v>0</x:v>
      </x:c>
      <x:c r="U395" t="n">
        <x:v>0</x:v>
      </x:c>
      <x:c r="V395" t="n">
        <x:v>2</x:v>
      </x:c>
      <x:c r="W395" t="n">
        <x:v>14</x:v>
      </x:c>
      <x:c r="X395" t="str">
        <x:v>VALUE: [[1d12]] PA 2 PA 14 PC</x:v>
      </x:c>
    </x:row>
    <x:row r="396">
      <x:c r="P396" t="str">
        <x:v>4|Fée|Exceptionnelle</x:v>
      </x:c>
      <x:c r="Q396" t="n">
        <x:v>1512</x:v>
      </x:c>
      <x:c r="R396" t="str">
        <x:v>1d20</x:v>
      </x:c>
      <x:c r="S396" t="str">
        <x:v>PA</x:v>
      </x:c>
      <x:c r="T396" t="n">
        <x:v>0</x:v>
      </x:c>
      <x:c r="U396" t="n">
        <x:v>0</x:v>
      </x:c>
      <x:c r="V396" t="n">
        <x:v>4</x:v>
      </x:c>
      <x:c r="W396" t="n">
        <x:v>62</x:v>
      </x:c>
      <x:c r="X396" t="str">
        <x:v>VALUE: [[1d20]] PA 4 PA 62 PC</x:v>
      </x:c>
    </x:row>
    <x:row r="397">
      <x:c r="P397" t="str">
        <x:v>4|Démon|Commune</x:v>
      </x:c>
      <x:c r="Q397" t="n">
        <x:v>240</x:v>
      </x:c>
      <x:c r="R397" t="str">
        <x:v>10d20</x:v>
      </x:c>
      <x:c r="S397" t="str">
        <x:v>PC</x:v>
      </x:c>
      <x:c r="T397" t="n">
        <x:v>0</x:v>
      </x:c>
      <x:c r="U397" t="n">
        <x:v>0</x:v>
      </x:c>
      <x:c r="V397" t="n">
        <x:v>1</x:v>
      </x:c>
      <x:c r="W397" t="n">
        <x:v>35</x:v>
      </x:c>
      <x:c r="X397" t="str">
        <x:v>VALUE: [[10d20]] PC 1 PA 35 PC</x:v>
      </x:c>
    </x:row>
    <x:row r="398">
      <x:c r="P398" t="str">
        <x:v>4|Démon|Peu commune</x:v>
      </x:c>
      <x:c r="Q398" t="n">
        <x:v>360</x:v>
      </x:c>
      <x:c r="R398" t="str">
        <x:v>1d4</x:v>
      </x:c>
      <x:c r="S398" t="str">
        <x:v>PA</x:v>
      </x:c>
      <x:c r="T398" t="n">
        <x:v>0</x:v>
      </x:c>
      <x:c r="U398" t="n">
        <x:v>0</x:v>
      </x:c>
      <x:c r="V398" t="n">
        <x:v>1</x:v>
      </x:c>
      <x:c r="W398" t="n">
        <x:v>10</x:v>
      </x:c>
      <x:c r="X398" t="str">
        <x:v>VALUE: [[1d4]] PA 1 PA 10 PC</x:v>
      </x:c>
    </x:row>
    <x:row r="399">
      <x:c r="P399" t="str">
        <x:v>4|Démon|Rare</x:v>
      </x:c>
      <x:c r="Q399" t="n">
        <x:v>600</x:v>
      </x:c>
      <x:c r="R399" t="str">
        <x:v>1d8</x:v>
      </x:c>
      <x:c r="S399" t="str">
        <x:v>PA</x:v>
      </x:c>
      <x:c r="T399" t="n">
        <x:v>0</x:v>
      </x:c>
      <x:c r="U399" t="n">
        <x:v>0</x:v>
      </x:c>
      <x:c r="V399" t="n">
        <x:v>1</x:v>
      </x:c>
      <x:c r="W399" t="n">
        <x:v>50</x:v>
      </x:c>
      <x:c r="X399" t="str">
        <x:v>VALUE: [[1d8]] PA 1 PA 50 PC</x:v>
      </x:c>
    </x:row>
    <x:row r="400">
      <x:c r="P400" t="str">
        <x:v>4|Démon|Précieuse</x:v>
      </x:c>
      <x:c r="Q400" t="n">
        <x:v>960</x:v>
      </x:c>
      <x:c r="R400" t="str">
        <x:v>1d12</x:v>
      </x:c>
      <x:c r="S400" t="str">
        <x:v>PA</x:v>
      </x:c>
      <x:c r="T400" t="n">
        <x:v>0</x:v>
      </x:c>
      <x:c r="U400" t="n">
        <x:v>0</x:v>
      </x:c>
      <x:c r="V400" t="n">
        <x:v>3</x:v>
      </x:c>
      <x:c r="W400" t="n">
        <x:v>10</x:v>
      </x:c>
      <x:c r="X400" t="str">
        <x:v>VALUE: [[1d12]] PA 3 PA 10 PC</x:v>
      </x:c>
    </x:row>
    <x:row r="401">
      <x:c r="P401" t="str">
        <x:v>4|Démon|Exceptionnelle</x:v>
      </x:c>
      <x:c r="Q401" t="n">
        <x:v>1680</x:v>
      </x:c>
      <x:c r="R401" t="str">
        <x:v>5d4</x:v>
      </x:c>
      <x:c r="S401" t="str">
        <x:v>PA</x:v>
      </x:c>
      <x:c r="T401" t="n">
        <x:v>0</x:v>
      </x:c>
      <x:c r="U401" t="n">
        <x:v>0</x:v>
      </x:c>
      <x:c r="V401" t="n">
        <x:v>4</x:v>
      </x:c>
      <x:c r="W401" t="n">
        <x:v>30</x:v>
      </x:c>
      <x:c r="X401" t="str">
        <x:v>VALUE: [[5d4]] PA 4 PA 30 PC</x:v>
      </x:c>
    </x:row>
    <x:row r="402">
      <x:c r="P402" t="str">
        <x:v>4|Artificiel|Commune</x:v>
      </x:c>
      <x:c r="Q402" t="n">
        <x:v>240</x:v>
      </x:c>
      <x:c r="R402" t="str">
        <x:v>10d20</x:v>
      </x:c>
      <x:c r="S402" t="str">
        <x:v>PC</x:v>
      </x:c>
      <x:c r="T402" t="n">
        <x:v>0</x:v>
      </x:c>
      <x:c r="U402" t="n">
        <x:v>0</x:v>
      </x:c>
      <x:c r="V402" t="n">
        <x:v>1</x:v>
      </x:c>
      <x:c r="W402" t="n">
        <x:v>35</x:v>
      </x:c>
      <x:c r="X402" t="str">
        <x:v>VALUE: [[10d20]] PC 1 PA 35 PC</x:v>
      </x:c>
    </x:row>
    <x:row r="403">
      <x:c r="P403" t="str">
        <x:v>4|Artificiel|Peu commune</x:v>
      </x:c>
      <x:c r="Q403" t="n">
        <x:v>360</x:v>
      </x:c>
      <x:c r="R403" t="str">
        <x:v>1d4</x:v>
      </x:c>
      <x:c r="S403" t="str">
        <x:v>PA</x:v>
      </x:c>
      <x:c r="T403" t="n">
        <x:v>0</x:v>
      </x:c>
      <x:c r="U403" t="n">
        <x:v>0</x:v>
      </x:c>
      <x:c r="V403" t="n">
        <x:v>1</x:v>
      </x:c>
      <x:c r="W403" t="n">
        <x:v>10</x:v>
      </x:c>
      <x:c r="X403" t="str">
        <x:v>VALUE: [[1d4]] PA 1 PA 10 PC</x:v>
      </x:c>
    </x:row>
    <x:row r="404">
      <x:c r="P404" t="str">
        <x:v>4|Artificiel|Rare</x:v>
      </x:c>
      <x:c r="Q404" t="n">
        <x:v>600</x:v>
      </x:c>
      <x:c r="R404" t="str">
        <x:v>1d8</x:v>
      </x:c>
      <x:c r="S404" t="str">
        <x:v>PA</x:v>
      </x:c>
      <x:c r="T404" t="n">
        <x:v>0</x:v>
      </x:c>
      <x:c r="U404" t="n">
        <x:v>0</x:v>
      </x:c>
      <x:c r="V404" t="n">
        <x:v>1</x:v>
      </x:c>
      <x:c r="W404" t="n">
        <x:v>50</x:v>
      </x:c>
      <x:c r="X404" t="str">
        <x:v>VALUE: [[1d8]] PA 1 PA 50 PC</x:v>
      </x:c>
    </x:row>
    <x:row r="405">
      <x:c r="P405" t="str">
        <x:v>4|Artificiel|Précieuse</x:v>
      </x:c>
      <x:c r="Q405" t="n">
        <x:v>960</x:v>
      </x:c>
      <x:c r="R405" t="str">
        <x:v>1d12</x:v>
      </x:c>
      <x:c r="S405" t="str">
        <x:v>PA</x:v>
      </x:c>
      <x:c r="T405" t="n">
        <x:v>0</x:v>
      </x:c>
      <x:c r="U405" t="n">
        <x:v>0</x:v>
      </x:c>
      <x:c r="V405" t="n">
        <x:v>3</x:v>
      </x:c>
      <x:c r="W405" t="n">
        <x:v>10</x:v>
      </x:c>
      <x:c r="X405" t="str">
        <x:v>VALUE: [[1d12]] PA 3 PA 10 PC</x:v>
      </x:c>
    </x:row>
    <x:row r="406">
      <x:c r="P406" t="str">
        <x:v>4|Artificiel|Exceptionnelle</x:v>
      </x:c>
      <x:c r="Q406" t="n">
        <x:v>1680</x:v>
      </x:c>
      <x:c r="R406" t="str">
        <x:v>5d4</x:v>
      </x:c>
      <x:c r="S406" t="str">
        <x:v>PA</x:v>
      </x:c>
      <x:c r="T406" t="n">
        <x:v>0</x:v>
      </x:c>
      <x:c r="U406" t="n">
        <x:v>0</x:v>
      </x:c>
      <x:c r="V406" t="n">
        <x:v>4</x:v>
      </x:c>
      <x:c r="W406" t="n">
        <x:v>30</x:v>
      </x:c>
      <x:c r="X406" t="str">
        <x:v>VALUE: [[5d4]] PA 4 PA 30 PC</x:v>
      </x:c>
    </x:row>
    <x:row r="407">
      <x:c r="P407" t="str">
        <x:v>4|Élémentaire|Commune</x:v>
      </x:c>
      <x:c r="Q407" t="n">
        <x:v>300</x:v>
      </x:c>
      <x:c r="R407" t="str">
        <x:v>1d4</x:v>
      </x:c>
      <x:c r="S407" t="str">
        <x:v>PA</x:v>
      </x:c>
      <x:c r="T407" t="n">
        <x:v>0</x:v>
      </x:c>
      <x:c r="U407" t="n">
        <x:v>0</x:v>
      </x:c>
      <x:c r="V407" t="n">
        <x:v>0</x:v>
      </x:c>
      <x:c r="W407" t="n">
        <x:v>50</x:v>
      </x:c>
      <x:c r="X407" t="str">
        <x:v>VALUE: [[1d4]] PA 50 PC</x:v>
      </x:c>
    </x:row>
    <x:row r="408">
      <x:c r="P408" t="str">
        <x:v>4|Élémentaire|Peu commune</x:v>
      </x:c>
      <x:c r="Q408" t="n">
        <x:v>450</x:v>
      </x:c>
      <x:c r="R408" t="str">
        <x:v>1d6</x:v>
      </x:c>
      <x:c r="S408" t="str">
        <x:v>PA</x:v>
      </x:c>
      <x:c r="T408" t="n">
        <x:v>0</x:v>
      </x:c>
      <x:c r="U408" t="n">
        <x:v>0</x:v>
      </x:c>
      <x:c r="V408" t="n">
        <x:v>1</x:v>
      </x:c>
      <x:c r="W408" t="n">
        <x:v>0</x:v>
      </x:c>
      <x:c r="X408" t="str">
        <x:v>VALUE: [[1d6]] PA 1 PA</x:v>
      </x:c>
    </x:row>
    <x:row r="409">
      <x:c r="P409" t="str">
        <x:v>4|Élémentaire|Rare</x:v>
      </x:c>
      <x:c r="Q409" t="n">
        <x:v>750</x:v>
      </x:c>
      <x:c r="R409" t="str">
        <x:v>1d10</x:v>
      </x:c>
      <x:c r="S409" t="str">
        <x:v>PA</x:v>
      </x:c>
      <x:c r="T409" t="n">
        <x:v>0</x:v>
      </x:c>
      <x:c r="U409" t="n">
        <x:v>0</x:v>
      </x:c>
      <x:c r="V409" t="n">
        <x:v>2</x:v>
      </x:c>
      <x:c r="W409" t="n">
        <x:v>0</x:v>
      </x:c>
      <x:c r="X409" t="str">
        <x:v>VALUE: [[1d10]] PA 2 PA</x:v>
      </x:c>
    </x:row>
    <x:row r="410">
      <x:c r="P410" t="str">
        <x:v>4|Élémentaire|Précieuse</x:v>
      </x:c>
      <x:c r="Q410" t="n">
        <x:v>1200</x:v>
      </x:c>
      <x:c r="R410" t="str">
        <x:v>2d8</x:v>
      </x:c>
      <x:c r="S410" t="str">
        <x:v>PA</x:v>
      </x:c>
      <x:c r="T410" t="n">
        <x:v>0</x:v>
      </x:c>
      <x:c r="U410" t="n">
        <x:v>0</x:v>
      </x:c>
      <x:c r="V410" t="n">
        <x:v>3</x:v>
      </x:c>
      <x:c r="W410" t="n">
        <x:v>0</x:v>
      </x:c>
      <x:c r="X410" t="str">
        <x:v>VALUE: [[2d8]] PA 3 PA</x:v>
      </x:c>
    </x:row>
    <x:row r="411">
      <x:c r="P411" t="str">
        <x:v>4|Élémentaire|Exceptionnelle</x:v>
      </x:c>
      <x:c r="Q411" t="n">
        <x:v>2100</x:v>
      </x:c>
      <x:c r="R411" t="str">
        <x:v>6d4</x:v>
      </x:c>
      <x:c r="S411" t="str">
        <x:v>PA</x:v>
      </x:c>
      <x:c r="T411" t="n">
        <x:v>0</x:v>
      </x:c>
      <x:c r="U411" t="n">
        <x:v>0</x:v>
      </x:c>
      <x:c r="V411" t="n">
        <x:v>6</x:v>
      </x:c>
      <x:c r="W411" t="n">
        <x:v>0</x:v>
      </x:c>
      <x:c r="X411" t="str">
        <x:v>VALUE: [[6d4]] PA 6 PA</x:v>
      </x:c>
    </x:row>
    <x:row r="412">
      <x:c r="P412" t="str">
        <x:v>4|Esprit|Commune</x:v>
      </x:c>
      <x:c r="Q412" t="n">
        <x:v>300</x:v>
      </x:c>
      <x:c r="R412" t="str">
        <x:v>1d4</x:v>
      </x:c>
      <x:c r="S412" t="str">
        <x:v>PA</x:v>
      </x:c>
      <x:c r="T412" t="n">
        <x:v>0</x:v>
      </x:c>
      <x:c r="U412" t="n">
        <x:v>0</x:v>
      </x:c>
      <x:c r="V412" t="n">
        <x:v>0</x:v>
      </x:c>
      <x:c r="W412" t="n">
        <x:v>50</x:v>
      </x:c>
      <x:c r="X412" t="str">
        <x:v>VALUE: [[1d4]] PA 50 PC</x:v>
      </x:c>
    </x:row>
    <x:row r="413">
      <x:c r="P413" t="str">
        <x:v>4|Esprit|Peu commune</x:v>
      </x:c>
      <x:c r="Q413" t="n">
        <x:v>450</x:v>
      </x:c>
      <x:c r="R413" t="str">
        <x:v>1d6</x:v>
      </x:c>
      <x:c r="S413" t="str">
        <x:v>PA</x:v>
      </x:c>
      <x:c r="T413" t="n">
        <x:v>0</x:v>
      </x:c>
      <x:c r="U413" t="n">
        <x:v>0</x:v>
      </x:c>
      <x:c r="V413" t="n">
        <x:v>1</x:v>
      </x:c>
      <x:c r="W413" t="n">
        <x:v>0</x:v>
      </x:c>
      <x:c r="X413" t="str">
        <x:v>VALUE: [[1d6]] PA 1 PA</x:v>
      </x:c>
    </x:row>
    <x:row r="414">
      <x:c r="P414" t="str">
        <x:v>4|Esprit|Rare</x:v>
      </x:c>
      <x:c r="Q414" t="n">
        <x:v>750</x:v>
      </x:c>
      <x:c r="R414" t="str">
        <x:v>1d10</x:v>
      </x:c>
      <x:c r="S414" t="str">
        <x:v>PA</x:v>
      </x:c>
      <x:c r="T414" t="n">
        <x:v>0</x:v>
      </x:c>
      <x:c r="U414" t="n">
        <x:v>0</x:v>
      </x:c>
      <x:c r="V414" t="n">
        <x:v>2</x:v>
      </x:c>
      <x:c r="W414" t="n">
        <x:v>0</x:v>
      </x:c>
      <x:c r="X414" t="str">
        <x:v>VALUE: [[1d10]] PA 2 PA</x:v>
      </x:c>
    </x:row>
    <x:row r="415">
      <x:c r="P415" t="str">
        <x:v>4|Esprit|Précieuse</x:v>
      </x:c>
      <x:c r="Q415" t="n">
        <x:v>1200</x:v>
      </x:c>
      <x:c r="R415" t="str">
        <x:v>2d8</x:v>
      </x:c>
      <x:c r="S415" t="str">
        <x:v>PA</x:v>
      </x:c>
      <x:c r="T415" t="n">
        <x:v>0</x:v>
      </x:c>
      <x:c r="U415" t="n">
        <x:v>0</x:v>
      </x:c>
      <x:c r="V415" t="n">
        <x:v>3</x:v>
      </x:c>
      <x:c r="W415" t="n">
        <x:v>0</x:v>
      </x:c>
      <x:c r="X415" t="str">
        <x:v>VALUE: [[2d8]] PA 3 PA</x:v>
      </x:c>
    </x:row>
    <x:row r="416">
      <x:c r="P416" t="str">
        <x:v>4|Esprit|Exceptionnelle</x:v>
      </x:c>
      <x:c r="Q416" t="n">
        <x:v>2100</x:v>
      </x:c>
      <x:c r="R416" t="str">
        <x:v>6d4</x:v>
      </x:c>
      <x:c r="S416" t="str">
        <x:v>PA</x:v>
      </x:c>
      <x:c r="T416" t="n">
        <x:v>0</x:v>
      </x:c>
      <x:c r="U416" t="n">
        <x:v>0</x:v>
      </x:c>
      <x:c r="V416" t="n">
        <x:v>6</x:v>
      </x:c>
      <x:c r="W416" t="n">
        <x:v>0</x:v>
      </x:c>
      <x:c r="X416" t="str">
        <x:v>VALUE: [[6d4]] PA 6 PA</x:v>
      </x:c>
    </x:row>
    <x:row r="417">
      <x:c r="P417" t="str">
        <x:v>4|Céleste|Commune</x:v>
      </x:c>
      <x:c r="Q417" t="n">
        <x:v>360</x:v>
      </x:c>
      <x:c r="R417" t="str">
        <x:v>1d4</x:v>
      </x:c>
      <x:c r="S417" t="str">
        <x:v>PA</x:v>
      </x:c>
      <x:c r="T417" t="n">
        <x:v>0</x:v>
      </x:c>
      <x:c r="U417" t="n">
        <x:v>0</x:v>
      </x:c>
      <x:c r="V417" t="n">
        <x:v>1</x:v>
      </x:c>
      <x:c r="W417" t="n">
        <x:v>10</x:v>
      </x:c>
      <x:c r="X417" t="str">
        <x:v>VALUE: [[1d4]] PA 1 PA 10 PC</x:v>
      </x:c>
    </x:row>
    <x:row r="418">
      <x:c r="P418" t="str">
        <x:v>4|Céleste|Peu commune</x:v>
      </x:c>
      <x:c r="Q418" t="n">
        <x:v>540</x:v>
      </x:c>
      <x:c r="R418" t="str">
        <x:v>1d6</x:v>
      </x:c>
      <x:c r="S418" t="str">
        <x:v>PA</x:v>
      </x:c>
      <x:c r="T418" t="n">
        <x:v>0</x:v>
      </x:c>
      <x:c r="U418" t="n">
        <x:v>0</x:v>
      </x:c>
      <x:c r="V418" t="n">
        <x:v>1</x:v>
      </x:c>
      <x:c r="W418" t="n">
        <x:v>90</x:v>
      </x:c>
      <x:c r="X418" t="str">
        <x:v>VALUE: [[1d6]] PA 1 PA 90 PC</x:v>
      </x:c>
    </x:row>
    <x:row r="419">
      <x:c r="P419" t="str">
        <x:v>4|Céleste|Rare</x:v>
      </x:c>
      <x:c r="Q419" t="n">
        <x:v>900</x:v>
      </x:c>
      <x:c r="R419" t="str">
        <x:v>1d12</x:v>
      </x:c>
      <x:c r="S419" t="str">
        <x:v>PA</x:v>
      </x:c>
      <x:c r="T419" t="n">
        <x:v>0</x:v>
      </x:c>
      <x:c r="U419" t="n">
        <x:v>0</x:v>
      </x:c>
      <x:c r="V419" t="n">
        <x:v>2</x:v>
      </x:c>
      <x:c r="W419" t="n">
        <x:v>50</x:v>
      </x:c>
      <x:c r="X419" t="str">
        <x:v>VALUE: [[1d12]] PA 2 PA 50 PC</x:v>
      </x:c>
    </x:row>
    <x:row r="420">
      <x:c r="P420" t="str">
        <x:v>4|Céleste|Précieuse</x:v>
      </x:c>
      <x:c r="Q420" t="n">
        <x:v>1440</x:v>
      </x:c>
      <x:c r="R420" t="str">
        <x:v>4d4</x:v>
      </x:c>
      <x:c r="S420" t="str">
        <x:v>PA</x:v>
      </x:c>
      <x:c r="T420" t="n">
        <x:v>0</x:v>
      </x:c>
      <x:c r="U420" t="n">
        <x:v>0</x:v>
      </x:c>
      <x:c r="V420" t="n">
        <x:v>4</x:v>
      </x:c>
      <x:c r="W420" t="n">
        <x:v>40</x:v>
      </x:c>
      <x:c r="X420" t="str">
        <x:v>VALUE: [[4d4]] PA 4 PA 40 PC</x:v>
      </x:c>
    </x:row>
    <x:row r="421">
      <x:c r="P421" t="str">
        <x:v>4|Céleste|Exceptionnelle</x:v>
      </x:c>
      <x:c r="Q421" t="n">
        <x:v>2520</x:v>
      </x:c>
      <x:c r="R421" t="str">
        <x:v>5d6</x:v>
      </x:c>
      <x:c r="S421" t="str">
        <x:v>PA</x:v>
      </x:c>
      <x:c r="T421" t="n">
        <x:v>0</x:v>
      </x:c>
      <x:c r="U421" t="n">
        <x:v>0</x:v>
      </x:c>
      <x:c r="V421" t="n">
        <x:v>7</x:v>
      </x:c>
      <x:c r="W421" t="n">
        <x:v>70</x:v>
      </x:c>
      <x:c r="X421" t="str">
        <x:v>VALUE: [[5d6]] PA 7 PA 70 PC</x:v>
      </x:c>
    </x:row>
    <x:row r="422">
      <x:c r="P422" t="str">
        <x:v>4|Dragon|Commune</x:v>
      </x:c>
      <x:c r="Q422" t="n">
        <x:v>600</x:v>
      </x:c>
      <x:c r="R422" t="str">
        <x:v>1d8</x:v>
      </x:c>
      <x:c r="S422" t="str">
        <x:v>PA</x:v>
      </x:c>
      <x:c r="T422" t="n">
        <x:v>0</x:v>
      </x:c>
      <x:c r="U422" t="n">
        <x:v>0</x:v>
      </x:c>
      <x:c r="V422" t="n">
        <x:v>1</x:v>
      </x:c>
      <x:c r="W422" t="n">
        <x:v>50</x:v>
      </x:c>
      <x:c r="X422" t="str">
        <x:v>VALUE: [[1d8]] PA 1 PA 50 PC</x:v>
      </x:c>
    </x:row>
    <x:row r="423">
      <x:c r="P423" t="str">
        <x:v>4|Dragon|Peu commune</x:v>
      </x:c>
      <x:c r="Q423" t="n">
        <x:v>900</x:v>
      </x:c>
      <x:c r="R423" t="str">
        <x:v>1d12</x:v>
      </x:c>
      <x:c r="S423" t="str">
        <x:v>PA</x:v>
      </x:c>
      <x:c r="T423" t="n">
        <x:v>0</x:v>
      </x:c>
      <x:c r="U423" t="n">
        <x:v>0</x:v>
      </x:c>
      <x:c r="V423" t="n">
        <x:v>2</x:v>
      </x:c>
      <x:c r="W423" t="n">
        <x:v>50</x:v>
      </x:c>
      <x:c r="X423" t="str">
        <x:v>VALUE: [[1d12]] PA 2 PA 50 PC</x:v>
      </x:c>
    </x:row>
    <x:row r="424">
      <x:c r="P424" t="str">
        <x:v>4|Dragon|Rare</x:v>
      </x:c>
      <x:c r="Q424" t="n">
        <x:v>1500</x:v>
      </x:c>
      <x:c r="R424" t="str">
        <x:v>1d20</x:v>
      </x:c>
      <x:c r="S424" t="str">
        <x:v>PA</x:v>
      </x:c>
      <x:c r="T424" t="n">
        <x:v>0</x:v>
      </x:c>
      <x:c r="U424" t="n">
        <x:v>0</x:v>
      </x:c>
      <x:c r="V424" t="n">
        <x:v>4</x:v>
      </x:c>
      <x:c r="W424" t="n">
        <x:v>50</x:v>
      </x:c>
      <x:c r="X424" t="str">
        <x:v>VALUE: [[1d20]] PA 4 PA 50 PC</x:v>
      </x:c>
    </x:row>
    <x:row r="425">
      <x:c r="P425" t="str">
        <x:v>4|Dragon|Précieuse</x:v>
      </x:c>
      <x:c r="Q425" t="n">
        <x:v>2400</x:v>
      </x:c>
      <x:c r="R425" t="str">
        <x:v>3d10</x:v>
      </x:c>
      <x:c r="S425" t="str">
        <x:v>PA</x:v>
      </x:c>
      <x:c r="T425" t="n">
        <x:v>0</x:v>
      </x:c>
      <x:c r="U425" t="n">
        <x:v>0</x:v>
      </x:c>
      <x:c r="V425" t="n">
        <x:v>7</x:v>
      </x:c>
      <x:c r="W425" t="n">
        <x:v>50</x:v>
      </x:c>
      <x:c r="X425" t="str">
        <x:v>VALUE: [[3d10]] PA 7 PA 50 PC</x:v>
      </x:c>
    </x:row>
    <x:row r="426">
      <x:c r="P426" t="str">
        <x:v>4|Dragon|Exceptionnelle</x:v>
      </x:c>
      <x:c r="Q426" t="n">
        <x:v>4200</x:v>
      </x:c>
      <x:c r="R426" t="str">
        <x:v>8d6</x:v>
      </x:c>
      <x:c r="S426" t="str">
        <x:v>PA</x:v>
      </x:c>
      <x:c r="T426" t="n">
        <x:v>0</x:v>
      </x:c>
      <x:c r="U426" t="n">
        <x:v>0</x:v>
      </x:c>
      <x:c r="V426" t="n">
        <x:v>14</x:v>
      </x:c>
      <x:c r="W426" t="n">
        <x:v>0</x:v>
      </x:c>
      <x:c r="X426" t="str">
        <x:v>VALUE: [[8d6]] PA 14 PA</x:v>
      </x:c>
    </x:row>
    <x:row r="427">
      <x:c r="P427" t="str">
        <x:v>5|Vermine|Commune</x:v>
      </x:c>
      <x:c r="Q427" t="n">
        <x:v>70</x:v>
      </x:c>
      <x:c r="R427" t="str">
        <x:v>8d12</x:v>
      </x:c>
      <x:c r="S427" t="str">
        <x:v>PC</x:v>
      </x:c>
      <x:c r="T427" t="n">
        <x:v>0</x:v>
      </x:c>
      <x:c r="U427" t="n">
        <x:v>0</x:v>
      </x:c>
      <x:c r="V427" t="n">
        <x:v>0</x:v>
      </x:c>
      <x:c r="W427" t="n">
        <x:v>18</x:v>
      </x:c>
      <x:c r="X427" t="str">
        <x:v>VALUE: [[8d12]] PC 18 PC</x:v>
      </x:c>
    </x:row>
    <x:row r="428">
      <x:c r="P428" t="str">
        <x:v>5|Vermine|Peu commune</x:v>
      </x:c>
      <x:c r="Q428" t="n">
        <x:v>105</x:v>
      </x:c>
      <x:c r="R428" t="str">
        <x:v>10d12</x:v>
      </x:c>
      <x:c r="S428" t="str">
        <x:v>PC</x:v>
      </x:c>
      <x:c r="T428" t="n">
        <x:v>0</x:v>
      </x:c>
      <x:c r="U428" t="n">
        <x:v>0</x:v>
      </x:c>
      <x:c r="V428" t="n">
        <x:v>0</x:v>
      </x:c>
      <x:c r="W428" t="n">
        <x:v>40</x:v>
      </x:c>
      <x:c r="X428" t="str">
        <x:v>VALUE: [[10d12]] PC 40 PC</x:v>
      </x:c>
    </x:row>
    <x:row r="429">
      <x:c r="P429" t="str">
        <x:v>5|Vermine|Rare</x:v>
      </x:c>
      <x:c r="Q429" t="n">
        <x:v>175</x:v>
      </x:c>
      <x:c r="R429" t="str">
        <x:v>10d20</x:v>
      </x:c>
      <x:c r="S429" t="str">
        <x:v>PC</x:v>
      </x:c>
      <x:c r="T429" t="n">
        <x:v>0</x:v>
      </x:c>
      <x:c r="U429" t="n">
        <x:v>0</x:v>
      </x:c>
      <x:c r="V429" t="n">
        <x:v>0</x:v>
      </x:c>
      <x:c r="W429" t="n">
        <x:v>70</x:v>
      </x:c>
      <x:c r="X429" t="str">
        <x:v>VALUE: [[10d20]] PC 70 PC</x:v>
      </x:c>
    </x:row>
    <x:row r="430">
      <x:c r="P430" t="str">
        <x:v>5|Vermine|Précieuse</x:v>
      </x:c>
      <x:c r="Q430" t="n">
        <x:v>280</x:v>
      </x:c>
      <x:c r="R430" t="str">
        <x:v>1d4</x:v>
      </x:c>
      <x:c r="S430" t="str">
        <x:v>PA</x:v>
      </x:c>
      <x:c r="T430" t="n">
        <x:v>0</x:v>
      </x:c>
      <x:c r="U430" t="n">
        <x:v>0</x:v>
      </x:c>
      <x:c r="V430" t="n">
        <x:v>0</x:v>
      </x:c>
      <x:c r="W430" t="n">
        <x:v>30</x:v>
      </x:c>
      <x:c r="X430" t="str">
        <x:v>VALUE: [[1d4]] PA 30 PC</x:v>
      </x:c>
    </x:row>
    <x:row r="431">
      <x:c r="P431" t="str">
        <x:v>5|Vermine|Exceptionnelle</x:v>
      </x:c>
      <x:c r="Q431" t="n">
        <x:v>490</x:v>
      </x:c>
      <x:c r="R431" t="str">
        <x:v>1d6</x:v>
      </x:c>
      <x:c r="S431" t="str">
        <x:v>PA</x:v>
      </x:c>
      <x:c r="T431" t="n">
        <x:v>0</x:v>
      </x:c>
      <x:c r="U431" t="n">
        <x:v>0</x:v>
      </x:c>
      <x:c r="V431" t="n">
        <x:v>1</x:v>
      </x:c>
      <x:c r="W431" t="n">
        <x:v>40</x:v>
      </x:c>
      <x:c r="X431" t="str">
        <x:v>VALUE: [[1d6]] PA 1 PA 40 PC</x:v>
      </x:c>
    </x:row>
    <x:row r="432">
      <x:c r="P432" t="str">
        <x:v>5|Bête|Commune</x:v>
      </x:c>
      <x:c r="Q432" t="n">
        <x:v>120</x:v>
      </x:c>
      <x:c r="R432" t="str">
        <x:v>8d20</x:v>
      </x:c>
      <x:c r="S432" t="str">
        <x:v>PC</x:v>
      </x:c>
      <x:c r="T432" t="n">
        <x:v>0</x:v>
      </x:c>
      <x:c r="U432" t="n">
        <x:v>0</x:v>
      </x:c>
      <x:c r="V432" t="n">
        <x:v>0</x:v>
      </x:c>
      <x:c r="W432" t="n">
        <x:v>36</x:v>
      </x:c>
      <x:c r="X432" t="str">
        <x:v>VALUE: [[8d20]] PC 36 PC</x:v>
      </x:c>
    </x:row>
    <x:row r="433">
      <x:c r="P433" t="str">
        <x:v>5|Bête|Peu commune</x:v>
      </x:c>
      <x:c r="Q433" t="n">
        <x:v>180</x:v>
      </x:c>
      <x:c r="R433" t="str">
        <x:v>10d20</x:v>
      </x:c>
      <x:c r="S433" t="str">
        <x:v>PC</x:v>
      </x:c>
      <x:c r="T433" t="n">
        <x:v>0</x:v>
      </x:c>
      <x:c r="U433" t="n">
        <x:v>0</x:v>
      </x:c>
      <x:c r="V433" t="n">
        <x:v>0</x:v>
      </x:c>
      <x:c r="W433" t="n">
        <x:v>75</x:v>
      </x:c>
      <x:c r="X433" t="str">
        <x:v>VALUE: [[10d20]] PC 75 PC</x:v>
      </x:c>
    </x:row>
    <x:row r="434">
      <x:c r="P434" t="str">
        <x:v>5|Bête|Rare</x:v>
      </x:c>
      <x:c r="Q434" t="n">
        <x:v>300</x:v>
      </x:c>
      <x:c r="R434" t="str">
        <x:v>1d4</x:v>
      </x:c>
      <x:c r="S434" t="str">
        <x:v>PA</x:v>
      </x:c>
      <x:c r="T434" t="n">
        <x:v>0</x:v>
      </x:c>
      <x:c r="U434" t="n">
        <x:v>0</x:v>
      </x:c>
      <x:c r="V434" t="n">
        <x:v>0</x:v>
      </x:c>
      <x:c r="W434" t="n">
        <x:v>50</x:v>
      </x:c>
      <x:c r="X434" t="str">
        <x:v>VALUE: [[1d4]] PA 50 PC</x:v>
      </x:c>
    </x:row>
    <x:row r="435">
      <x:c r="P435" t="str">
        <x:v>5|Bête|Précieuse</x:v>
      </x:c>
      <x:c r="Q435" t="n">
        <x:v>480</x:v>
      </x:c>
      <x:c r="R435" t="str">
        <x:v>1d6</x:v>
      </x:c>
      <x:c r="S435" t="str">
        <x:v>PA</x:v>
      </x:c>
      <x:c r="T435" t="n">
        <x:v>0</x:v>
      </x:c>
      <x:c r="U435" t="n">
        <x:v>0</x:v>
      </x:c>
      <x:c r="V435" t="n">
        <x:v>1</x:v>
      </x:c>
      <x:c r="W435" t="n">
        <x:v>30</x:v>
      </x:c>
      <x:c r="X435" t="str">
        <x:v>VALUE: [[1d6]] PA 1 PA 30 PC</x:v>
      </x:c>
    </x:row>
    <x:row r="436">
      <x:c r="P436" t="str">
        <x:v>5|Bête|Exceptionnelle</x:v>
      </x:c>
      <x:c r="Q436" t="n">
        <x:v>840</x:v>
      </x:c>
      <x:c r="R436" t="str">
        <x:v>1d10</x:v>
      </x:c>
      <x:c r="S436" t="str">
        <x:v>PA</x:v>
      </x:c>
      <x:c r="T436" t="n">
        <x:v>0</x:v>
      </x:c>
      <x:c r="U436" t="n">
        <x:v>0</x:v>
      </x:c>
      <x:c r="V436" t="n">
        <x:v>2</x:v>
      </x:c>
      <x:c r="W436" t="n">
        <x:v>90</x:v>
      </x:c>
      <x:c r="X436" t="str">
        <x:v>VALUE: [[1d10]] PA 2 PA 90 PC</x:v>
      </x:c>
    </x:row>
    <x:row r="437">
      <x:c r="P437" t="str">
        <x:v>5|Aquatique|Commune</x:v>
      </x:c>
      <x:c r="Q437" t="n">
        <x:v>140</x:v>
      </x:c>
      <x:c r="R437" t="str">
        <x:v>10d20</x:v>
      </x:c>
      <x:c r="S437" t="str">
        <x:v>PC</x:v>
      </x:c>
      <x:c r="T437" t="n">
        <x:v>0</x:v>
      </x:c>
      <x:c r="U437" t="n">
        <x:v>0</x:v>
      </x:c>
      <x:c r="V437" t="n">
        <x:v>0</x:v>
      </x:c>
      <x:c r="W437" t="n">
        <x:v>35</x:v>
      </x:c>
      <x:c r="X437" t="str">
        <x:v>VALUE: [[10d20]] PC 35 PC</x:v>
      </x:c>
    </x:row>
    <x:row r="438">
      <x:c r="P438" t="str">
        <x:v>5|Aquatique|Peu commune</x:v>
      </x:c>
      <x:c r="Q438" t="n">
        <x:v>210</x:v>
      </x:c>
      <x:c r="R438" t="str">
        <x:v>10d20</x:v>
      </x:c>
      <x:c r="S438" t="str">
        <x:v>PC</x:v>
      </x:c>
      <x:c r="T438" t="n">
        <x:v>0</x:v>
      </x:c>
      <x:c r="U438" t="n">
        <x:v>0</x:v>
      </x:c>
      <x:c r="V438" t="n">
        <x:v>1</x:v>
      </x:c>
      <x:c r="W438" t="n">
        <x:v>5</x:v>
      </x:c>
      <x:c r="X438" t="str">
        <x:v>VALUE: [[10d20]] PC 1 PA 5 PC</x:v>
      </x:c>
    </x:row>
    <x:row r="439">
      <x:c r="P439" t="str">
        <x:v>5|Aquatique|Rare</x:v>
      </x:c>
      <x:c r="Q439" t="n">
        <x:v>350</x:v>
      </x:c>
      <x:c r="R439" t="str">
        <x:v>1d4</x:v>
      </x:c>
      <x:c r="S439" t="str">
        <x:v>PA</x:v>
      </x:c>
      <x:c r="T439" t="n">
        <x:v>0</x:v>
      </x:c>
      <x:c r="U439" t="n">
        <x:v>0</x:v>
      </x:c>
      <x:c r="V439" t="n">
        <x:v>1</x:v>
      </x:c>
      <x:c r="W439" t="n">
        <x:v>0</x:v>
      </x:c>
      <x:c r="X439" t="str">
        <x:v>VALUE: [[1d4]] PA 1 PA</x:v>
      </x:c>
    </x:row>
    <x:row r="440">
      <x:c r="P440" t="str">
        <x:v>5|Aquatique|Précieuse</x:v>
      </x:c>
      <x:c r="Q440" t="n">
        <x:v>560</x:v>
      </x:c>
      <x:c r="R440" t="str">
        <x:v>1d6</x:v>
      </x:c>
      <x:c r="S440" t="str">
        <x:v>PA</x:v>
      </x:c>
      <x:c r="T440" t="n">
        <x:v>0</x:v>
      </x:c>
      <x:c r="U440" t="n">
        <x:v>0</x:v>
      </x:c>
      <x:c r="V440" t="n">
        <x:v>2</x:v>
      </x:c>
      <x:c r="W440" t="n">
        <x:v>10</x:v>
      </x:c>
      <x:c r="X440" t="str">
        <x:v>VALUE: [[1d6]] PA 2 PA 10 PC</x:v>
      </x:c>
    </x:row>
    <x:row r="441">
      <x:c r="P441" t="str">
        <x:v>5|Aquatique|Exceptionnelle</x:v>
      </x:c>
      <x:c r="Q441" t="n">
        <x:v>980</x:v>
      </x:c>
      <x:c r="R441" t="str">
        <x:v>2d6</x:v>
      </x:c>
      <x:c r="S441" t="str">
        <x:v>PA</x:v>
      </x:c>
      <x:c r="T441" t="n">
        <x:v>0</x:v>
      </x:c>
      <x:c r="U441" t="n">
        <x:v>0</x:v>
      </x:c>
      <x:c r="V441" t="n">
        <x:v>2</x:v>
      </x:c>
      <x:c r="W441" t="n">
        <x:v>80</x:v>
      </x:c>
      <x:c r="X441" t="str">
        <x:v>VALUE: [[2d6]] PA 2 PA 80 PC</x:v>
      </x:c>
    </x:row>
    <x:row r="442">
      <x:c r="P442" t="str">
        <x:v>5|Plante|Commune</x:v>
      </x:c>
      <x:c r="Q442" t="n">
        <x:v>160</x:v>
      </x:c>
      <x:c r="R442" t="str">
        <x:v>10d20</x:v>
      </x:c>
      <x:c r="S442" t="str">
        <x:v>PC</x:v>
      </x:c>
      <x:c r="T442" t="n">
        <x:v>0</x:v>
      </x:c>
      <x:c r="U442" t="n">
        <x:v>0</x:v>
      </x:c>
      <x:c r="V442" t="n">
        <x:v>0</x:v>
      </x:c>
      <x:c r="W442" t="n">
        <x:v>55</x:v>
      </x:c>
      <x:c r="X442" t="str">
        <x:v>VALUE: [[10d20]] PC 55 PC</x:v>
      </x:c>
    </x:row>
    <x:row r="443">
      <x:c r="P443" t="str">
        <x:v>5|Plante|Peu commune</x:v>
      </x:c>
      <x:c r="Q443" t="n">
        <x:v>240</x:v>
      </x:c>
      <x:c r="R443" t="str">
        <x:v>10d20</x:v>
      </x:c>
      <x:c r="S443" t="str">
        <x:v>PC</x:v>
      </x:c>
      <x:c r="T443" t="n">
        <x:v>0</x:v>
      </x:c>
      <x:c r="U443" t="n">
        <x:v>0</x:v>
      </x:c>
      <x:c r="V443" t="n">
        <x:v>1</x:v>
      </x:c>
      <x:c r="W443" t="n">
        <x:v>35</x:v>
      </x:c>
      <x:c r="X443" t="str">
        <x:v>VALUE: [[10d20]] PC 1 PA 35 PC</x:v>
      </x:c>
    </x:row>
    <x:row r="444">
      <x:c r="P444" t="str">
        <x:v>5|Plante|Rare</x:v>
      </x:c>
      <x:c r="Q444" t="n">
        <x:v>400</x:v>
      </x:c>
      <x:c r="R444" t="str">
        <x:v>1d4</x:v>
      </x:c>
      <x:c r="S444" t="str">
        <x:v>PA</x:v>
      </x:c>
      <x:c r="T444" t="n">
        <x:v>0</x:v>
      </x:c>
      <x:c r="U444" t="n">
        <x:v>0</x:v>
      </x:c>
      <x:c r="V444" t="n">
        <x:v>1</x:v>
      </x:c>
      <x:c r="W444" t="n">
        <x:v>50</x:v>
      </x:c>
      <x:c r="X444" t="str">
        <x:v>VALUE: [[1d4]] PA 1 PA 50 PC</x:v>
      </x:c>
    </x:row>
    <x:row r="445">
      <x:c r="P445" t="str">
        <x:v>5|Plante|Précieuse</x:v>
      </x:c>
      <x:c r="Q445" t="n">
        <x:v>640</x:v>
      </x:c>
      <x:c r="R445" t="str">
        <x:v>1d8</x:v>
      </x:c>
      <x:c r="S445" t="str">
        <x:v>PA</x:v>
      </x:c>
      <x:c r="T445" t="n">
        <x:v>0</x:v>
      </x:c>
      <x:c r="U445" t="n">
        <x:v>0</x:v>
      </x:c>
      <x:c r="V445" t="n">
        <x:v>1</x:v>
      </x:c>
      <x:c r="W445" t="n">
        <x:v>90</x:v>
      </x:c>
      <x:c r="X445" t="str">
        <x:v>VALUE: [[1d8]] PA 1 PA 90 PC</x:v>
      </x:c>
    </x:row>
    <x:row r="446">
      <x:c r="P446" t="str">
        <x:v>5|Plante|Exceptionnelle</x:v>
      </x:c>
      <x:c r="Q446" t="n">
        <x:v>1120</x:v>
      </x:c>
      <x:c r="R446" t="str">
        <x:v>3d4</x:v>
      </x:c>
      <x:c r="S446" t="str">
        <x:v>PA</x:v>
      </x:c>
      <x:c r="T446" t="n">
        <x:v>0</x:v>
      </x:c>
      <x:c r="U446" t="n">
        <x:v>0</x:v>
      </x:c>
      <x:c r="V446" t="n">
        <x:v>3</x:v>
      </x:c>
      <x:c r="W446" t="n">
        <x:v>70</x:v>
      </x:c>
      <x:c r="X446" t="str">
        <x:v>VALUE: [[3d4]] PA 3 PA 70 PC</x:v>
      </x:c>
    </x:row>
    <x:row r="447">
      <x:c r="P447" t="str">
        <x:v>5|Humanoïde|Commune</x:v>
      </x:c>
      <x:c r="Q447" t="n">
        <x:v>200</x:v>
      </x:c>
      <x:c r="R447" t="str">
        <x:v>10d20</x:v>
      </x:c>
      <x:c r="S447" t="str">
        <x:v>PC</x:v>
      </x:c>
      <x:c r="T447" t="n">
        <x:v>0</x:v>
      </x:c>
      <x:c r="U447" t="n">
        <x:v>0</x:v>
      </x:c>
      <x:c r="V447" t="n">
        <x:v>0</x:v>
      </x:c>
      <x:c r="W447" t="n">
        <x:v>95</x:v>
      </x:c>
      <x:c r="X447" t="str">
        <x:v>VALUE: [[10d20]] PC 95 PC</x:v>
      </x:c>
    </x:row>
    <x:row r="448">
      <x:c r="P448" t="str">
        <x:v>5|Humanoïde|Peu commune</x:v>
      </x:c>
      <x:c r="Q448" t="n">
        <x:v>300</x:v>
      </x:c>
      <x:c r="R448" t="str">
        <x:v>1d4</x:v>
      </x:c>
      <x:c r="S448" t="str">
        <x:v>PA</x:v>
      </x:c>
      <x:c r="T448" t="n">
        <x:v>0</x:v>
      </x:c>
      <x:c r="U448" t="n">
        <x:v>0</x:v>
      </x:c>
      <x:c r="V448" t="n">
        <x:v>0</x:v>
      </x:c>
      <x:c r="W448" t="n">
        <x:v>50</x:v>
      </x:c>
      <x:c r="X448" t="str">
        <x:v>VALUE: [[1d4]] PA 50 PC</x:v>
      </x:c>
    </x:row>
    <x:row r="449">
      <x:c r="P449" t="str">
        <x:v>5|Humanoïde|Rare</x:v>
      </x:c>
      <x:c r="Q449" t="n">
        <x:v>500</x:v>
      </x:c>
      <x:c r="R449" t="str">
        <x:v>1d6</x:v>
      </x:c>
      <x:c r="S449" t="str">
        <x:v>PA</x:v>
      </x:c>
      <x:c r="T449" t="n">
        <x:v>0</x:v>
      </x:c>
      <x:c r="U449" t="n">
        <x:v>0</x:v>
      </x:c>
      <x:c r="V449" t="n">
        <x:v>1</x:v>
      </x:c>
      <x:c r="W449" t="n">
        <x:v>50</x:v>
      </x:c>
      <x:c r="X449" t="str">
        <x:v>VALUE: [[1d6]] PA 1 PA 50 PC</x:v>
      </x:c>
    </x:row>
    <x:row r="450">
      <x:c r="P450" t="str">
        <x:v>5|Humanoïde|Précieuse</x:v>
      </x:c>
      <x:c r="Q450" t="n">
        <x:v>800</x:v>
      </x:c>
      <x:c r="R450" t="str">
        <x:v>1d10</x:v>
      </x:c>
      <x:c r="S450" t="str">
        <x:v>PA</x:v>
      </x:c>
      <x:c r="T450" t="n">
        <x:v>0</x:v>
      </x:c>
      <x:c r="U450" t="n">
        <x:v>0</x:v>
      </x:c>
      <x:c r="V450" t="n">
        <x:v>2</x:v>
      </x:c>
      <x:c r="W450" t="n">
        <x:v>50</x:v>
      </x:c>
      <x:c r="X450" t="str">
        <x:v>VALUE: [[1d10]] PA 2 PA 50 PC</x:v>
      </x:c>
    </x:row>
    <x:row r="451">
      <x:c r="P451" t="str">
        <x:v>5|Humanoïde|Exceptionnelle</x:v>
      </x:c>
      <x:c r="Q451" t="n">
        <x:v>1400</x:v>
      </x:c>
      <x:c r="R451" t="str">
        <x:v>4d4</x:v>
      </x:c>
      <x:c r="S451" t="str">
        <x:v>PA</x:v>
      </x:c>
      <x:c r="T451" t="n">
        <x:v>0</x:v>
      </x:c>
      <x:c r="U451" t="n">
        <x:v>0</x:v>
      </x:c>
      <x:c r="V451" t="n">
        <x:v>4</x:v>
      </x:c>
      <x:c r="W451" t="n">
        <x:v>0</x:v>
      </x:c>
      <x:c r="X451" t="str">
        <x:v>VALUE: [[4d4]] PA 4 PA</x:v>
      </x:c>
    </x:row>
    <x:row r="452">
      <x:c r="P452" t="str">
        <x:v>5|Mort-vivant|Commune</x:v>
      </x:c>
      <x:c r="Q452" t="n">
        <x:v>200</x:v>
      </x:c>
      <x:c r="R452" t="str">
        <x:v>10d20</x:v>
      </x:c>
      <x:c r="S452" t="str">
        <x:v>PC</x:v>
      </x:c>
      <x:c r="T452" t="n">
        <x:v>0</x:v>
      </x:c>
      <x:c r="U452" t="n">
        <x:v>0</x:v>
      </x:c>
      <x:c r="V452" t="n">
        <x:v>0</x:v>
      </x:c>
      <x:c r="W452" t="n">
        <x:v>95</x:v>
      </x:c>
      <x:c r="X452" t="str">
        <x:v>VALUE: [[10d20]] PC 95 PC</x:v>
      </x:c>
    </x:row>
    <x:row r="453">
      <x:c r="P453" t="str">
        <x:v>5|Mort-vivant|Peu commune</x:v>
      </x:c>
      <x:c r="Q453" t="n">
        <x:v>300</x:v>
      </x:c>
      <x:c r="R453" t="str">
        <x:v>1d4</x:v>
      </x:c>
      <x:c r="S453" t="str">
        <x:v>PA</x:v>
      </x:c>
      <x:c r="T453" t="n">
        <x:v>0</x:v>
      </x:c>
      <x:c r="U453" t="n">
        <x:v>0</x:v>
      </x:c>
      <x:c r="V453" t="n">
        <x:v>0</x:v>
      </x:c>
      <x:c r="W453" t="n">
        <x:v>50</x:v>
      </x:c>
      <x:c r="X453" t="str">
        <x:v>VALUE: [[1d4]] PA 50 PC</x:v>
      </x:c>
    </x:row>
    <x:row r="454">
      <x:c r="P454" t="str">
        <x:v>5|Mort-vivant|Rare</x:v>
      </x:c>
      <x:c r="Q454" t="n">
        <x:v>500</x:v>
      </x:c>
      <x:c r="R454" t="str">
        <x:v>1d6</x:v>
      </x:c>
      <x:c r="S454" t="str">
        <x:v>PA</x:v>
      </x:c>
      <x:c r="T454" t="n">
        <x:v>0</x:v>
      </x:c>
      <x:c r="U454" t="n">
        <x:v>0</x:v>
      </x:c>
      <x:c r="V454" t="n">
        <x:v>1</x:v>
      </x:c>
      <x:c r="W454" t="n">
        <x:v>50</x:v>
      </x:c>
      <x:c r="X454" t="str">
        <x:v>VALUE: [[1d6]] PA 1 PA 50 PC</x:v>
      </x:c>
    </x:row>
    <x:row r="455">
      <x:c r="P455" t="str">
        <x:v>5|Mort-vivant|Précieuse</x:v>
      </x:c>
      <x:c r="Q455" t="n">
        <x:v>800</x:v>
      </x:c>
      <x:c r="R455" t="str">
        <x:v>1d10</x:v>
      </x:c>
      <x:c r="S455" t="str">
        <x:v>PA</x:v>
      </x:c>
      <x:c r="T455" t="n">
        <x:v>0</x:v>
      </x:c>
      <x:c r="U455" t="n">
        <x:v>0</x:v>
      </x:c>
      <x:c r="V455" t="n">
        <x:v>2</x:v>
      </x:c>
      <x:c r="W455" t="n">
        <x:v>50</x:v>
      </x:c>
      <x:c r="X455" t="str">
        <x:v>VALUE: [[1d10]] PA 2 PA 50 PC</x:v>
      </x:c>
    </x:row>
    <x:row r="456">
      <x:c r="P456" t="str">
        <x:v>5|Mort-vivant|Exceptionnelle</x:v>
      </x:c>
      <x:c r="Q456" t="n">
        <x:v>1400</x:v>
      </x:c>
      <x:c r="R456" t="str">
        <x:v>4d4</x:v>
      </x:c>
      <x:c r="S456" t="str">
        <x:v>PA</x:v>
      </x:c>
      <x:c r="T456" t="n">
        <x:v>0</x:v>
      </x:c>
      <x:c r="U456" t="n">
        <x:v>0</x:v>
      </x:c>
      <x:c r="V456" t="n">
        <x:v>4</x:v>
      </x:c>
      <x:c r="W456" t="n">
        <x:v>0</x:v>
      </x:c>
      <x:c r="X456" t="str">
        <x:v>VALUE: [[4d4]] PA 4 PA</x:v>
      </x:c>
    </x:row>
    <x:row r="457">
      <x:c r="P457" t="str">
        <x:v>5|Monstre|Commune</x:v>
      </x:c>
      <x:c r="Q457" t="n">
        <x:v>200</x:v>
      </x:c>
      <x:c r="R457" t="str">
        <x:v>10d20</x:v>
      </x:c>
      <x:c r="S457" t="str">
        <x:v>PC</x:v>
      </x:c>
      <x:c r="T457" t="n">
        <x:v>0</x:v>
      </x:c>
      <x:c r="U457" t="n">
        <x:v>0</x:v>
      </x:c>
      <x:c r="V457" t="n">
        <x:v>0</x:v>
      </x:c>
      <x:c r="W457" t="n">
        <x:v>95</x:v>
      </x:c>
      <x:c r="X457" t="str">
        <x:v>VALUE: [[10d20]] PC 95 PC</x:v>
      </x:c>
    </x:row>
    <x:row r="458">
      <x:c r="P458" t="str">
        <x:v>5|Monstre|Peu commune</x:v>
      </x:c>
      <x:c r="Q458" t="n">
        <x:v>300</x:v>
      </x:c>
      <x:c r="R458" t="str">
        <x:v>1d4</x:v>
      </x:c>
      <x:c r="S458" t="str">
        <x:v>PA</x:v>
      </x:c>
      <x:c r="T458" t="n">
        <x:v>0</x:v>
      </x:c>
      <x:c r="U458" t="n">
        <x:v>0</x:v>
      </x:c>
      <x:c r="V458" t="n">
        <x:v>0</x:v>
      </x:c>
      <x:c r="W458" t="n">
        <x:v>50</x:v>
      </x:c>
      <x:c r="X458" t="str">
        <x:v>VALUE: [[1d4]] PA 50 PC</x:v>
      </x:c>
    </x:row>
    <x:row r="459">
      <x:c r="P459" t="str">
        <x:v>5|Monstre|Rare</x:v>
      </x:c>
      <x:c r="Q459" t="n">
        <x:v>500</x:v>
      </x:c>
      <x:c r="R459" t="str">
        <x:v>1d6</x:v>
      </x:c>
      <x:c r="S459" t="str">
        <x:v>PA</x:v>
      </x:c>
      <x:c r="T459" t="n">
        <x:v>0</x:v>
      </x:c>
      <x:c r="U459" t="n">
        <x:v>0</x:v>
      </x:c>
      <x:c r="V459" t="n">
        <x:v>1</x:v>
      </x:c>
      <x:c r="W459" t="n">
        <x:v>50</x:v>
      </x:c>
      <x:c r="X459" t="str">
        <x:v>VALUE: [[1d6]] PA 1 PA 50 PC</x:v>
      </x:c>
    </x:row>
    <x:row r="460">
      <x:c r="P460" t="str">
        <x:v>5|Monstre|Précieuse</x:v>
      </x:c>
      <x:c r="Q460" t="n">
        <x:v>800</x:v>
      </x:c>
      <x:c r="R460" t="str">
        <x:v>1d10</x:v>
      </x:c>
      <x:c r="S460" t="str">
        <x:v>PA</x:v>
      </x:c>
      <x:c r="T460" t="n">
        <x:v>0</x:v>
      </x:c>
      <x:c r="U460" t="n">
        <x:v>0</x:v>
      </x:c>
      <x:c r="V460" t="n">
        <x:v>2</x:v>
      </x:c>
      <x:c r="W460" t="n">
        <x:v>50</x:v>
      </x:c>
      <x:c r="X460" t="str">
        <x:v>VALUE: [[1d10]] PA 2 PA 50 PC</x:v>
      </x:c>
    </x:row>
    <x:row r="461">
      <x:c r="P461" t="str">
        <x:v>5|Monstre|Exceptionnelle</x:v>
      </x:c>
      <x:c r="Q461" t="n">
        <x:v>1400</x:v>
      </x:c>
      <x:c r="R461" t="str">
        <x:v>4d4</x:v>
      </x:c>
      <x:c r="S461" t="str">
        <x:v>PA</x:v>
      </x:c>
      <x:c r="T461" t="n">
        <x:v>0</x:v>
      </x:c>
      <x:c r="U461" t="n">
        <x:v>0</x:v>
      </x:c>
      <x:c r="V461" t="n">
        <x:v>4</x:v>
      </x:c>
      <x:c r="W461" t="n">
        <x:v>0</x:v>
      </x:c>
      <x:c r="X461" t="str">
        <x:v>VALUE: [[4d4]] PA 4 PA</x:v>
      </x:c>
    </x:row>
    <x:row r="462">
      <x:c r="P462" t="str">
        <x:v>5|Vase|Commune</x:v>
      </x:c>
      <x:c r="Q462" t="n">
        <x:v>200</x:v>
      </x:c>
      <x:c r="R462" t="str">
        <x:v>10d20</x:v>
      </x:c>
      <x:c r="S462" t="str">
        <x:v>PC</x:v>
      </x:c>
      <x:c r="T462" t="n">
        <x:v>0</x:v>
      </x:c>
      <x:c r="U462" t="n">
        <x:v>0</x:v>
      </x:c>
      <x:c r="V462" t="n">
        <x:v>0</x:v>
      </x:c>
      <x:c r="W462" t="n">
        <x:v>95</x:v>
      </x:c>
      <x:c r="X462" t="str">
        <x:v>VALUE: [[10d20]] PC 95 PC</x:v>
      </x:c>
    </x:row>
    <x:row r="463">
      <x:c r="P463" t="str">
        <x:v>5|Vase|Peu commune</x:v>
      </x:c>
      <x:c r="Q463" t="n">
        <x:v>300</x:v>
      </x:c>
      <x:c r="R463" t="str">
        <x:v>1d4</x:v>
      </x:c>
      <x:c r="S463" t="str">
        <x:v>PA</x:v>
      </x:c>
      <x:c r="T463" t="n">
        <x:v>0</x:v>
      </x:c>
      <x:c r="U463" t="n">
        <x:v>0</x:v>
      </x:c>
      <x:c r="V463" t="n">
        <x:v>0</x:v>
      </x:c>
      <x:c r="W463" t="n">
        <x:v>50</x:v>
      </x:c>
      <x:c r="X463" t="str">
        <x:v>VALUE: [[1d4]] PA 50 PC</x:v>
      </x:c>
    </x:row>
    <x:row r="464">
      <x:c r="P464" t="str">
        <x:v>5|Vase|Rare</x:v>
      </x:c>
      <x:c r="Q464" t="n">
        <x:v>500</x:v>
      </x:c>
      <x:c r="R464" t="str">
        <x:v>1d6</x:v>
      </x:c>
      <x:c r="S464" t="str">
        <x:v>PA</x:v>
      </x:c>
      <x:c r="T464" t="n">
        <x:v>0</x:v>
      </x:c>
      <x:c r="U464" t="n">
        <x:v>0</x:v>
      </x:c>
      <x:c r="V464" t="n">
        <x:v>1</x:v>
      </x:c>
      <x:c r="W464" t="n">
        <x:v>50</x:v>
      </x:c>
      <x:c r="X464" t="str">
        <x:v>VALUE: [[1d6]] PA 1 PA 50 PC</x:v>
      </x:c>
    </x:row>
    <x:row r="465">
      <x:c r="P465" t="str">
        <x:v>5|Vase|Précieuse</x:v>
      </x:c>
      <x:c r="Q465" t="n">
        <x:v>800</x:v>
      </x:c>
      <x:c r="R465" t="str">
        <x:v>1d10</x:v>
      </x:c>
      <x:c r="S465" t="str">
        <x:v>PA</x:v>
      </x:c>
      <x:c r="T465" t="n">
        <x:v>0</x:v>
      </x:c>
      <x:c r="U465" t="n">
        <x:v>0</x:v>
      </x:c>
      <x:c r="V465" t="n">
        <x:v>2</x:v>
      </x:c>
      <x:c r="W465" t="n">
        <x:v>50</x:v>
      </x:c>
      <x:c r="X465" t="str">
        <x:v>VALUE: [[1d10]] PA 2 PA 50 PC</x:v>
      </x:c>
    </x:row>
    <x:row r="466">
      <x:c r="P466" t="str">
        <x:v>5|Vase|Exceptionnelle</x:v>
      </x:c>
      <x:c r="Q466" t="n">
        <x:v>1400</x:v>
      </x:c>
      <x:c r="R466" t="str">
        <x:v>4d4</x:v>
      </x:c>
      <x:c r="S466" t="str">
        <x:v>PA</x:v>
      </x:c>
      <x:c r="T466" t="n">
        <x:v>0</x:v>
      </x:c>
      <x:c r="U466" t="n">
        <x:v>0</x:v>
      </x:c>
      <x:c r="V466" t="n">
        <x:v>4</x:v>
      </x:c>
      <x:c r="W466" t="n">
        <x:v>0</x:v>
      </x:c>
      <x:c r="X466" t="str">
        <x:v>VALUE: [[4d4]] PA 4 PA</x:v>
      </x:c>
    </x:row>
    <x:row r="467">
      <x:c r="P467" t="str">
        <x:v>5|Géant|Commune</x:v>
      </x:c>
      <x:c r="Q467" t="n">
        <x:v>240</x:v>
      </x:c>
      <x:c r="R467" t="str">
        <x:v>10d20</x:v>
      </x:c>
      <x:c r="S467" t="str">
        <x:v>PC</x:v>
      </x:c>
      <x:c r="T467" t="n">
        <x:v>0</x:v>
      </x:c>
      <x:c r="U467" t="n">
        <x:v>0</x:v>
      </x:c>
      <x:c r="V467" t="n">
        <x:v>1</x:v>
      </x:c>
      <x:c r="W467" t="n">
        <x:v>35</x:v>
      </x:c>
      <x:c r="X467" t="str">
        <x:v>VALUE: [[10d20]] PC 1 PA 35 PC</x:v>
      </x:c>
    </x:row>
    <x:row r="468">
      <x:c r="P468" t="str">
        <x:v>5|Géant|Peu commune</x:v>
      </x:c>
      <x:c r="Q468" t="n">
        <x:v>360</x:v>
      </x:c>
      <x:c r="R468" t="str">
        <x:v>1d4</x:v>
      </x:c>
      <x:c r="S468" t="str">
        <x:v>PA</x:v>
      </x:c>
      <x:c r="T468" t="n">
        <x:v>0</x:v>
      </x:c>
      <x:c r="U468" t="n">
        <x:v>0</x:v>
      </x:c>
      <x:c r="V468" t="n">
        <x:v>1</x:v>
      </x:c>
      <x:c r="W468" t="n">
        <x:v>10</x:v>
      </x:c>
      <x:c r="X468" t="str">
        <x:v>VALUE: [[1d4]] PA 1 PA 10 PC</x:v>
      </x:c>
    </x:row>
    <x:row r="469">
      <x:c r="P469" t="str">
        <x:v>5|Géant|Rare</x:v>
      </x:c>
      <x:c r="Q469" t="n">
        <x:v>600</x:v>
      </x:c>
      <x:c r="R469" t="str">
        <x:v>1d8</x:v>
      </x:c>
      <x:c r="S469" t="str">
        <x:v>PA</x:v>
      </x:c>
      <x:c r="T469" t="n">
        <x:v>0</x:v>
      </x:c>
      <x:c r="U469" t="n">
        <x:v>0</x:v>
      </x:c>
      <x:c r="V469" t="n">
        <x:v>1</x:v>
      </x:c>
      <x:c r="W469" t="n">
        <x:v>50</x:v>
      </x:c>
      <x:c r="X469" t="str">
        <x:v>VALUE: [[1d8]] PA 1 PA 50 PC</x:v>
      </x:c>
    </x:row>
    <x:row r="470">
      <x:c r="P470" t="str">
        <x:v>5|Géant|Précieuse</x:v>
      </x:c>
      <x:c r="Q470" t="n">
        <x:v>960</x:v>
      </x:c>
      <x:c r="R470" t="str">
        <x:v>1d12</x:v>
      </x:c>
      <x:c r="S470" t="str">
        <x:v>PA</x:v>
      </x:c>
      <x:c r="T470" t="n">
        <x:v>0</x:v>
      </x:c>
      <x:c r="U470" t="n">
        <x:v>0</x:v>
      </x:c>
      <x:c r="V470" t="n">
        <x:v>3</x:v>
      </x:c>
      <x:c r="W470" t="n">
        <x:v>10</x:v>
      </x:c>
      <x:c r="X470" t="str">
        <x:v>VALUE: [[1d12]] PA 3 PA 10 PC</x:v>
      </x:c>
    </x:row>
    <x:row r="471">
      <x:c r="P471" t="str">
        <x:v>5|Géant|Exceptionnelle</x:v>
      </x:c>
      <x:c r="Q471" t="n">
        <x:v>1680</x:v>
      </x:c>
      <x:c r="R471" t="str">
        <x:v>5d4</x:v>
      </x:c>
      <x:c r="S471" t="str">
        <x:v>PA</x:v>
      </x:c>
      <x:c r="T471" t="n">
        <x:v>0</x:v>
      </x:c>
      <x:c r="U471" t="n">
        <x:v>0</x:v>
      </x:c>
      <x:c r="V471" t="n">
        <x:v>4</x:v>
      </x:c>
      <x:c r="W471" t="n">
        <x:v>30</x:v>
      </x:c>
      <x:c r="X471" t="str">
        <x:v>VALUE: [[5d4]] PA 4 PA 30 PC</x:v>
      </x:c>
    </x:row>
    <x:row r="472">
      <x:c r="P472" t="str">
        <x:v>5|Aberration|Commune</x:v>
      </x:c>
      <x:c r="Q472" t="n">
        <x:v>300</x:v>
      </x:c>
      <x:c r="R472" t="str">
        <x:v>1d4</x:v>
      </x:c>
      <x:c r="S472" t="str">
        <x:v>PA</x:v>
      </x:c>
      <x:c r="T472" t="n">
        <x:v>0</x:v>
      </x:c>
      <x:c r="U472" t="n">
        <x:v>0</x:v>
      </x:c>
      <x:c r="V472" t="n">
        <x:v>0</x:v>
      </x:c>
      <x:c r="W472" t="n">
        <x:v>50</x:v>
      </x:c>
      <x:c r="X472" t="str">
        <x:v>VALUE: [[1d4]] PA 50 PC</x:v>
      </x:c>
    </x:row>
    <x:row r="473">
      <x:c r="P473" t="str">
        <x:v>5|Aberration|Peu commune</x:v>
      </x:c>
      <x:c r="Q473" t="n">
        <x:v>450</x:v>
      </x:c>
      <x:c r="R473" t="str">
        <x:v>1d6</x:v>
      </x:c>
      <x:c r="S473" t="str">
        <x:v>PA</x:v>
      </x:c>
      <x:c r="T473" t="n">
        <x:v>0</x:v>
      </x:c>
      <x:c r="U473" t="n">
        <x:v>0</x:v>
      </x:c>
      <x:c r="V473" t="n">
        <x:v>1</x:v>
      </x:c>
      <x:c r="W473" t="n">
        <x:v>0</x:v>
      </x:c>
      <x:c r="X473" t="str">
        <x:v>VALUE: [[1d6]] PA 1 PA</x:v>
      </x:c>
    </x:row>
    <x:row r="474">
      <x:c r="P474" t="str">
        <x:v>5|Aberration|Rare</x:v>
      </x:c>
      <x:c r="Q474" t="n">
        <x:v>750</x:v>
      </x:c>
      <x:c r="R474" t="str">
        <x:v>1d10</x:v>
      </x:c>
      <x:c r="S474" t="str">
        <x:v>PA</x:v>
      </x:c>
      <x:c r="T474" t="n">
        <x:v>0</x:v>
      </x:c>
      <x:c r="U474" t="n">
        <x:v>0</x:v>
      </x:c>
      <x:c r="V474" t="n">
        <x:v>2</x:v>
      </x:c>
      <x:c r="W474" t="n">
        <x:v>0</x:v>
      </x:c>
      <x:c r="X474" t="str">
        <x:v>VALUE: [[1d10]] PA 2 PA</x:v>
      </x:c>
    </x:row>
    <x:row r="475">
      <x:c r="P475" t="str">
        <x:v>5|Aberration|Précieuse</x:v>
      </x:c>
      <x:c r="Q475" t="n">
        <x:v>1200</x:v>
      </x:c>
      <x:c r="R475" t="str">
        <x:v>2d8</x:v>
      </x:c>
      <x:c r="S475" t="str">
        <x:v>PA</x:v>
      </x:c>
      <x:c r="T475" t="n">
        <x:v>0</x:v>
      </x:c>
      <x:c r="U475" t="n">
        <x:v>0</x:v>
      </x:c>
      <x:c r="V475" t="n">
        <x:v>3</x:v>
      </x:c>
      <x:c r="W475" t="n">
        <x:v>0</x:v>
      </x:c>
      <x:c r="X475" t="str">
        <x:v>VALUE: [[2d8]] PA 3 PA</x:v>
      </x:c>
    </x:row>
    <x:row r="476">
      <x:c r="P476" t="str">
        <x:v>5|Aberration|Exceptionnelle</x:v>
      </x:c>
      <x:c r="Q476" t="n">
        <x:v>2100</x:v>
      </x:c>
      <x:c r="R476" t="str">
        <x:v>6d4</x:v>
      </x:c>
      <x:c r="S476" t="str">
        <x:v>PA</x:v>
      </x:c>
      <x:c r="T476" t="n">
        <x:v>0</x:v>
      </x:c>
      <x:c r="U476" t="n">
        <x:v>0</x:v>
      </x:c>
      <x:c r="V476" t="n">
        <x:v>6</x:v>
      </x:c>
      <x:c r="W476" t="n">
        <x:v>0</x:v>
      </x:c>
      <x:c r="X476" t="str">
        <x:v>VALUE: [[6d4]] PA 6 PA</x:v>
      </x:c>
    </x:row>
    <x:row r="477">
      <x:c r="P477" t="str">
        <x:v>5|Fée|Commune</x:v>
      </x:c>
      <x:c r="Q477" t="n">
        <x:v>360</x:v>
      </x:c>
      <x:c r="R477" t="str">
        <x:v>1d4</x:v>
      </x:c>
      <x:c r="S477" t="str">
        <x:v>PA</x:v>
      </x:c>
      <x:c r="T477" t="n">
        <x:v>0</x:v>
      </x:c>
      <x:c r="U477" t="n">
        <x:v>0</x:v>
      </x:c>
      <x:c r="V477" t="n">
        <x:v>1</x:v>
      </x:c>
      <x:c r="W477" t="n">
        <x:v>10</x:v>
      </x:c>
      <x:c r="X477" t="str">
        <x:v>VALUE: [[1d4]] PA 1 PA 10 PC</x:v>
      </x:c>
    </x:row>
    <x:row r="478">
      <x:c r="P478" t="str">
        <x:v>5|Fée|Peu commune</x:v>
      </x:c>
      <x:c r="Q478" t="n">
        <x:v>540</x:v>
      </x:c>
      <x:c r="R478" t="str">
        <x:v>1d6</x:v>
      </x:c>
      <x:c r="S478" t="str">
        <x:v>PA</x:v>
      </x:c>
      <x:c r="T478" t="n">
        <x:v>0</x:v>
      </x:c>
      <x:c r="U478" t="n">
        <x:v>0</x:v>
      </x:c>
      <x:c r="V478" t="n">
        <x:v>1</x:v>
      </x:c>
      <x:c r="W478" t="n">
        <x:v>90</x:v>
      </x:c>
      <x:c r="X478" t="str">
        <x:v>VALUE: [[1d6]] PA 1 PA 90 PC</x:v>
      </x:c>
    </x:row>
    <x:row r="479">
      <x:c r="P479" t="str">
        <x:v>5|Fée|Rare</x:v>
      </x:c>
      <x:c r="Q479" t="n">
        <x:v>900</x:v>
      </x:c>
      <x:c r="R479" t="str">
        <x:v>1d12</x:v>
      </x:c>
      <x:c r="S479" t="str">
        <x:v>PA</x:v>
      </x:c>
      <x:c r="T479" t="n">
        <x:v>0</x:v>
      </x:c>
      <x:c r="U479" t="n">
        <x:v>0</x:v>
      </x:c>
      <x:c r="V479" t="n">
        <x:v>2</x:v>
      </x:c>
      <x:c r="W479" t="n">
        <x:v>50</x:v>
      </x:c>
      <x:c r="X479" t="str">
        <x:v>VALUE: [[1d12]] PA 2 PA 50 PC</x:v>
      </x:c>
    </x:row>
    <x:row r="480">
      <x:c r="P480" t="str">
        <x:v>5|Fée|Précieuse</x:v>
      </x:c>
      <x:c r="Q480" t="n">
        <x:v>1440</x:v>
      </x:c>
      <x:c r="R480" t="str">
        <x:v>4d4</x:v>
      </x:c>
      <x:c r="S480" t="str">
        <x:v>PA</x:v>
      </x:c>
      <x:c r="T480" t="n">
        <x:v>0</x:v>
      </x:c>
      <x:c r="U480" t="n">
        <x:v>0</x:v>
      </x:c>
      <x:c r="V480" t="n">
        <x:v>4</x:v>
      </x:c>
      <x:c r="W480" t="n">
        <x:v>40</x:v>
      </x:c>
      <x:c r="X480" t="str">
        <x:v>VALUE: [[4d4]] PA 4 PA 40 PC</x:v>
      </x:c>
    </x:row>
    <x:row r="481">
      <x:c r="P481" t="str">
        <x:v>5|Fée|Exceptionnelle</x:v>
      </x:c>
      <x:c r="Q481" t="n">
        <x:v>2520</x:v>
      </x:c>
      <x:c r="R481" t="str">
        <x:v>5d6</x:v>
      </x:c>
      <x:c r="S481" t="str">
        <x:v>PA</x:v>
      </x:c>
      <x:c r="T481" t="n">
        <x:v>0</x:v>
      </x:c>
      <x:c r="U481" t="n">
        <x:v>0</x:v>
      </x:c>
      <x:c r="V481" t="n">
        <x:v>7</x:v>
      </x:c>
      <x:c r="W481" t="n">
        <x:v>70</x:v>
      </x:c>
      <x:c r="X481" t="str">
        <x:v>VALUE: [[5d6]] PA 7 PA 70 PC</x:v>
      </x:c>
    </x:row>
    <x:row r="482">
      <x:c r="P482" t="str">
        <x:v>5|Démon|Commune</x:v>
      </x:c>
      <x:c r="Q482" t="n">
        <x:v>400</x:v>
      </x:c>
      <x:c r="R482" t="str">
        <x:v>1d4</x:v>
      </x:c>
      <x:c r="S482" t="str">
        <x:v>PA</x:v>
      </x:c>
      <x:c r="T482" t="n">
        <x:v>0</x:v>
      </x:c>
      <x:c r="U482" t="n">
        <x:v>0</x:v>
      </x:c>
      <x:c r="V482" t="n">
        <x:v>1</x:v>
      </x:c>
      <x:c r="W482" t="n">
        <x:v>50</x:v>
      </x:c>
      <x:c r="X482" t="str">
        <x:v>VALUE: [[1d4]] PA 1 PA 50 PC</x:v>
      </x:c>
    </x:row>
    <x:row r="483">
      <x:c r="P483" t="str">
        <x:v>5|Démon|Peu commune</x:v>
      </x:c>
      <x:c r="Q483" t="n">
        <x:v>600</x:v>
      </x:c>
      <x:c r="R483" t="str">
        <x:v>1d8</x:v>
      </x:c>
      <x:c r="S483" t="str">
        <x:v>PA</x:v>
      </x:c>
      <x:c r="T483" t="n">
        <x:v>0</x:v>
      </x:c>
      <x:c r="U483" t="n">
        <x:v>0</x:v>
      </x:c>
      <x:c r="V483" t="n">
        <x:v>1</x:v>
      </x:c>
      <x:c r="W483" t="n">
        <x:v>50</x:v>
      </x:c>
      <x:c r="X483" t="str">
        <x:v>VALUE: [[1d8]] PA 1 PA 50 PC</x:v>
      </x:c>
    </x:row>
    <x:row r="484">
      <x:c r="P484" t="str">
        <x:v>5|Démon|Rare</x:v>
      </x:c>
      <x:c r="Q484" t="n">
        <x:v>1000</x:v>
      </x:c>
      <x:c r="R484" t="str">
        <x:v>2d6</x:v>
      </x:c>
      <x:c r="S484" t="str">
        <x:v>PA</x:v>
      </x:c>
      <x:c r="T484" t="n">
        <x:v>0</x:v>
      </x:c>
      <x:c r="U484" t="n">
        <x:v>0</x:v>
      </x:c>
      <x:c r="V484" t="n">
        <x:v>3</x:v>
      </x:c>
      <x:c r="W484" t="n">
        <x:v>0</x:v>
      </x:c>
      <x:c r="X484" t="str">
        <x:v>VALUE: [[2d6]] PA 3 PA</x:v>
      </x:c>
    </x:row>
    <x:row r="485">
      <x:c r="P485" t="str">
        <x:v>5|Démon|Précieuse</x:v>
      </x:c>
      <x:c r="Q485" t="n">
        <x:v>1600</x:v>
      </x:c>
      <x:c r="R485" t="str">
        <x:v>2d10</x:v>
      </x:c>
      <x:c r="S485" t="str">
        <x:v>PA</x:v>
      </x:c>
      <x:c r="T485" t="n">
        <x:v>0</x:v>
      </x:c>
      <x:c r="U485" t="n">
        <x:v>0</x:v>
      </x:c>
      <x:c r="V485" t="n">
        <x:v>5</x:v>
      </x:c>
      <x:c r="W485" t="n">
        <x:v>0</x:v>
      </x:c>
      <x:c r="X485" t="str">
        <x:v>VALUE: [[2d10]] PA 5 PA</x:v>
      </x:c>
    </x:row>
    <x:row r="486">
      <x:c r="P486" t="str">
        <x:v>5|Démon|Exceptionnelle</x:v>
      </x:c>
      <x:c r="Q486" t="n">
        <x:v>2800</x:v>
      </x:c>
      <x:c r="R486" t="str">
        <x:v>3d12</x:v>
      </x:c>
      <x:c r="S486" t="str">
        <x:v>PA</x:v>
      </x:c>
      <x:c r="T486" t="n">
        <x:v>0</x:v>
      </x:c>
      <x:c r="U486" t="n">
        <x:v>0</x:v>
      </x:c>
      <x:c r="V486" t="n">
        <x:v>8</x:v>
      </x:c>
      <x:c r="W486" t="n">
        <x:v>50</x:v>
      </x:c>
      <x:c r="X486" t="str">
        <x:v>VALUE: [[3d12]] PA 8 PA 50 PC</x:v>
      </x:c>
    </x:row>
    <x:row r="487">
      <x:c r="P487" t="str">
        <x:v>5|Artificiel|Commune</x:v>
      </x:c>
      <x:c r="Q487" t="n">
        <x:v>400</x:v>
      </x:c>
      <x:c r="R487" t="str">
        <x:v>1d4</x:v>
      </x:c>
      <x:c r="S487" t="str">
        <x:v>PA</x:v>
      </x:c>
      <x:c r="T487" t="n">
        <x:v>0</x:v>
      </x:c>
      <x:c r="U487" t="n">
        <x:v>0</x:v>
      </x:c>
      <x:c r="V487" t="n">
        <x:v>1</x:v>
      </x:c>
      <x:c r="W487" t="n">
        <x:v>50</x:v>
      </x:c>
      <x:c r="X487" t="str">
        <x:v>VALUE: [[1d4]] PA 1 PA 50 PC</x:v>
      </x:c>
    </x:row>
    <x:row r="488">
      <x:c r="P488" t="str">
        <x:v>5|Artificiel|Peu commune</x:v>
      </x:c>
      <x:c r="Q488" t="n">
        <x:v>600</x:v>
      </x:c>
      <x:c r="R488" t="str">
        <x:v>1d8</x:v>
      </x:c>
      <x:c r="S488" t="str">
        <x:v>PA</x:v>
      </x:c>
      <x:c r="T488" t="n">
        <x:v>0</x:v>
      </x:c>
      <x:c r="U488" t="n">
        <x:v>0</x:v>
      </x:c>
      <x:c r="V488" t="n">
        <x:v>1</x:v>
      </x:c>
      <x:c r="W488" t="n">
        <x:v>50</x:v>
      </x:c>
      <x:c r="X488" t="str">
        <x:v>VALUE: [[1d8]] PA 1 PA 50 PC</x:v>
      </x:c>
    </x:row>
    <x:row r="489">
      <x:c r="P489" t="str">
        <x:v>5|Artificiel|Rare</x:v>
      </x:c>
      <x:c r="Q489" t="n">
        <x:v>1000</x:v>
      </x:c>
      <x:c r="R489" t="str">
        <x:v>2d6</x:v>
      </x:c>
      <x:c r="S489" t="str">
        <x:v>PA</x:v>
      </x:c>
      <x:c r="T489" t="n">
        <x:v>0</x:v>
      </x:c>
      <x:c r="U489" t="n">
        <x:v>0</x:v>
      </x:c>
      <x:c r="V489" t="n">
        <x:v>3</x:v>
      </x:c>
      <x:c r="W489" t="n">
        <x:v>0</x:v>
      </x:c>
      <x:c r="X489" t="str">
        <x:v>VALUE: [[2d6]] PA 3 PA</x:v>
      </x:c>
    </x:row>
    <x:row r="490">
      <x:c r="P490" t="str">
        <x:v>5|Artificiel|Précieuse</x:v>
      </x:c>
      <x:c r="Q490" t="n">
        <x:v>1600</x:v>
      </x:c>
      <x:c r="R490" t="str">
        <x:v>2d10</x:v>
      </x:c>
      <x:c r="S490" t="str">
        <x:v>PA</x:v>
      </x:c>
      <x:c r="T490" t="n">
        <x:v>0</x:v>
      </x:c>
      <x:c r="U490" t="n">
        <x:v>0</x:v>
      </x:c>
      <x:c r="V490" t="n">
        <x:v>5</x:v>
      </x:c>
      <x:c r="W490" t="n">
        <x:v>0</x:v>
      </x:c>
      <x:c r="X490" t="str">
        <x:v>VALUE: [[2d10]] PA 5 PA</x:v>
      </x:c>
    </x:row>
    <x:row r="491">
      <x:c r="P491" t="str">
        <x:v>5|Artificiel|Exceptionnelle</x:v>
      </x:c>
      <x:c r="Q491" t="n">
        <x:v>2800</x:v>
      </x:c>
      <x:c r="R491" t="str">
        <x:v>3d12</x:v>
      </x:c>
      <x:c r="S491" t="str">
        <x:v>PA</x:v>
      </x:c>
      <x:c r="T491" t="n">
        <x:v>0</x:v>
      </x:c>
      <x:c r="U491" t="n">
        <x:v>0</x:v>
      </x:c>
      <x:c r="V491" t="n">
        <x:v>8</x:v>
      </x:c>
      <x:c r="W491" t="n">
        <x:v>50</x:v>
      </x:c>
      <x:c r="X491" t="str">
        <x:v>VALUE: [[3d12]] PA 8 PA 50 PC</x:v>
      </x:c>
    </x:row>
    <x:row r="492">
      <x:c r="P492" t="str">
        <x:v>5|Élémentaire|Commune</x:v>
      </x:c>
      <x:c r="Q492" t="n">
        <x:v>500</x:v>
      </x:c>
      <x:c r="R492" t="str">
        <x:v>1d6</x:v>
      </x:c>
      <x:c r="S492" t="str">
        <x:v>PA</x:v>
      </x:c>
      <x:c r="T492" t="n">
        <x:v>0</x:v>
      </x:c>
      <x:c r="U492" t="n">
        <x:v>0</x:v>
      </x:c>
      <x:c r="V492" t="n">
        <x:v>1</x:v>
      </x:c>
      <x:c r="W492" t="n">
        <x:v>50</x:v>
      </x:c>
      <x:c r="X492" t="str">
        <x:v>VALUE: [[1d6]] PA 1 PA 50 PC</x:v>
      </x:c>
    </x:row>
    <x:row r="493">
      <x:c r="P493" t="str">
        <x:v>5|Élémentaire|Peu commune</x:v>
      </x:c>
      <x:c r="Q493" t="n">
        <x:v>750</x:v>
      </x:c>
      <x:c r="R493" t="str">
        <x:v>1d10</x:v>
      </x:c>
      <x:c r="S493" t="str">
        <x:v>PA</x:v>
      </x:c>
      <x:c r="T493" t="n">
        <x:v>0</x:v>
      </x:c>
      <x:c r="U493" t="n">
        <x:v>0</x:v>
      </x:c>
      <x:c r="V493" t="n">
        <x:v>2</x:v>
      </x:c>
      <x:c r="W493" t="n">
        <x:v>0</x:v>
      </x:c>
      <x:c r="X493" t="str">
        <x:v>VALUE: [[1d10]] PA 2 PA</x:v>
      </x:c>
    </x:row>
    <x:row r="494">
      <x:c r="P494" t="str">
        <x:v>5|Élémentaire|Rare</x:v>
      </x:c>
      <x:c r="Q494" t="n">
        <x:v>1250</x:v>
      </x:c>
      <x:c r="R494" t="str">
        <x:v>2d8</x:v>
      </x:c>
      <x:c r="S494" t="str">
        <x:v>PA</x:v>
      </x:c>
      <x:c r="T494" t="n">
        <x:v>0</x:v>
      </x:c>
      <x:c r="U494" t="n">
        <x:v>0</x:v>
      </x:c>
      <x:c r="V494" t="n">
        <x:v>3</x:v>
      </x:c>
      <x:c r="W494" t="n">
        <x:v>50</x:v>
      </x:c>
      <x:c r="X494" t="str">
        <x:v>VALUE: [[2d8]] PA 3 PA 50 PC</x:v>
      </x:c>
    </x:row>
    <x:row r="495">
      <x:c r="P495" t="str">
        <x:v>5|Élémentaire|Précieuse</x:v>
      </x:c>
      <x:c r="Q495" t="n">
        <x:v>2000</x:v>
      </x:c>
      <x:c r="R495" t="str">
        <x:v>4d6</x:v>
      </x:c>
      <x:c r="S495" t="str">
        <x:v>PA</x:v>
      </x:c>
      <x:c r="T495" t="n">
        <x:v>0</x:v>
      </x:c>
      <x:c r="U495" t="n">
        <x:v>0</x:v>
      </x:c>
      <x:c r="V495" t="n">
        <x:v>6</x:v>
      </x:c>
      <x:c r="W495" t="n">
        <x:v>0</x:v>
      </x:c>
      <x:c r="X495" t="str">
        <x:v>VALUE: [[4d6]] PA 6 PA</x:v>
      </x:c>
    </x:row>
    <x:row r="496">
      <x:c r="P496" t="str">
        <x:v>5|Élémentaire|Exceptionnelle</x:v>
      </x:c>
      <x:c r="Q496" t="n">
        <x:v>3500</x:v>
      </x:c>
      <x:c r="R496" t="str">
        <x:v>7d6</x:v>
      </x:c>
      <x:c r="S496" t="str">
        <x:v>PA</x:v>
      </x:c>
      <x:c r="T496" t="n">
        <x:v>0</x:v>
      </x:c>
      <x:c r="U496" t="n">
        <x:v>0</x:v>
      </x:c>
      <x:c r="V496" t="n">
        <x:v>10</x:v>
      </x:c>
      <x:c r="W496" t="n">
        <x:v>50</x:v>
      </x:c>
      <x:c r="X496" t="str">
        <x:v>VALUE: [[7d6]] PA 10 PA 50 PC</x:v>
      </x:c>
    </x:row>
    <x:row r="497">
      <x:c r="P497" t="str">
        <x:v>5|Esprit|Commune</x:v>
      </x:c>
      <x:c r="Q497" t="n">
        <x:v>500</x:v>
      </x:c>
      <x:c r="R497" t="str">
        <x:v>1d6</x:v>
      </x:c>
      <x:c r="S497" t="str">
        <x:v>PA</x:v>
      </x:c>
      <x:c r="T497" t="n">
        <x:v>0</x:v>
      </x:c>
      <x:c r="U497" t="n">
        <x:v>0</x:v>
      </x:c>
      <x:c r="V497" t="n">
        <x:v>1</x:v>
      </x:c>
      <x:c r="W497" t="n">
        <x:v>50</x:v>
      </x:c>
      <x:c r="X497" t="str">
        <x:v>VALUE: [[1d6]] PA 1 PA 50 PC</x:v>
      </x:c>
    </x:row>
    <x:row r="498">
      <x:c r="P498" t="str">
        <x:v>5|Esprit|Peu commune</x:v>
      </x:c>
      <x:c r="Q498" t="n">
        <x:v>750</x:v>
      </x:c>
      <x:c r="R498" t="str">
        <x:v>1d10</x:v>
      </x:c>
      <x:c r="S498" t="str">
        <x:v>PA</x:v>
      </x:c>
      <x:c r="T498" t="n">
        <x:v>0</x:v>
      </x:c>
      <x:c r="U498" t="n">
        <x:v>0</x:v>
      </x:c>
      <x:c r="V498" t="n">
        <x:v>2</x:v>
      </x:c>
      <x:c r="W498" t="n">
        <x:v>0</x:v>
      </x:c>
      <x:c r="X498" t="str">
        <x:v>VALUE: [[1d10]] PA 2 PA</x:v>
      </x:c>
    </x:row>
    <x:row r="499">
      <x:c r="P499" t="str">
        <x:v>5|Esprit|Rare</x:v>
      </x:c>
      <x:c r="Q499" t="n">
        <x:v>1250</x:v>
      </x:c>
      <x:c r="R499" t="str">
        <x:v>2d8</x:v>
      </x:c>
      <x:c r="S499" t="str">
        <x:v>PA</x:v>
      </x:c>
      <x:c r="T499" t="n">
        <x:v>0</x:v>
      </x:c>
      <x:c r="U499" t="n">
        <x:v>0</x:v>
      </x:c>
      <x:c r="V499" t="n">
        <x:v>3</x:v>
      </x:c>
      <x:c r="W499" t="n">
        <x:v>50</x:v>
      </x:c>
      <x:c r="X499" t="str">
        <x:v>VALUE: [[2d8]] PA 3 PA 50 PC</x:v>
      </x:c>
    </x:row>
    <x:row r="500">
      <x:c r="P500" t="str">
        <x:v>5|Esprit|Précieuse</x:v>
      </x:c>
      <x:c r="Q500" t="n">
        <x:v>2000</x:v>
      </x:c>
      <x:c r="R500" t="str">
        <x:v>4d6</x:v>
      </x:c>
      <x:c r="S500" t="str">
        <x:v>PA</x:v>
      </x:c>
      <x:c r="T500" t="n">
        <x:v>0</x:v>
      </x:c>
      <x:c r="U500" t="n">
        <x:v>0</x:v>
      </x:c>
      <x:c r="V500" t="n">
        <x:v>6</x:v>
      </x:c>
      <x:c r="W500" t="n">
        <x:v>0</x:v>
      </x:c>
      <x:c r="X500" t="str">
        <x:v>VALUE: [[4d6]] PA 6 PA</x:v>
      </x:c>
    </x:row>
    <x:row r="501">
      <x:c r="P501" t="str">
        <x:v>5|Esprit|Exceptionnelle</x:v>
      </x:c>
      <x:c r="Q501" t="n">
        <x:v>3500</x:v>
      </x:c>
      <x:c r="R501" t="str">
        <x:v>7d6</x:v>
      </x:c>
      <x:c r="S501" t="str">
        <x:v>PA</x:v>
      </x:c>
      <x:c r="T501" t="n">
        <x:v>0</x:v>
      </x:c>
      <x:c r="U501" t="n">
        <x:v>0</x:v>
      </x:c>
      <x:c r="V501" t="n">
        <x:v>10</x:v>
      </x:c>
      <x:c r="W501" t="n">
        <x:v>50</x:v>
      </x:c>
      <x:c r="X501" t="str">
        <x:v>VALUE: [[7d6]] PA 10 PA 50 PC</x:v>
      </x:c>
    </x:row>
    <x:row r="502">
      <x:c r="P502" t="str">
        <x:v>5|Céleste|Commune</x:v>
      </x:c>
      <x:c r="Q502" t="n">
        <x:v>600</x:v>
      </x:c>
      <x:c r="R502" t="str">
        <x:v>1d8</x:v>
      </x:c>
      <x:c r="S502" t="str">
        <x:v>PA</x:v>
      </x:c>
      <x:c r="T502" t="n">
        <x:v>0</x:v>
      </x:c>
      <x:c r="U502" t="n">
        <x:v>0</x:v>
      </x:c>
      <x:c r="V502" t="n">
        <x:v>1</x:v>
      </x:c>
      <x:c r="W502" t="n">
        <x:v>50</x:v>
      </x:c>
      <x:c r="X502" t="str">
        <x:v>VALUE: [[1d8]] PA 1 PA 50 PC</x:v>
      </x:c>
    </x:row>
    <x:row r="503">
      <x:c r="P503" t="str">
        <x:v>5|Céleste|Peu commune</x:v>
      </x:c>
      <x:c r="Q503" t="n">
        <x:v>900</x:v>
      </x:c>
      <x:c r="R503" t="str">
        <x:v>1d12</x:v>
      </x:c>
      <x:c r="S503" t="str">
        <x:v>PA</x:v>
      </x:c>
      <x:c r="T503" t="n">
        <x:v>0</x:v>
      </x:c>
      <x:c r="U503" t="n">
        <x:v>0</x:v>
      </x:c>
      <x:c r="V503" t="n">
        <x:v>2</x:v>
      </x:c>
      <x:c r="W503" t="n">
        <x:v>50</x:v>
      </x:c>
      <x:c r="X503" t="str">
        <x:v>VALUE: [[1d12]] PA 2 PA 50 PC</x:v>
      </x:c>
    </x:row>
    <x:row r="504">
      <x:c r="P504" t="str">
        <x:v>5|Céleste|Rare</x:v>
      </x:c>
      <x:c r="Q504" t="n">
        <x:v>1500</x:v>
      </x:c>
      <x:c r="R504" t="str">
        <x:v>1d20</x:v>
      </x:c>
      <x:c r="S504" t="str">
        <x:v>PA</x:v>
      </x:c>
      <x:c r="T504" t="n">
        <x:v>0</x:v>
      </x:c>
      <x:c r="U504" t="n">
        <x:v>0</x:v>
      </x:c>
      <x:c r="V504" t="n">
        <x:v>4</x:v>
      </x:c>
      <x:c r="W504" t="n">
        <x:v>50</x:v>
      </x:c>
      <x:c r="X504" t="str">
        <x:v>VALUE: [[1d20]] PA 4 PA 50 PC</x:v>
      </x:c>
    </x:row>
    <x:row r="505">
      <x:c r="P505" t="str">
        <x:v>5|Céleste|Précieuse</x:v>
      </x:c>
      <x:c r="Q505" t="n">
        <x:v>2400</x:v>
      </x:c>
      <x:c r="R505" t="str">
        <x:v>3d10</x:v>
      </x:c>
      <x:c r="S505" t="str">
        <x:v>PA</x:v>
      </x:c>
      <x:c r="T505" t="n">
        <x:v>0</x:v>
      </x:c>
      <x:c r="U505" t="n">
        <x:v>0</x:v>
      </x:c>
      <x:c r="V505" t="n">
        <x:v>7</x:v>
      </x:c>
      <x:c r="W505" t="n">
        <x:v>50</x:v>
      </x:c>
      <x:c r="X505" t="str">
        <x:v>VALUE: [[3d10]] PA 7 PA 50 PC</x:v>
      </x:c>
    </x:row>
    <x:row r="506">
      <x:c r="P506" t="str">
        <x:v>5|Céleste|Exceptionnelle</x:v>
      </x:c>
      <x:c r="Q506" t="n">
        <x:v>4200</x:v>
      </x:c>
      <x:c r="R506" t="str">
        <x:v>8d6</x:v>
      </x:c>
      <x:c r="S506" t="str">
        <x:v>PA</x:v>
      </x:c>
      <x:c r="T506" t="n">
        <x:v>0</x:v>
      </x:c>
      <x:c r="U506" t="n">
        <x:v>0</x:v>
      </x:c>
      <x:c r="V506" t="n">
        <x:v>14</x:v>
      </x:c>
      <x:c r="W506" t="n">
        <x:v>0</x:v>
      </x:c>
      <x:c r="X506" t="str">
        <x:v>VALUE: [[8d6]] PA 14 PA</x:v>
      </x:c>
    </x:row>
    <x:row r="507">
      <x:c r="P507" t="str">
        <x:v>5|Dragon|Commune</x:v>
      </x:c>
      <x:c r="Q507" t="n">
        <x:v>1000</x:v>
      </x:c>
      <x:c r="R507" t="str">
        <x:v>2d6</x:v>
      </x:c>
      <x:c r="S507" t="str">
        <x:v>PA</x:v>
      </x:c>
      <x:c r="T507" t="n">
        <x:v>0</x:v>
      </x:c>
      <x:c r="U507" t="n">
        <x:v>0</x:v>
      </x:c>
      <x:c r="V507" t="n">
        <x:v>3</x:v>
      </x:c>
      <x:c r="W507" t="n">
        <x:v>0</x:v>
      </x:c>
      <x:c r="X507" t="str">
        <x:v>VALUE: [[2d6]] PA 3 PA</x:v>
      </x:c>
    </x:row>
    <x:row r="508">
      <x:c r="P508" t="str">
        <x:v>5|Dragon|Peu commune</x:v>
      </x:c>
      <x:c r="Q508" t="n">
        <x:v>1500</x:v>
      </x:c>
      <x:c r="R508" t="str">
        <x:v>1d20</x:v>
      </x:c>
      <x:c r="S508" t="str">
        <x:v>PA</x:v>
      </x:c>
      <x:c r="T508" t="n">
        <x:v>0</x:v>
      </x:c>
      <x:c r="U508" t="n">
        <x:v>0</x:v>
      </x:c>
      <x:c r="V508" t="n">
        <x:v>4</x:v>
      </x:c>
      <x:c r="W508" t="n">
        <x:v>50</x:v>
      </x:c>
      <x:c r="X508" t="str">
        <x:v>VALUE: [[1d20]] PA 4 PA 50 PC</x:v>
      </x:c>
    </x:row>
    <x:row r="509">
      <x:c r="P509" t="str">
        <x:v>5|Dragon|Rare</x:v>
      </x:c>
      <x:c r="Q509" t="n">
        <x:v>2500</x:v>
      </x:c>
      <x:c r="R509" t="str">
        <x:v>5d6</x:v>
      </x:c>
      <x:c r="S509" t="str">
        <x:v>PA</x:v>
      </x:c>
      <x:c r="T509" t="n">
        <x:v>0</x:v>
      </x:c>
      <x:c r="U509" t="n">
        <x:v>0</x:v>
      </x:c>
      <x:c r="V509" t="n">
        <x:v>7</x:v>
      </x:c>
      <x:c r="W509" t="n">
        <x:v>50</x:v>
      </x:c>
      <x:c r="X509" t="str">
        <x:v>VALUE: [[5d6]] PA 7 PA 50 PC</x:v>
      </x:c>
    </x:row>
    <x:row r="510">
      <x:c r="P510" t="str">
        <x:v>5|Dragon|Précieuse</x:v>
      </x:c>
      <x:c r="Q510" t="n">
        <x:v>4000</x:v>
      </x:c>
      <x:c r="R510" t="str">
        <x:v>8d6</x:v>
      </x:c>
      <x:c r="S510" t="str">
        <x:v>PA</x:v>
      </x:c>
      <x:c r="T510" t="n">
        <x:v>0</x:v>
      </x:c>
      <x:c r="U510" t="n">
        <x:v>0</x:v>
      </x:c>
      <x:c r="V510" t="n">
        <x:v>12</x:v>
      </x:c>
      <x:c r="W510" t="n">
        <x:v>0</x:v>
      </x:c>
      <x:c r="X510" t="str">
        <x:v>VALUE: [[8d6]] PA 12 PA</x:v>
      </x:c>
    </x:row>
    <x:row r="511">
      <x:c r="P511" t="str">
        <x:v>5|Dragon|Exceptionnelle</x:v>
      </x:c>
      <x:c r="Q511" t="n">
        <x:v>7000</x:v>
      </x:c>
      <x:c r="R511" t="str">
        <x:v>9d10</x:v>
      </x:c>
      <x:c r="S511" t="str">
        <x:v>PA</x:v>
      </x:c>
      <x:c r="T511" t="n">
        <x:v>0</x:v>
      </x:c>
      <x:c r="U511" t="n">
        <x:v>0</x:v>
      </x:c>
      <x:c r="V511" t="n">
        <x:v>20</x:v>
      </x:c>
      <x:c r="W511" t="n">
        <x:v>50</x:v>
      </x:c>
      <x:c r="X511" t="str">
        <x:v>VALUE: [[9d10]] PA 20 PA 50 PC</x:v>
      </x:c>
    </x:row>
    <x:row r="512">
      <x:c r="P512" t="str">
        <x:v>6|Vermine|Commune</x:v>
      </x:c>
      <x:c r="Q512" t="n">
        <x:v>122</x:v>
      </x:c>
      <x:c r="R512" t="str">
        <x:v>8d20</x:v>
      </x:c>
      <x:c r="S512" t="str">
        <x:v>PC</x:v>
      </x:c>
      <x:c r="T512" t="n">
        <x:v>0</x:v>
      </x:c>
      <x:c r="U512" t="n">
        <x:v>0</x:v>
      </x:c>
      <x:c r="V512" t="n">
        <x:v>0</x:v>
      </x:c>
      <x:c r="W512" t="n">
        <x:v>38</x:v>
      </x:c>
      <x:c r="X512" t="str">
        <x:v>VALUE: [[8d20]] PC 38 PC</x:v>
      </x:c>
    </x:row>
    <x:row r="513">
      <x:c r="P513" t="str">
        <x:v>6|Vermine|Peu commune</x:v>
      </x:c>
      <x:c r="Q513" t="n">
        <x:v>184</x:v>
      </x:c>
      <x:c r="R513" t="str">
        <x:v>10d20</x:v>
      </x:c>
      <x:c r="S513" t="str">
        <x:v>PC</x:v>
      </x:c>
      <x:c r="T513" t="n">
        <x:v>0</x:v>
      </x:c>
      <x:c r="U513" t="n">
        <x:v>0</x:v>
      </x:c>
      <x:c r="V513" t="n">
        <x:v>0</x:v>
      </x:c>
      <x:c r="W513" t="n">
        <x:v>79</x:v>
      </x:c>
      <x:c r="X513" t="str">
        <x:v>VALUE: [[10d20]] PC 79 PC</x:v>
      </x:c>
    </x:row>
    <x:row r="514">
      <x:c r="P514" t="str">
        <x:v>6|Vermine|Rare</x:v>
      </x:c>
      <x:c r="Q514" t="n">
        <x:v>306</x:v>
      </x:c>
      <x:c r="R514" t="str">
        <x:v>1d4</x:v>
      </x:c>
      <x:c r="S514" t="str">
        <x:v>PA</x:v>
      </x:c>
      <x:c r="T514" t="n">
        <x:v>0</x:v>
      </x:c>
      <x:c r="U514" t="n">
        <x:v>0</x:v>
      </x:c>
      <x:c r="V514" t="n">
        <x:v>0</x:v>
      </x:c>
      <x:c r="W514" t="n">
        <x:v>56</x:v>
      </x:c>
      <x:c r="X514" t="str">
        <x:v>VALUE: [[1d4]] PA 56 PC</x:v>
      </x:c>
    </x:row>
    <x:row r="515">
      <x:c r="P515" t="str">
        <x:v>6|Vermine|Précieuse</x:v>
      </x:c>
      <x:c r="Q515" t="n">
        <x:v>490</x:v>
      </x:c>
      <x:c r="R515" t="str">
        <x:v>1d6</x:v>
      </x:c>
      <x:c r="S515" t="str">
        <x:v>PA</x:v>
      </x:c>
      <x:c r="T515" t="n">
        <x:v>0</x:v>
      </x:c>
      <x:c r="U515" t="n">
        <x:v>0</x:v>
      </x:c>
      <x:c r="V515" t="n">
        <x:v>1</x:v>
      </x:c>
      <x:c r="W515" t="n">
        <x:v>40</x:v>
      </x:c>
      <x:c r="X515" t="str">
        <x:v>VALUE: [[1d6]] PA 1 PA 40 PC</x:v>
      </x:c>
    </x:row>
    <x:row r="516">
      <x:c r="P516" t="str">
        <x:v>6|Vermine|Exceptionnelle</x:v>
      </x:c>
      <x:c r="Q516" t="n">
        <x:v>857</x:v>
      </x:c>
      <x:c r="R516" t="str">
        <x:v>1d10</x:v>
      </x:c>
      <x:c r="S516" t="str">
        <x:v>PA</x:v>
      </x:c>
      <x:c r="T516" t="n">
        <x:v>0</x:v>
      </x:c>
      <x:c r="U516" t="n">
        <x:v>0</x:v>
      </x:c>
      <x:c r="V516" t="n">
        <x:v>3</x:v>
      </x:c>
      <x:c r="W516" t="n">
        <x:v>7</x:v>
      </x:c>
      <x:c r="X516" t="str">
        <x:v>VALUE: [[1d10]] PA 3 PA 7 PC</x:v>
      </x:c>
    </x:row>
    <x:row r="517">
      <x:c r="P517" t="str">
        <x:v>6|Bête|Commune</x:v>
      </x:c>
      <x:c r="Q517" t="n">
        <x:v>210</x:v>
      </x:c>
      <x:c r="R517" t="str">
        <x:v>10d20</x:v>
      </x:c>
      <x:c r="S517" t="str">
        <x:v>PC</x:v>
      </x:c>
      <x:c r="T517" t="n">
        <x:v>0</x:v>
      </x:c>
      <x:c r="U517" t="n">
        <x:v>0</x:v>
      </x:c>
      <x:c r="V517" t="n">
        <x:v>1</x:v>
      </x:c>
      <x:c r="W517" t="n">
        <x:v>5</x:v>
      </x:c>
      <x:c r="X517" t="str">
        <x:v>VALUE: [[10d20]] PC 1 PA 5 PC</x:v>
      </x:c>
    </x:row>
    <x:row r="518">
      <x:c r="P518" t="str">
        <x:v>6|Bête|Peu commune</x:v>
      </x:c>
      <x:c r="Q518" t="n">
        <x:v>315</x:v>
      </x:c>
      <x:c r="R518" t="str">
        <x:v>1d4</x:v>
      </x:c>
      <x:c r="S518" t="str">
        <x:v>PA</x:v>
      </x:c>
      <x:c r="T518" t="n">
        <x:v>0</x:v>
      </x:c>
      <x:c r="U518" t="n">
        <x:v>0</x:v>
      </x:c>
      <x:c r="V518" t="n">
        <x:v>0</x:v>
      </x:c>
      <x:c r="W518" t="n">
        <x:v>65</x:v>
      </x:c>
      <x:c r="X518" t="str">
        <x:v>VALUE: [[1d4]] PA 65 PC</x:v>
      </x:c>
    </x:row>
    <x:row r="519">
      <x:c r="P519" t="str">
        <x:v>6|Bête|Rare</x:v>
      </x:c>
      <x:c r="Q519" t="n">
        <x:v>525</x:v>
      </x:c>
      <x:c r="R519" t="str">
        <x:v>1d6</x:v>
      </x:c>
      <x:c r="S519" t="str">
        <x:v>PA</x:v>
      </x:c>
      <x:c r="T519" t="n">
        <x:v>0</x:v>
      </x:c>
      <x:c r="U519" t="n">
        <x:v>0</x:v>
      </x:c>
      <x:c r="V519" t="n">
        <x:v>1</x:v>
      </x:c>
      <x:c r="W519" t="n">
        <x:v>75</x:v>
      </x:c>
      <x:c r="X519" t="str">
        <x:v>VALUE: [[1d6]] PA 1 PA 75 PC</x:v>
      </x:c>
    </x:row>
    <x:row r="520">
      <x:c r="P520" t="str">
        <x:v>6|Bête|Précieuse</x:v>
      </x:c>
      <x:c r="Q520" t="n">
        <x:v>840</x:v>
      </x:c>
      <x:c r="R520" t="str">
        <x:v>1d10</x:v>
      </x:c>
      <x:c r="S520" t="str">
        <x:v>PA</x:v>
      </x:c>
      <x:c r="T520" t="n">
        <x:v>0</x:v>
      </x:c>
      <x:c r="U520" t="n">
        <x:v>0</x:v>
      </x:c>
      <x:c r="V520" t="n">
        <x:v>2</x:v>
      </x:c>
      <x:c r="W520" t="n">
        <x:v>90</x:v>
      </x:c>
      <x:c r="X520" t="str">
        <x:v>VALUE: [[1d10]] PA 2 PA 90 PC</x:v>
      </x:c>
    </x:row>
    <x:row r="521">
      <x:c r="P521" t="str">
        <x:v>6|Bête|Exceptionnelle</x:v>
      </x:c>
      <x:c r="Q521" t="n">
        <x:v>1470</x:v>
      </x:c>
      <x:c r="R521" t="str">
        <x:v>1d20</x:v>
      </x:c>
      <x:c r="S521" t="str">
        <x:v>PA</x:v>
      </x:c>
      <x:c r="T521" t="n">
        <x:v>0</x:v>
      </x:c>
      <x:c r="U521" t="n">
        <x:v>0</x:v>
      </x:c>
      <x:c r="V521" t="n">
        <x:v>4</x:v>
      </x:c>
      <x:c r="W521" t="n">
        <x:v>20</x:v>
      </x:c>
      <x:c r="X521" t="str">
        <x:v>VALUE: [[1d20]] PA 4 PA 20 PC</x:v>
      </x:c>
    </x:row>
    <x:row r="522">
      <x:c r="P522" t="str">
        <x:v>6|Aquatique|Commune</x:v>
      </x:c>
      <x:c r="Q522" t="n">
        <x:v>245</x:v>
      </x:c>
      <x:c r="R522" t="str">
        <x:v>10d20</x:v>
      </x:c>
      <x:c r="S522" t="str">
        <x:v>PC</x:v>
      </x:c>
      <x:c r="T522" t="n">
        <x:v>0</x:v>
      </x:c>
      <x:c r="U522" t="n">
        <x:v>0</x:v>
      </x:c>
      <x:c r="V522" t="n">
        <x:v>1</x:v>
      </x:c>
      <x:c r="W522" t="n">
        <x:v>40</x:v>
      </x:c>
      <x:c r="X522" t="str">
        <x:v>VALUE: [[10d20]] PC 1 PA 40 PC</x:v>
      </x:c>
    </x:row>
    <x:row r="523">
      <x:c r="P523" t="str">
        <x:v>6|Aquatique|Peu commune</x:v>
      </x:c>
      <x:c r="Q523" t="n">
        <x:v>367</x:v>
      </x:c>
      <x:c r="R523" t="str">
        <x:v>1d4</x:v>
      </x:c>
      <x:c r="S523" t="str">
        <x:v>PA</x:v>
      </x:c>
      <x:c r="T523" t="n">
        <x:v>0</x:v>
      </x:c>
      <x:c r="U523" t="n">
        <x:v>0</x:v>
      </x:c>
      <x:c r="V523" t="n">
        <x:v>1</x:v>
      </x:c>
      <x:c r="W523" t="n">
        <x:v>17</x:v>
      </x:c>
      <x:c r="X523" t="str">
        <x:v>VALUE: [[1d4]] PA 1 PA 17 PC</x:v>
      </x:c>
    </x:row>
    <x:row r="524">
      <x:c r="P524" t="str">
        <x:v>6|Aquatique|Rare</x:v>
      </x:c>
      <x:c r="Q524" t="n">
        <x:v>612</x:v>
      </x:c>
      <x:c r="R524" t="str">
        <x:v>1d8</x:v>
      </x:c>
      <x:c r="S524" t="str">
        <x:v>PA</x:v>
      </x:c>
      <x:c r="T524" t="n">
        <x:v>0</x:v>
      </x:c>
      <x:c r="U524" t="n">
        <x:v>0</x:v>
      </x:c>
      <x:c r="V524" t="n">
        <x:v>1</x:v>
      </x:c>
      <x:c r="W524" t="n">
        <x:v>62</x:v>
      </x:c>
      <x:c r="X524" t="str">
        <x:v>VALUE: [[1d8]] PA 1 PA 62 PC</x:v>
      </x:c>
    </x:row>
    <x:row r="525">
      <x:c r="P525" t="str">
        <x:v>6|Aquatique|Précieuse</x:v>
      </x:c>
      <x:c r="Q525" t="n">
        <x:v>980</x:v>
      </x:c>
      <x:c r="R525" t="str">
        <x:v>2d6</x:v>
      </x:c>
      <x:c r="S525" t="str">
        <x:v>PA</x:v>
      </x:c>
      <x:c r="T525" t="n">
        <x:v>0</x:v>
      </x:c>
      <x:c r="U525" t="n">
        <x:v>0</x:v>
      </x:c>
      <x:c r="V525" t="n">
        <x:v>2</x:v>
      </x:c>
      <x:c r="W525" t="n">
        <x:v>80</x:v>
      </x:c>
      <x:c r="X525" t="str">
        <x:v>VALUE: [[2d6]] PA 2 PA 80 PC</x:v>
      </x:c>
    </x:row>
    <x:row r="526">
      <x:c r="P526" t="str">
        <x:v>6|Aquatique|Exceptionnelle</x:v>
      </x:c>
      <x:c r="Q526" t="n">
        <x:v>1715</x:v>
      </x:c>
      <x:c r="R526" t="str">
        <x:v>5d4</x:v>
      </x:c>
      <x:c r="S526" t="str">
        <x:v>PA</x:v>
      </x:c>
      <x:c r="T526" t="n">
        <x:v>0</x:v>
      </x:c>
      <x:c r="U526" t="n">
        <x:v>0</x:v>
      </x:c>
      <x:c r="V526" t="n">
        <x:v>4</x:v>
      </x:c>
      <x:c r="W526" t="n">
        <x:v>65</x:v>
      </x:c>
      <x:c r="X526" t="str">
        <x:v>VALUE: [[5d4]] PA 4 PA 65 PC</x:v>
      </x:c>
    </x:row>
    <x:row r="527">
      <x:c r="P527" t="str">
        <x:v>6|Plante|Commune</x:v>
      </x:c>
      <x:c r="Q527" t="n">
        <x:v>280</x:v>
      </x:c>
      <x:c r="R527" t="str">
        <x:v>1d4</x:v>
      </x:c>
      <x:c r="S527" t="str">
        <x:v>PA</x:v>
      </x:c>
      <x:c r="T527" t="n">
        <x:v>0</x:v>
      </x:c>
      <x:c r="U527" t="n">
        <x:v>0</x:v>
      </x:c>
      <x:c r="V527" t="n">
        <x:v>0</x:v>
      </x:c>
      <x:c r="W527" t="n">
        <x:v>30</x:v>
      </x:c>
      <x:c r="X527" t="str">
        <x:v>VALUE: [[1d4]] PA 30 PC</x:v>
      </x:c>
    </x:row>
    <x:row r="528">
      <x:c r="P528" t="str">
        <x:v>6|Plante|Peu commune</x:v>
      </x:c>
      <x:c r="Q528" t="n">
        <x:v>420</x:v>
      </x:c>
      <x:c r="R528" t="str">
        <x:v>1d4</x:v>
      </x:c>
      <x:c r="S528" t="str">
        <x:v>PA</x:v>
      </x:c>
      <x:c r="T528" t="n">
        <x:v>0</x:v>
      </x:c>
      <x:c r="U528" t="n">
        <x:v>0</x:v>
      </x:c>
      <x:c r="V528" t="n">
        <x:v>1</x:v>
      </x:c>
      <x:c r="W528" t="n">
        <x:v>70</x:v>
      </x:c>
      <x:c r="X528" t="str">
        <x:v>VALUE: [[1d4]] PA 1 PA 70 PC</x:v>
      </x:c>
    </x:row>
    <x:row r="529">
      <x:c r="P529" t="str">
        <x:v>6|Plante|Rare</x:v>
      </x:c>
      <x:c r="Q529" t="n">
        <x:v>700</x:v>
      </x:c>
      <x:c r="R529" t="str">
        <x:v>2d4</x:v>
      </x:c>
      <x:c r="S529" t="str">
        <x:v>PA</x:v>
      </x:c>
      <x:c r="T529" t="n">
        <x:v>0</x:v>
      </x:c>
      <x:c r="U529" t="n">
        <x:v>0</x:v>
      </x:c>
      <x:c r="V529" t="n">
        <x:v>2</x:v>
      </x:c>
      <x:c r="W529" t="n">
        <x:v>0</x:v>
      </x:c>
      <x:c r="X529" t="str">
        <x:v>VALUE: [[2d4]] PA 2 PA</x:v>
      </x:c>
    </x:row>
    <x:row r="530">
      <x:c r="P530" t="str">
        <x:v>6|Plante|Précieuse</x:v>
      </x:c>
      <x:c r="Q530" t="n">
        <x:v>1120</x:v>
      </x:c>
      <x:c r="R530" t="str">
        <x:v>3d4</x:v>
      </x:c>
      <x:c r="S530" t="str">
        <x:v>PA</x:v>
      </x:c>
      <x:c r="T530" t="n">
        <x:v>0</x:v>
      </x:c>
      <x:c r="U530" t="n">
        <x:v>0</x:v>
      </x:c>
      <x:c r="V530" t="n">
        <x:v>3</x:v>
      </x:c>
      <x:c r="W530" t="n">
        <x:v>70</x:v>
      </x:c>
      <x:c r="X530" t="str">
        <x:v>VALUE: [[3d4]] PA 3 PA 70 PC</x:v>
      </x:c>
    </x:row>
    <x:row r="531">
      <x:c r="P531" t="str">
        <x:v>6|Plante|Exceptionnelle</x:v>
      </x:c>
      <x:c r="Q531" t="n">
        <x:v>1960</x:v>
      </x:c>
      <x:c r="R531" t="str">
        <x:v>3d8</x:v>
      </x:c>
      <x:c r="S531" t="str">
        <x:v>PA</x:v>
      </x:c>
      <x:c r="T531" t="n">
        <x:v>0</x:v>
      </x:c>
      <x:c r="U531" t="n">
        <x:v>0</x:v>
      </x:c>
      <x:c r="V531" t="n">
        <x:v>6</x:v>
      </x:c>
      <x:c r="W531" t="n">
        <x:v>10</x:v>
      </x:c>
      <x:c r="X531" t="str">
        <x:v>VALUE: [[3d8]] PA 6 PA 10 PC</x:v>
      </x:c>
    </x:row>
    <x:row r="532">
      <x:c r="P532" t="str">
        <x:v>6|Humanoïde|Commune</x:v>
      </x:c>
      <x:c r="Q532" t="n">
        <x:v>350</x:v>
      </x:c>
      <x:c r="R532" t="str">
        <x:v>1d4</x:v>
      </x:c>
      <x:c r="S532" t="str">
        <x:v>PA</x:v>
      </x:c>
      <x:c r="T532" t="n">
        <x:v>0</x:v>
      </x:c>
      <x:c r="U532" t="n">
        <x:v>0</x:v>
      </x:c>
      <x:c r="V532" t="n">
        <x:v>1</x:v>
      </x:c>
      <x:c r="W532" t="n">
        <x:v>0</x:v>
      </x:c>
      <x:c r="X532" t="str">
        <x:v>VALUE: [[1d4]] PA 1 PA</x:v>
      </x:c>
    </x:row>
    <x:row r="533">
      <x:c r="P533" t="str">
        <x:v>6|Humanoïde|Peu commune</x:v>
      </x:c>
      <x:c r="Q533" t="n">
        <x:v>525</x:v>
      </x:c>
      <x:c r="R533" t="str">
        <x:v>1d6</x:v>
      </x:c>
      <x:c r="S533" t="str">
        <x:v>PA</x:v>
      </x:c>
      <x:c r="T533" t="n">
        <x:v>0</x:v>
      </x:c>
      <x:c r="U533" t="n">
        <x:v>0</x:v>
      </x:c>
      <x:c r="V533" t="n">
        <x:v>1</x:v>
      </x:c>
      <x:c r="W533" t="n">
        <x:v>75</x:v>
      </x:c>
      <x:c r="X533" t="str">
        <x:v>VALUE: [[1d6]] PA 1 PA 75 PC</x:v>
      </x:c>
    </x:row>
    <x:row r="534">
      <x:c r="P534" t="str">
        <x:v>6|Humanoïde|Rare</x:v>
      </x:c>
      <x:c r="Q534" t="n">
        <x:v>875</x:v>
      </x:c>
      <x:c r="R534" t="str">
        <x:v>1d12</x:v>
      </x:c>
      <x:c r="S534" t="str">
        <x:v>PA</x:v>
      </x:c>
      <x:c r="T534" t="n">
        <x:v>0</x:v>
      </x:c>
      <x:c r="U534" t="n">
        <x:v>0</x:v>
      </x:c>
      <x:c r="V534" t="n">
        <x:v>2</x:v>
      </x:c>
      <x:c r="W534" t="n">
        <x:v>25</x:v>
      </x:c>
      <x:c r="X534" t="str">
        <x:v>VALUE: [[1d12]] PA 2 PA 25 PC</x:v>
      </x:c>
    </x:row>
    <x:row r="535">
      <x:c r="P535" t="str">
        <x:v>6|Humanoïde|Précieuse</x:v>
      </x:c>
      <x:c r="Q535" t="n">
        <x:v>1400</x:v>
      </x:c>
      <x:c r="R535" t="str">
        <x:v>4d4</x:v>
      </x:c>
      <x:c r="S535" t="str">
        <x:v>PA</x:v>
      </x:c>
      <x:c r="T535" t="n">
        <x:v>0</x:v>
      </x:c>
      <x:c r="U535" t="n">
        <x:v>0</x:v>
      </x:c>
      <x:c r="V535" t="n">
        <x:v>4</x:v>
      </x:c>
      <x:c r="W535" t="n">
        <x:v>0</x:v>
      </x:c>
      <x:c r="X535" t="str">
        <x:v>VALUE: [[4d4]] PA 4 PA</x:v>
      </x:c>
    </x:row>
    <x:row r="536">
      <x:c r="P536" t="str">
        <x:v>6|Humanoïde|Exceptionnelle</x:v>
      </x:c>
      <x:c r="Q536" t="n">
        <x:v>2450</x:v>
      </x:c>
      <x:c r="R536" t="str">
        <x:v>5d6</x:v>
      </x:c>
      <x:c r="S536" t="str">
        <x:v>PA</x:v>
      </x:c>
      <x:c r="T536" t="n">
        <x:v>0</x:v>
      </x:c>
      <x:c r="U536" t="n">
        <x:v>0</x:v>
      </x:c>
      <x:c r="V536" t="n">
        <x:v>7</x:v>
      </x:c>
      <x:c r="W536" t="n">
        <x:v>0</x:v>
      </x:c>
      <x:c r="X536" t="str">
        <x:v>VALUE: [[5d6]] PA 7 PA</x:v>
      </x:c>
    </x:row>
    <x:row r="537">
      <x:c r="P537" t="str">
        <x:v>6|Mort-vivant|Commune</x:v>
      </x:c>
      <x:c r="Q537" t="n">
        <x:v>350</x:v>
      </x:c>
      <x:c r="R537" t="str">
        <x:v>1d4</x:v>
      </x:c>
      <x:c r="S537" t="str">
        <x:v>PA</x:v>
      </x:c>
      <x:c r="T537" t="n">
        <x:v>0</x:v>
      </x:c>
      <x:c r="U537" t="n">
        <x:v>0</x:v>
      </x:c>
      <x:c r="V537" t="n">
        <x:v>1</x:v>
      </x:c>
      <x:c r="W537" t="n">
        <x:v>0</x:v>
      </x:c>
      <x:c r="X537" t="str">
        <x:v>VALUE: [[1d4]] PA 1 PA</x:v>
      </x:c>
    </x:row>
    <x:row r="538">
      <x:c r="P538" t="str">
        <x:v>6|Mort-vivant|Peu commune</x:v>
      </x:c>
      <x:c r="Q538" t="n">
        <x:v>525</x:v>
      </x:c>
      <x:c r="R538" t="str">
        <x:v>1d6</x:v>
      </x:c>
      <x:c r="S538" t="str">
        <x:v>PA</x:v>
      </x:c>
      <x:c r="T538" t="n">
        <x:v>0</x:v>
      </x:c>
      <x:c r="U538" t="n">
        <x:v>0</x:v>
      </x:c>
      <x:c r="V538" t="n">
        <x:v>1</x:v>
      </x:c>
      <x:c r="W538" t="n">
        <x:v>75</x:v>
      </x:c>
      <x:c r="X538" t="str">
        <x:v>VALUE: [[1d6]] PA 1 PA 75 PC</x:v>
      </x:c>
    </x:row>
    <x:row r="539">
      <x:c r="P539" t="str">
        <x:v>6|Mort-vivant|Rare</x:v>
      </x:c>
      <x:c r="Q539" t="n">
        <x:v>875</x:v>
      </x:c>
      <x:c r="R539" t="str">
        <x:v>1d12</x:v>
      </x:c>
      <x:c r="S539" t="str">
        <x:v>PA</x:v>
      </x:c>
      <x:c r="T539" t="n">
        <x:v>0</x:v>
      </x:c>
      <x:c r="U539" t="n">
        <x:v>0</x:v>
      </x:c>
      <x:c r="V539" t="n">
        <x:v>2</x:v>
      </x:c>
      <x:c r="W539" t="n">
        <x:v>25</x:v>
      </x:c>
      <x:c r="X539" t="str">
        <x:v>VALUE: [[1d12]] PA 2 PA 25 PC</x:v>
      </x:c>
    </x:row>
    <x:row r="540">
      <x:c r="P540" t="str">
        <x:v>6|Mort-vivant|Précieuse</x:v>
      </x:c>
      <x:c r="Q540" t="n">
        <x:v>1400</x:v>
      </x:c>
      <x:c r="R540" t="str">
        <x:v>4d4</x:v>
      </x:c>
      <x:c r="S540" t="str">
        <x:v>PA</x:v>
      </x:c>
      <x:c r="T540" t="n">
        <x:v>0</x:v>
      </x:c>
      <x:c r="U540" t="n">
        <x:v>0</x:v>
      </x:c>
      <x:c r="V540" t="n">
        <x:v>4</x:v>
      </x:c>
      <x:c r="W540" t="n">
        <x:v>0</x:v>
      </x:c>
      <x:c r="X540" t="str">
        <x:v>VALUE: [[4d4]] PA 4 PA</x:v>
      </x:c>
    </x:row>
    <x:row r="541">
      <x:c r="P541" t="str">
        <x:v>6|Mort-vivant|Exceptionnelle</x:v>
      </x:c>
      <x:c r="Q541" t="n">
        <x:v>2450</x:v>
      </x:c>
      <x:c r="R541" t="str">
        <x:v>5d6</x:v>
      </x:c>
      <x:c r="S541" t="str">
        <x:v>PA</x:v>
      </x:c>
      <x:c r="T541" t="n">
        <x:v>0</x:v>
      </x:c>
      <x:c r="U541" t="n">
        <x:v>0</x:v>
      </x:c>
      <x:c r="V541" t="n">
        <x:v>7</x:v>
      </x:c>
      <x:c r="W541" t="n">
        <x:v>0</x:v>
      </x:c>
      <x:c r="X541" t="str">
        <x:v>VALUE: [[5d6]] PA 7 PA</x:v>
      </x:c>
    </x:row>
    <x:row r="542">
      <x:c r="P542" t="str">
        <x:v>6|Monstre|Commune</x:v>
      </x:c>
      <x:c r="Q542" t="n">
        <x:v>350</x:v>
      </x:c>
      <x:c r="R542" t="str">
        <x:v>1d4</x:v>
      </x:c>
      <x:c r="S542" t="str">
        <x:v>PA</x:v>
      </x:c>
      <x:c r="T542" t="n">
        <x:v>0</x:v>
      </x:c>
      <x:c r="U542" t="n">
        <x:v>0</x:v>
      </x:c>
      <x:c r="V542" t="n">
        <x:v>1</x:v>
      </x:c>
      <x:c r="W542" t="n">
        <x:v>0</x:v>
      </x:c>
      <x:c r="X542" t="str">
        <x:v>VALUE: [[1d4]] PA 1 PA</x:v>
      </x:c>
    </x:row>
    <x:row r="543">
      <x:c r="P543" t="str">
        <x:v>6|Monstre|Peu commune</x:v>
      </x:c>
      <x:c r="Q543" t="n">
        <x:v>525</x:v>
      </x:c>
      <x:c r="R543" t="str">
        <x:v>1d6</x:v>
      </x:c>
      <x:c r="S543" t="str">
        <x:v>PA</x:v>
      </x:c>
      <x:c r="T543" t="n">
        <x:v>0</x:v>
      </x:c>
      <x:c r="U543" t="n">
        <x:v>0</x:v>
      </x:c>
      <x:c r="V543" t="n">
        <x:v>1</x:v>
      </x:c>
      <x:c r="W543" t="n">
        <x:v>75</x:v>
      </x:c>
      <x:c r="X543" t="str">
        <x:v>VALUE: [[1d6]] PA 1 PA 75 PC</x:v>
      </x:c>
    </x:row>
    <x:row r="544">
      <x:c r="P544" t="str">
        <x:v>6|Monstre|Rare</x:v>
      </x:c>
      <x:c r="Q544" t="n">
        <x:v>875</x:v>
      </x:c>
      <x:c r="R544" t="str">
        <x:v>1d12</x:v>
      </x:c>
      <x:c r="S544" t="str">
        <x:v>PA</x:v>
      </x:c>
      <x:c r="T544" t="n">
        <x:v>0</x:v>
      </x:c>
      <x:c r="U544" t="n">
        <x:v>0</x:v>
      </x:c>
      <x:c r="V544" t="n">
        <x:v>2</x:v>
      </x:c>
      <x:c r="W544" t="n">
        <x:v>25</x:v>
      </x:c>
      <x:c r="X544" t="str">
        <x:v>VALUE: [[1d12]] PA 2 PA 25 PC</x:v>
      </x:c>
    </x:row>
    <x:row r="545">
      <x:c r="P545" t="str">
        <x:v>6|Monstre|Précieuse</x:v>
      </x:c>
      <x:c r="Q545" t="n">
        <x:v>1400</x:v>
      </x:c>
      <x:c r="R545" t="str">
        <x:v>4d4</x:v>
      </x:c>
      <x:c r="S545" t="str">
        <x:v>PA</x:v>
      </x:c>
      <x:c r="T545" t="n">
        <x:v>0</x:v>
      </x:c>
      <x:c r="U545" t="n">
        <x:v>0</x:v>
      </x:c>
      <x:c r="V545" t="n">
        <x:v>4</x:v>
      </x:c>
      <x:c r="W545" t="n">
        <x:v>0</x:v>
      </x:c>
      <x:c r="X545" t="str">
        <x:v>VALUE: [[4d4]] PA 4 PA</x:v>
      </x:c>
    </x:row>
    <x:row r="546">
      <x:c r="P546" t="str">
        <x:v>6|Monstre|Exceptionnelle</x:v>
      </x:c>
      <x:c r="Q546" t="n">
        <x:v>2450</x:v>
      </x:c>
      <x:c r="R546" t="str">
        <x:v>5d6</x:v>
      </x:c>
      <x:c r="S546" t="str">
        <x:v>PA</x:v>
      </x:c>
      <x:c r="T546" t="n">
        <x:v>0</x:v>
      </x:c>
      <x:c r="U546" t="n">
        <x:v>0</x:v>
      </x:c>
      <x:c r="V546" t="n">
        <x:v>7</x:v>
      </x:c>
      <x:c r="W546" t="n">
        <x:v>0</x:v>
      </x:c>
      <x:c r="X546" t="str">
        <x:v>VALUE: [[5d6]] PA 7 PA</x:v>
      </x:c>
    </x:row>
    <x:row r="547">
      <x:c r="P547" t="str">
        <x:v>6|Vase|Commune</x:v>
      </x:c>
      <x:c r="Q547" t="n">
        <x:v>350</x:v>
      </x:c>
      <x:c r="R547" t="str">
        <x:v>1d4</x:v>
      </x:c>
      <x:c r="S547" t="str">
        <x:v>PA</x:v>
      </x:c>
      <x:c r="T547" t="n">
        <x:v>0</x:v>
      </x:c>
      <x:c r="U547" t="n">
        <x:v>0</x:v>
      </x:c>
      <x:c r="V547" t="n">
        <x:v>1</x:v>
      </x:c>
      <x:c r="W547" t="n">
        <x:v>0</x:v>
      </x:c>
      <x:c r="X547" t="str">
        <x:v>VALUE: [[1d4]] PA 1 PA</x:v>
      </x:c>
    </x:row>
    <x:row r="548">
      <x:c r="P548" t="str">
        <x:v>6|Vase|Peu commune</x:v>
      </x:c>
      <x:c r="Q548" t="n">
        <x:v>525</x:v>
      </x:c>
      <x:c r="R548" t="str">
        <x:v>1d6</x:v>
      </x:c>
      <x:c r="S548" t="str">
        <x:v>PA</x:v>
      </x:c>
      <x:c r="T548" t="n">
        <x:v>0</x:v>
      </x:c>
      <x:c r="U548" t="n">
        <x:v>0</x:v>
      </x:c>
      <x:c r="V548" t="n">
        <x:v>1</x:v>
      </x:c>
      <x:c r="W548" t="n">
        <x:v>75</x:v>
      </x:c>
      <x:c r="X548" t="str">
        <x:v>VALUE: [[1d6]] PA 1 PA 75 PC</x:v>
      </x:c>
    </x:row>
    <x:row r="549">
      <x:c r="P549" t="str">
        <x:v>6|Vase|Rare</x:v>
      </x:c>
      <x:c r="Q549" t="n">
        <x:v>875</x:v>
      </x:c>
      <x:c r="R549" t="str">
        <x:v>1d12</x:v>
      </x:c>
      <x:c r="S549" t="str">
        <x:v>PA</x:v>
      </x:c>
      <x:c r="T549" t="n">
        <x:v>0</x:v>
      </x:c>
      <x:c r="U549" t="n">
        <x:v>0</x:v>
      </x:c>
      <x:c r="V549" t="n">
        <x:v>2</x:v>
      </x:c>
      <x:c r="W549" t="n">
        <x:v>25</x:v>
      </x:c>
      <x:c r="X549" t="str">
        <x:v>VALUE: [[1d12]] PA 2 PA 25 PC</x:v>
      </x:c>
    </x:row>
    <x:row r="550">
      <x:c r="P550" t="str">
        <x:v>6|Vase|Précieuse</x:v>
      </x:c>
      <x:c r="Q550" t="n">
        <x:v>1400</x:v>
      </x:c>
      <x:c r="R550" t="str">
        <x:v>4d4</x:v>
      </x:c>
      <x:c r="S550" t="str">
        <x:v>PA</x:v>
      </x:c>
      <x:c r="T550" t="n">
        <x:v>0</x:v>
      </x:c>
      <x:c r="U550" t="n">
        <x:v>0</x:v>
      </x:c>
      <x:c r="V550" t="n">
        <x:v>4</x:v>
      </x:c>
      <x:c r="W550" t="n">
        <x:v>0</x:v>
      </x:c>
      <x:c r="X550" t="str">
        <x:v>VALUE: [[4d4]] PA 4 PA</x:v>
      </x:c>
    </x:row>
    <x:row r="551">
      <x:c r="P551" t="str">
        <x:v>6|Vase|Exceptionnelle</x:v>
      </x:c>
      <x:c r="Q551" t="n">
        <x:v>2450</x:v>
      </x:c>
      <x:c r="R551" t="str">
        <x:v>5d6</x:v>
      </x:c>
      <x:c r="S551" t="str">
        <x:v>PA</x:v>
      </x:c>
      <x:c r="T551" t="n">
        <x:v>0</x:v>
      </x:c>
      <x:c r="U551" t="n">
        <x:v>0</x:v>
      </x:c>
      <x:c r="V551" t="n">
        <x:v>7</x:v>
      </x:c>
      <x:c r="W551" t="n">
        <x:v>0</x:v>
      </x:c>
      <x:c r="X551" t="str">
        <x:v>VALUE: [[5d6]] PA 7 PA</x:v>
      </x:c>
    </x:row>
    <x:row r="552">
      <x:c r="P552" t="str">
        <x:v>6|Géant|Commune</x:v>
      </x:c>
      <x:c r="Q552" t="n">
        <x:v>420</x:v>
      </x:c>
      <x:c r="R552" t="str">
        <x:v>1d4</x:v>
      </x:c>
      <x:c r="S552" t="str">
        <x:v>PA</x:v>
      </x:c>
      <x:c r="T552" t="n">
        <x:v>0</x:v>
      </x:c>
      <x:c r="U552" t="n">
        <x:v>0</x:v>
      </x:c>
      <x:c r="V552" t="n">
        <x:v>1</x:v>
      </x:c>
      <x:c r="W552" t="n">
        <x:v>70</x:v>
      </x:c>
      <x:c r="X552" t="str">
        <x:v>VALUE: [[1d4]] PA 1 PA 70 PC</x:v>
      </x:c>
    </x:row>
    <x:row r="553">
      <x:c r="P553" t="str">
        <x:v>6|Géant|Peu commune</x:v>
      </x:c>
      <x:c r="Q553" t="n">
        <x:v>630</x:v>
      </x:c>
      <x:c r="R553" t="str">
        <x:v>1d8</x:v>
      </x:c>
      <x:c r="S553" t="str">
        <x:v>PA</x:v>
      </x:c>
      <x:c r="T553" t="n">
        <x:v>0</x:v>
      </x:c>
      <x:c r="U553" t="n">
        <x:v>0</x:v>
      </x:c>
      <x:c r="V553" t="n">
        <x:v>1</x:v>
      </x:c>
      <x:c r="W553" t="n">
        <x:v>80</x:v>
      </x:c>
      <x:c r="X553" t="str">
        <x:v>VALUE: [[1d8]] PA 1 PA 80 PC</x:v>
      </x:c>
    </x:row>
    <x:row r="554">
      <x:c r="P554" t="str">
        <x:v>6|Géant|Rare</x:v>
      </x:c>
      <x:c r="Q554" t="n">
        <x:v>1050</x:v>
      </x:c>
      <x:c r="R554" t="str">
        <x:v>3d4</x:v>
      </x:c>
      <x:c r="S554" t="str">
        <x:v>PA</x:v>
      </x:c>
      <x:c r="T554" t="n">
        <x:v>0</x:v>
      </x:c>
      <x:c r="U554" t="n">
        <x:v>0</x:v>
      </x:c>
      <x:c r="V554" t="n">
        <x:v>3</x:v>
      </x:c>
      <x:c r="W554" t="n">
        <x:v>0</x:v>
      </x:c>
      <x:c r="X554" t="str">
        <x:v>VALUE: [[3d4]] PA 3 PA</x:v>
      </x:c>
    </x:row>
    <x:row r="555">
      <x:c r="P555" t="str">
        <x:v>6|Géant|Précieuse</x:v>
      </x:c>
      <x:c r="Q555" t="n">
        <x:v>1680</x:v>
      </x:c>
      <x:c r="R555" t="str">
        <x:v>5d4</x:v>
      </x:c>
      <x:c r="S555" t="str">
        <x:v>PA</x:v>
      </x:c>
      <x:c r="T555" t="n">
        <x:v>0</x:v>
      </x:c>
      <x:c r="U555" t="n">
        <x:v>0</x:v>
      </x:c>
      <x:c r="V555" t="n">
        <x:v>4</x:v>
      </x:c>
      <x:c r="W555" t="n">
        <x:v>30</x:v>
      </x:c>
      <x:c r="X555" t="str">
        <x:v>VALUE: [[5d4]] PA 4 PA 30 PC</x:v>
      </x:c>
    </x:row>
    <x:row r="556">
      <x:c r="P556" t="str">
        <x:v>6|Géant|Exceptionnelle</x:v>
      </x:c>
      <x:c r="Q556" t="n">
        <x:v>2940</x:v>
      </x:c>
      <x:c r="R556" t="str">
        <x:v>2d20</x:v>
      </x:c>
      <x:c r="S556" t="str">
        <x:v>PA</x:v>
      </x:c>
      <x:c r="T556" t="n">
        <x:v>0</x:v>
      </x:c>
      <x:c r="U556" t="n">
        <x:v>0</x:v>
      </x:c>
      <x:c r="V556" t="n">
        <x:v>8</x:v>
      </x:c>
      <x:c r="W556" t="n">
        <x:v>40</x:v>
      </x:c>
      <x:c r="X556" t="str">
        <x:v>VALUE: [[2d20]] PA 8 PA 40 PC</x:v>
      </x:c>
    </x:row>
    <x:row r="557">
      <x:c r="P557" t="str">
        <x:v>6|Aberration|Commune</x:v>
      </x:c>
      <x:c r="Q557" t="n">
        <x:v>525</x:v>
      </x:c>
      <x:c r="R557" t="str">
        <x:v>1d6</x:v>
      </x:c>
      <x:c r="S557" t="str">
        <x:v>PA</x:v>
      </x:c>
      <x:c r="T557" t="n">
        <x:v>0</x:v>
      </x:c>
      <x:c r="U557" t="n">
        <x:v>0</x:v>
      </x:c>
      <x:c r="V557" t="n">
        <x:v>1</x:v>
      </x:c>
      <x:c r="W557" t="n">
        <x:v>75</x:v>
      </x:c>
      <x:c r="X557" t="str">
        <x:v>VALUE: [[1d6]] PA 1 PA 75 PC</x:v>
      </x:c>
    </x:row>
    <x:row r="558">
      <x:c r="P558" t="str">
        <x:v>6|Aberration|Peu commune</x:v>
      </x:c>
      <x:c r="Q558" t="n">
        <x:v>788</x:v>
      </x:c>
      <x:c r="R558" t="str">
        <x:v>1d10</x:v>
      </x:c>
      <x:c r="S558" t="str">
        <x:v>PA</x:v>
      </x:c>
      <x:c r="T558" t="n">
        <x:v>0</x:v>
      </x:c>
      <x:c r="U558" t="n">
        <x:v>0</x:v>
      </x:c>
      <x:c r="V558" t="n">
        <x:v>2</x:v>
      </x:c>
      <x:c r="W558" t="n">
        <x:v>38</x:v>
      </x:c>
      <x:c r="X558" t="str">
        <x:v>VALUE: [[1d10]] PA 2 PA 38 PC</x:v>
      </x:c>
    </x:row>
    <x:row r="559">
      <x:c r="P559" t="str">
        <x:v>6|Aberration|Rare</x:v>
      </x:c>
      <x:c r="Q559" t="n">
        <x:v>1312</x:v>
      </x:c>
      <x:c r="R559" t="str">
        <x:v>2d8</x:v>
      </x:c>
      <x:c r="S559" t="str">
        <x:v>PA</x:v>
      </x:c>
      <x:c r="T559" t="n">
        <x:v>0</x:v>
      </x:c>
      <x:c r="U559" t="n">
        <x:v>0</x:v>
      </x:c>
      <x:c r="V559" t="n">
        <x:v>4</x:v>
      </x:c>
      <x:c r="W559" t="n">
        <x:v>12</x:v>
      </x:c>
      <x:c r="X559" t="str">
        <x:v>VALUE: [[2d8]] PA 4 PA 12 PC</x:v>
      </x:c>
    </x:row>
    <x:row r="560">
      <x:c r="P560" t="str">
        <x:v>6|Aberration|Précieuse</x:v>
      </x:c>
      <x:c r="Q560" t="n">
        <x:v>2100</x:v>
      </x:c>
      <x:c r="R560" t="str">
        <x:v>6d4</x:v>
      </x:c>
      <x:c r="S560" t="str">
        <x:v>PA</x:v>
      </x:c>
      <x:c r="T560" t="n">
        <x:v>0</x:v>
      </x:c>
      <x:c r="U560" t="n">
        <x:v>0</x:v>
      </x:c>
      <x:c r="V560" t="n">
        <x:v>6</x:v>
      </x:c>
      <x:c r="W560" t="n">
        <x:v>0</x:v>
      </x:c>
      <x:c r="X560" t="str">
        <x:v>VALUE: [[6d4]] PA 6 PA</x:v>
      </x:c>
    </x:row>
    <x:row r="561">
      <x:c r="P561" t="str">
        <x:v>6|Aberration|Exceptionnelle</x:v>
      </x:c>
      <x:c r="Q561" t="n">
        <x:v>3675</x:v>
      </x:c>
      <x:c r="R561" t="str">
        <x:v>4d12</x:v>
      </x:c>
      <x:c r="S561" t="str">
        <x:v>PA</x:v>
      </x:c>
      <x:c r="T561" t="n">
        <x:v>0</x:v>
      </x:c>
      <x:c r="U561" t="n">
        <x:v>0</x:v>
      </x:c>
      <x:c r="V561" t="n">
        <x:v>10</x:v>
      </x:c>
      <x:c r="W561" t="n">
        <x:v>75</x:v>
      </x:c>
      <x:c r="X561" t="str">
        <x:v>VALUE: [[4d12]] PA 10 PA 75 PC</x:v>
      </x:c>
    </x:row>
    <x:row r="562">
      <x:c r="P562" t="str">
        <x:v>6|Fée|Commune</x:v>
      </x:c>
      <x:c r="Q562" t="n">
        <x:v>630</x:v>
      </x:c>
      <x:c r="R562" t="str">
        <x:v>1d8</x:v>
      </x:c>
      <x:c r="S562" t="str">
        <x:v>PA</x:v>
      </x:c>
      <x:c r="T562" t="n">
        <x:v>0</x:v>
      </x:c>
      <x:c r="U562" t="n">
        <x:v>0</x:v>
      </x:c>
      <x:c r="V562" t="n">
        <x:v>1</x:v>
      </x:c>
      <x:c r="W562" t="n">
        <x:v>80</x:v>
      </x:c>
      <x:c r="X562" t="str">
        <x:v>VALUE: [[1d8]] PA 1 PA 80 PC</x:v>
      </x:c>
    </x:row>
    <x:row r="563">
      <x:c r="P563" t="str">
        <x:v>6|Fée|Peu commune</x:v>
      </x:c>
      <x:c r="Q563" t="n">
        <x:v>945</x:v>
      </x:c>
      <x:c r="R563" t="str">
        <x:v>1d12</x:v>
      </x:c>
      <x:c r="S563" t="str">
        <x:v>PA</x:v>
      </x:c>
      <x:c r="T563" t="n">
        <x:v>0</x:v>
      </x:c>
      <x:c r="U563" t="n">
        <x:v>0</x:v>
      </x:c>
      <x:c r="V563" t="n">
        <x:v>2</x:v>
      </x:c>
      <x:c r="W563" t="n">
        <x:v>95</x:v>
      </x:c>
      <x:c r="X563" t="str">
        <x:v>VALUE: [[1d12]] PA 2 PA 95 PC</x:v>
      </x:c>
    </x:row>
    <x:row r="564">
      <x:c r="P564" t="str">
        <x:v>6|Fée|Rare</x:v>
      </x:c>
      <x:c r="Q564" t="n">
        <x:v>1575</x:v>
      </x:c>
      <x:c r="R564" t="str">
        <x:v>2d10</x:v>
      </x:c>
      <x:c r="S564" t="str">
        <x:v>PA</x:v>
      </x:c>
      <x:c r="T564" t="n">
        <x:v>0</x:v>
      </x:c>
      <x:c r="U564" t="n">
        <x:v>0</x:v>
      </x:c>
      <x:c r="V564" t="n">
        <x:v>4</x:v>
      </x:c>
      <x:c r="W564" t="n">
        <x:v>75</x:v>
      </x:c>
      <x:c r="X564" t="str">
        <x:v>VALUE: [[2d10]] PA 4 PA 75 PC</x:v>
      </x:c>
    </x:row>
    <x:row r="565">
      <x:c r="P565" t="str">
        <x:v>6|Fée|Précieuse</x:v>
      </x:c>
      <x:c r="Q565" t="n">
        <x:v>2520</x:v>
      </x:c>
      <x:c r="R565" t="str">
        <x:v>5d6</x:v>
      </x:c>
      <x:c r="S565" t="str">
        <x:v>PA</x:v>
      </x:c>
      <x:c r="T565" t="n">
        <x:v>0</x:v>
      </x:c>
      <x:c r="U565" t="n">
        <x:v>0</x:v>
      </x:c>
      <x:c r="V565" t="n">
        <x:v>7</x:v>
      </x:c>
      <x:c r="W565" t="n">
        <x:v>70</x:v>
      </x:c>
      <x:c r="X565" t="str">
        <x:v>VALUE: [[5d6]] PA 7 PA 70 PC</x:v>
      </x:c>
    </x:row>
    <x:row r="566">
      <x:c r="P566" t="str">
        <x:v>6|Fée|Exceptionnelle</x:v>
      </x:c>
      <x:c r="Q566" t="n">
        <x:v>4410</x:v>
      </x:c>
      <x:c r="R566" t="str">
        <x:v>3d20</x:v>
      </x:c>
      <x:c r="S566" t="str">
        <x:v>PA</x:v>
      </x:c>
      <x:c r="T566" t="n">
        <x:v>0</x:v>
      </x:c>
      <x:c r="U566" t="n">
        <x:v>0</x:v>
      </x:c>
      <x:c r="V566" t="n">
        <x:v>12</x:v>
      </x:c>
      <x:c r="W566" t="n">
        <x:v>60</x:v>
      </x:c>
      <x:c r="X566" t="str">
        <x:v>VALUE: [[3d20]] PA 12 PA 60 PC</x:v>
      </x:c>
    </x:row>
    <x:row r="567">
      <x:c r="P567" t="str">
        <x:v>6|Démon|Commune</x:v>
      </x:c>
      <x:c r="Q567" t="n">
        <x:v>700</x:v>
      </x:c>
      <x:c r="R567" t="str">
        <x:v>2d4</x:v>
      </x:c>
      <x:c r="S567" t="str">
        <x:v>PA</x:v>
      </x:c>
      <x:c r="T567" t="n">
        <x:v>0</x:v>
      </x:c>
      <x:c r="U567" t="n">
        <x:v>0</x:v>
      </x:c>
      <x:c r="V567" t="n">
        <x:v>2</x:v>
      </x:c>
      <x:c r="W567" t="n">
        <x:v>0</x:v>
      </x:c>
      <x:c r="X567" t="str">
        <x:v>VALUE: [[2d4]] PA 2 PA</x:v>
      </x:c>
    </x:row>
    <x:row r="568">
      <x:c r="P568" t="str">
        <x:v>6|Démon|Peu commune</x:v>
      </x:c>
      <x:c r="Q568" t="n">
        <x:v>1050</x:v>
      </x:c>
      <x:c r="R568" t="str">
        <x:v>3d4</x:v>
      </x:c>
      <x:c r="S568" t="str">
        <x:v>PA</x:v>
      </x:c>
      <x:c r="T568" t="n">
        <x:v>0</x:v>
      </x:c>
      <x:c r="U568" t="n">
        <x:v>0</x:v>
      </x:c>
      <x:c r="V568" t="n">
        <x:v>3</x:v>
      </x:c>
      <x:c r="W568" t="n">
        <x:v>0</x:v>
      </x:c>
      <x:c r="X568" t="str">
        <x:v>VALUE: [[3d4]] PA 3 PA</x:v>
      </x:c>
    </x:row>
    <x:row r="569">
      <x:c r="P569" t="str">
        <x:v>6|Démon|Rare</x:v>
      </x:c>
      <x:c r="Q569" t="n">
        <x:v>1750</x:v>
      </x:c>
      <x:c r="R569" t="str">
        <x:v>5d4</x:v>
      </x:c>
      <x:c r="S569" t="str">
        <x:v>PA</x:v>
      </x:c>
      <x:c r="T569" t="n">
        <x:v>0</x:v>
      </x:c>
      <x:c r="U569" t="n">
        <x:v>0</x:v>
      </x:c>
      <x:c r="V569" t="n">
        <x:v>5</x:v>
      </x:c>
      <x:c r="W569" t="n">
        <x:v>0</x:v>
      </x:c>
      <x:c r="X569" t="str">
        <x:v>VALUE: [[5d4]] PA 5 PA</x:v>
      </x:c>
    </x:row>
    <x:row r="570">
      <x:c r="P570" t="str">
        <x:v>6|Démon|Précieuse</x:v>
      </x:c>
      <x:c r="Q570" t="n">
        <x:v>2800</x:v>
      </x:c>
      <x:c r="R570" t="str">
        <x:v>3d12</x:v>
      </x:c>
      <x:c r="S570" t="str">
        <x:v>PA</x:v>
      </x:c>
      <x:c r="T570" t="n">
        <x:v>0</x:v>
      </x:c>
      <x:c r="U570" t="n">
        <x:v>0</x:v>
      </x:c>
      <x:c r="V570" t="n">
        <x:v>8</x:v>
      </x:c>
      <x:c r="W570" t="n">
        <x:v>50</x:v>
      </x:c>
      <x:c r="X570" t="str">
        <x:v>VALUE: [[3d12]] PA 8 PA 50 PC</x:v>
      </x:c>
    </x:row>
    <x:row r="571">
      <x:c r="P571" t="str">
        <x:v>6|Démon|Exceptionnelle</x:v>
      </x:c>
      <x:c r="Q571" t="n">
        <x:v>4900</x:v>
      </x:c>
      <x:c r="R571" t="str">
        <x:v>10d6</x:v>
      </x:c>
      <x:c r="S571" t="str">
        <x:v>PA</x:v>
      </x:c>
      <x:c r="T571" t="n">
        <x:v>0</x:v>
      </x:c>
      <x:c r="U571" t="n">
        <x:v>0</x:v>
      </x:c>
      <x:c r="V571" t="n">
        <x:v>14</x:v>
      </x:c>
      <x:c r="W571" t="n">
        <x:v>0</x:v>
      </x:c>
      <x:c r="X571" t="str">
        <x:v>VALUE: [[10d6]] PA 14 PA</x:v>
      </x:c>
    </x:row>
    <x:row r="572">
      <x:c r="P572" t="str">
        <x:v>6|Artificiel|Commune</x:v>
      </x:c>
      <x:c r="Q572" t="n">
        <x:v>700</x:v>
      </x:c>
      <x:c r="R572" t="str">
        <x:v>2d4</x:v>
      </x:c>
      <x:c r="S572" t="str">
        <x:v>PA</x:v>
      </x:c>
      <x:c r="T572" t="n">
        <x:v>0</x:v>
      </x:c>
      <x:c r="U572" t="n">
        <x:v>0</x:v>
      </x:c>
      <x:c r="V572" t="n">
        <x:v>2</x:v>
      </x:c>
      <x:c r="W572" t="n">
        <x:v>0</x:v>
      </x:c>
      <x:c r="X572" t="str">
        <x:v>VALUE: [[2d4]] PA 2 PA</x:v>
      </x:c>
    </x:row>
    <x:row r="573">
      <x:c r="P573" t="str">
        <x:v>6|Artificiel|Peu commune</x:v>
      </x:c>
      <x:c r="Q573" t="n">
        <x:v>1050</x:v>
      </x:c>
      <x:c r="R573" t="str">
        <x:v>3d4</x:v>
      </x:c>
      <x:c r="S573" t="str">
        <x:v>PA</x:v>
      </x:c>
      <x:c r="T573" t="n">
        <x:v>0</x:v>
      </x:c>
      <x:c r="U573" t="n">
        <x:v>0</x:v>
      </x:c>
      <x:c r="V573" t="n">
        <x:v>3</x:v>
      </x:c>
      <x:c r="W573" t="n">
        <x:v>0</x:v>
      </x:c>
      <x:c r="X573" t="str">
        <x:v>VALUE: [[3d4]] PA 3 PA</x:v>
      </x:c>
    </x:row>
    <x:row r="574">
      <x:c r="P574" t="str">
        <x:v>6|Artificiel|Rare</x:v>
      </x:c>
      <x:c r="Q574" t="n">
        <x:v>1750</x:v>
      </x:c>
      <x:c r="R574" t="str">
        <x:v>5d4</x:v>
      </x:c>
      <x:c r="S574" t="str">
        <x:v>PA</x:v>
      </x:c>
      <x:c r="T574" t="n">
        <x:v>0</x:v>
      </x:c>
      <x:c r="U574" t="n">
        <x:v>0</x:v>
      </x:c>
      <x:c r="V574" t="n">
        <x:v>5</x:v>
      </x:c>
      <x:c r="W574" t="n">
        <x:v>0</x:v>
      </x:c>
      <x:c r="X574" t="str">
        <x:v>VALUE: [[5d4]] PA 5 PA</x:v>
      </x:c>
    </x:row>
    <x:row r="575">
      <x:c r="P575" t="str">
        <x:v>6|Artificiel|Précieuse</x:v>
      </x:c>
      <x:c r="Q575" t="n">
        <x:v>2800</x:v>
      </x:c>
      <x:c r="R575" t="str">
        <x:v>3d12</x:v>
      </x:c>
      <x:c r="S575" t="str">
        <x:v>PA</x:v>
      </x:c>
      <x:c r="T575" t="n">
        <x:v>0</x:v>
      </x:c>
      <x:c r="U575" t="n">
        <x:v>0</x:v>
      </x:c>
      <x:c r="V575" t="n">
        <x:v>8</x:v>
      </x:c>
      <x:c r="W575" t="n">
        <x:v>50</x:v>
      </x:c>
      <x:c r="X575" t="str">
        <x:v>VALUE: [[3d12]] PA 8 PA 50 PC</x:v>
      </x:c>
    </x:row>
    <x:row r="576">
      <x:c r="P576" t="str">
        <x:v>6|Artificiel|Exceptionnelle</x:v>
      </x:c>
      <x:c r="Q576" t="n">
        <x:v>4900</x:v>
      </x:c>
      <x:c r="R576" t="str">
        <x:v>10d6</x:v>
      </x:c>
      <x:c r="S576" t="str">
        <x:v>PA</x:v>
      </x:c>
      <x:c r="T576" t="n">
        <x:v>0</x:v>
      </x:c>
      <x:c r="U576" t="n">
        <x:v>0</x:v>
      </x:c>
      <x:c r="V576" t="n">
        <x:v>14</x:v>
      </x:c>
      <x:c r="W576" t="n">
        <x:v>0</x:v>
      </x:c>
      <x:c r="X576" t="str">
        <x:v>VALUE: [[10d6]] PA 14 PA</x:v>
      </x:c>
    </x:row>
    <x:row r="577">
      <x:c r="P577" t="str">
        <x:v>6|Élémentaire|Commune</x:v>
      </x:c>
      <x:c r="Q577" t="n">
        <x:v>875</x:v>
      </x:c>
      <x:c r="R577" t="str">
        <x:v>1d12</x:v>
      </x:c>
      <x:c r="S577" t="str">
        <x:v>PA</x:v>
      </x:c>
      <x:c r="T577" t="n">
        <x:v>0</x:v>
      </x:c>
      <x:c r="U577" t="n">
        <x:v>0</x:v>
      </x:c>
      <x:c r="V577" t="n">
        <x:v>2</x:v>
      </x:c>
      <x:c r="W577" t="n">
        <x:v>25</x:v>
      </x:c>
      <x:c r="X577" t="str">
        <x:v>VALUE: [[1d12]] PA 2 PA 25 PC</x:v>
      </x:c>
    </x:row>
    <x:row r="578">
      <x:c r="P578" t="str">
        <x:v>6|Élémentaire|Peu commune</x:v>
      </x:c>
      <x:c r="Q578" t="n">
        <x:v>1312</x:v>
      </x:c>
      <x:c r="R578" t="str">
        <x:v>2d8</x:v>
      </x:c>
      <x:c r="S578" t="str">
        <x:v>PA</x:v>
      </x:c>
      <x:c r="T578" t="n">
        <x:v>0</x:v>
      </x:c>
      <x:c r="U578" t="n">
        <x:v>0</x:v>
      </x:c>
      <x:c r="V578" t="n">
        <x:v>4</x:v>
      </x:c>
      <x:c r="W578" t="n">
        <x:v>12</x:v>
      </x:c>
      <x:c r="X578" t="str">
        <x:v>VALUE: [[2d8]] PA 4 PA 12 PC</x:v>
      </x:c>
    </x:row>
    <x:row r="579">
      <x:c r="P579" t="str">
        <x:v>6|Élémentaire|Rare</x:v>
      </x:c>
      <x:c r="Q579" t="n">
        <x:v>2188</x:v>
      </x:c>
      <x:c r="R579" t="str">
        <x:v>6d4</x:v>
      </x:c>
      <x:c r="S579" t="str">
        <x:v>PA</x:v>
      </x:c>
      <x:c r="T579" t="n">
        <x:v>0</x:v>
      </x:c>
      <x:c r="U579" t="n">
        <x:v>0</x:v>
      </x:c>
      <x:c r="V579" t="n">
        <x:v>6</x:v>
      </x:c>
      <x:c r="W579" t="n">
        <x:v>88</x:v>
      </x:c>
      <x:c r="X579" t="str">
        <x:v>VALUE: [[6d4]] PA 6 PA 88 PC</x:v>
      </x:c>
    </x:row>
    <x:row r="580">
      <x:c r="P580" t="str">
        <x:v>6|Élémentaire|Précieuse</x:v>
      </x:c>
      <x:c r="Q580" t="n">
        <x:v>3500</x:v>
      </x:c>
      <x:c r="R580" t="str">
        <x:v>7d6</x:v>
      </x:c>
      <x:c r="S580" t="str">
        <x:v>PA</x:v>
      </x:c>
      <x:c r="T580" t="n">
        <x:v>0</x:v>
      </x:c>
      <x:c r="U580" t="n">
        <x:v>0</x:v>
      </x:c>
      <x:c r="V580" t="n">
        <x:v>10</x:v>
      </x:c>
      <x:c r="W580" t="n">
        <x:v>50</x:v>
      </x:c>
      <x:c r="X580" t="str">
        <x:v>VALUE: [[7d6]] PA 10 PA 50 PC</x:v>
      </x:c>
    </x:row>
    <x:row r="581">
      <x:c r="P581" t="str">
        <x:v>6|Élémentaire|Exceptionnelle</x:v>
      </x:c>
      <x:c r="Q581" t="n">
        <x:v>6125</x:v>
      </x:c>
      <x:c r="R581" t="str">
        <x:v>4d20</x:v>
      </x:c>
      <x:c r="S581" t="str">
        <x:v>PA</x:v>
      </x:c>
      <x:c r="T581" t="n">
        <x:v>0</x:v>
      </x:c>
      <x:c r="U581" t="n">
        <x:v>0</x:v>
      </x:c>
      <x:c r="V581" t="n">
        <x:v>19</x:v>
      </x:c>
      <x:c r="W581" t="n">
        <x:v>25</x:v>
      </x:c>
      <x:c r="X581" t="str">
        <x:v>VALUE: [[4d20]] PA 19 PA 25 PC</x:v>
      </x:c>
    </x:row>
    <x:row r="582">
      <x:c r="P582" t="str">
        <x:v>6|Esprit|Commune</x:v>
      </x:c>
      <x:c r="Q582" t="n">
        <x:v>875</x:v>
      </x:c>
      <x:c r="R582" t="str">
        <x:v>1d12</x:v>
      </x:c>
      <x:c r="S582" t="str">
        <x:v>PA</x:v>
      </x:c>
      <x:c r="T582" t="n">
        <x:v>0</x:v>
      </x:c>
      <x:c r="U582" t="n">
        <x:v>0</x:v>
      </x:c>
      <x:c r="V582" t="n">
        <x:v>2</x:v>
      </x:c>
      <x:c r="W582" t="n">
        <x:v>25</x:v>
      </x:c>
      <x:c r="X582" t="str">
        <x:v>VALUE: [[1d12]] PA 2 PA 25 PC</x:v>
      </x:c>
    </x:row>
    <x:row r="583">
      <x:c r="P583" t="str">
        <x:v>6|Esprit|Peu commune</x:v>
      </x:c>
      <x:c r="Q583" t="n">
        <x:v>1312</x:v>
      </x:c>
      <x:c r="R583" t="str">
        <x:v>2d8</x:v>
      </x:c>
      <x:c r="S583" t="str">
        <x:v>PA</x:v>
      </x:c>
      <x:c r="T583" t="n">
        <x:v>0</x:v>
      </x:c>
      <x:c r="U583" t="n">
        <x:v>0</x:v>
      </x:c>
      <x:c r="V583" t="n">
        <x:v>4</x:v>
      </x:c>
      <x:c r="W583" t="n">
        <x:v>12</x:v>
      </x:c>
      <x:c r="X583" t="str">
        <x:v>VALUE: [[2d8]] PA 4 PA 12 PC</x:v>
      </x:c>
    </x:row>
    <x:row r="584">
      <x:c r="P584" t="str">
        <x:v>6|Esprit|Rare</x:v>
      </x:c>
      <x:c r="Q584" t="n">
        <x:v>2188</x:v>
      </x:c>
      <x:c r="R584" t="str">
        <x:v>6d4</x:v>
      </x:c>
      <x:c r="S584" t="str">
        <x:v>PA</x:v>
      </x:c>
      <x:c r="T584" t="n">
        <x:v>0</x:v>
      </x:c>
      <x:c r="U584" t="n">
        <x:v>0</x:v>
      </x:c>
      <x:c r="V584" t="n">
        <x:v>6</x:v>
      </x:c>
      <x:c r="W584" t="n">
        <x:v>88</x:v>
      </x:c>
      <x:c r="X584" t="str">
        <x:v>VALUE: [[6d4]] PA 6 PA 88 PC</x:v>
      </x:c>
    </x:row>
    <x:row r="585">
      <x:c r="P585" t="str">
        <x:v>6|Esprit|Précieuse</x:v>
      </x:c>
      <x:c r="Q585" t="n">
        <x:v>3500</x:v>
      </x:c>
      <x:c r="R585" t="str">
        <x:v>7d6</x:v>
      </x:c>
      <x:c r="S585" t="str">
        <x:v>PA</x:v>
      </x:c>
      <x:c r="T585" t="n">
        <x:v>0</x:v>
      </x:c>
      <x:c r="U585" t="n">
        <x:v>0</x:v>
      </x:c>
      <x:c r="V585" t="n">
        <x:v>10</x:v>
      </x:c>
      <x:c r="W585" t="n">
        <x:v>50</x:v>
      </x:c>
      <x:c r="X585" t="str">
        <x:v>VALUE: [[7d6]] PA 10 PA 50 PC</x:v>
      </x:c>
    </x:row>
    <x:row r="586">
      <x:c r="P586" t="str">
        <x:v>6|Esprit|Exceptionnelle</x:v>
      </x:c>
      <x:c r="Q586" t="n">
        <x:v>6125</x:v>
      </x:c>
      <x:c r="R586" t="str">
        <x:v>4d20</x:v>
      </x:c>
      <x:c r="S586" t="str">
        <x:v>PA</x:v>
      </x:c>
      <x:c r="T586" t="n">
        <x:v>0</x:v>
      </x:c>
      <x:c r="U586" t="n">
        <x:v>0</x:v>
      </x:c>
      <x:c r="V586" t="n">
        <x:v>19</x:v>
      </x:c>
      <x:c r="W586" t="n">
        <x:v>25</x:v>
      </x:c>
      <x:c r="X586" t="str">
        <x:v>VALUE: [[4d20]] PA 19 PA 25 PC</x:v>
      </x:c>
    </x:row>
    <x:row r="587">
      <x:c r="P587" t="str">
        <x:v>6|Céleste|Commune</x:v>
      </x:c>
      <x:c r="Q587" t="n">
        <x:v>1050</x:v>
      </x:c>
      <x:c r="R587" t="str">
        <x:v>3d4</x:v>
      </x:c>
      <x:c r="S587" t="str">
        <x:v>PA</x:v>
      </x:c>
      <x:c r="T587" t="n">
        <x:v>0</x:v>
      </x:c>
      <x:c r="U587" t="n">
        <x:v>0</x:v>
      </x:c>
      <x:c r="V587" t="n">
        <x:v>3</x:v>
      </x:c>
      <x:c r="W587" t="n">
        <x:v>0</x:v>
      </x:c>
      <x:c r="X587" t="str">
        <x:v>VALUE: [[3d4]] PA 3 PA</x:v>
      </x:c>
    </x:row>
    <x:row r="588">
      <x:c r="P588" t="str">
        <x:v>6|Céleste|Peu commune</x:v>
      </x:c>
      <x:c r="Q588" t="n">
        <x:v>1575</x:v>
      </x:c>
      <x:c r="R588" t="str">
        <x:v>2d10</x:v>
      </x:c>
      <x:c r="S588" t="str">
        <x:v>PA</x:v>
      </x:c>
      <x:c r="T588" t="n">
        <x:v>0</x:v>
      </x:c>
      <x:c r="U588" t="n">
        <x:v>0</x:v>
      </x:c>
      <x:c r="V588" t="n">
        <x:v>4</x:v>
      </x:c>
      <x:c r="W588" t="n">
        <x:v>75</x:v>
      </x:c>
      <x:c r="X588" t="str">
        <x:v>VALUE: [[2d10]] PA 4 PA 75 PC</x:v>
      </x:c>
    </x:row>
    <x:row r="589">
      <x:c r="P589" t="str">
        <x:v>6|Céleste|Rare</x:v>
      </x:c>
      <x:c r="Q589" t="n">
        <x:v>2625</x:v>
      </x:c>
      <x:c r="R589" t="str">
        <x:v>4d8</x:v>
      </x:c>
      <x:c r="S589" t="str">
        <x:v>PA</x:v>
      </x:c>
      <x:c r="T589" t="n">
        <x:v>0</x:v>
      </x:c>
      <x:c r="U589" t="n">
        <x:v>0</x:v>
      </x:c>
      <x:c r="V589" t="n">
        <x:v>8</x:v>
      </x:c>
      <x:c r="W589" t="n">
        <x:v>25</x:v>
      </x:c>
      <x:c r="X589" t="str">
        <x:v>VALUE: [[4d8]] PA 8 PA 25 PC</x:v>
      </x:c>
    </x:row>
    <x:row r="590">
      <x:c r="P590" t="str">
        <x:v>6|Céleste|Précieuse</x:v>
      </x:c>
      <x:c r="Q590" t="n">
        <x:v>4200</x:v>
      </x:c>
      <x:c r="R590" t="str">
        <x:v>8d6</x:v>
      </x:c>
      <x:c r="S590" t="str">
        <x:v>PA</x:v>
      </x:c>
      <x:c r="T590" t="n">
        <x:v>0</x:v>
      </x:c>
      <x:c r="U590" t="n">
        <x:v>0</x:v>
      </x:c>
      <x:c r="V590" t="n">
        <x:v>14</x:v>
      </x:c>
      <x:c r="W590" t="n">
        <x:v>0</x:v>
      </x:c>
      <x:c r="X590" t="str">
        <x:v>VALUE: [[8d6]] PA 14 PA</x:v>
      </x:c>
    </x:row>
    <x:row r="591">
      <x:c r="P591" t="str">
        <x:v>6|Céleste|Exceptionnelle</x:v>
      </x:c>
      <x:c r="Q591" t="n">
        <x:v>7350</x:v>
      </x:c>
      <x:c r="R591" t="str">
        <x:v>8d12</x:v>
      </x:c>
      <x:c r="S591" t="str">
        <x:v>PA</x:v>
      </x:c>
      <x:c r="T591" t="n">
        <x:v>0</x:v>
      </x:c>
      <x:c r="U591" t="n">
        <x:v>0</x:v>
      </x:c>
      <x:c r="V591" t="n">
        <x:v>21</x:v>
      </x:c>
      <x:c r="W591" t="n">
        <x:v>50</x:v>
      </x:c>
      <x:c r="X591" t="str">
        <x:v>VALUE: [[8d12]] PA 21 PA 50 PC</x:v>
      </x:c>
    </x:row>
    <x:row r="592">
      <x:c r="P592" t="str">
        <x:v>6|Dragon|Commune</x:v>
      </x:c>
      <x:c r="Q592" t="n">
        <x:v>1750</x:v>
      </x:c>
      <x:c r="R592" t="str">
        <x:v>5d4</x:v>
      </x:c>
      <x:c r="S592" t="str">
        <x:v>PA</x:v>
      </x:c>
      <x:c r="T592" t="n">
        <x:v>0</x:v>
      </x:c>
      <x:c r="U592" t="n">
        <x:v>0</x:v>
      </x:c>
      <x:c r="V592" t="n">
        <x:v>5</x:v>
      </x:c>
      <x:c r="W592" t="n">
        <x:v>0</x:v>
      </x:c>
      <x:c r="X592" t="str">
        <x:v>VALUE: [[5d4]] PA 5 PA</x:v>
      </x:c>
    </x:row>
    <x:row r="593">
      <x:c r="P593" t="str">
        <x:v>6|Dragon|Peu commune</x:v>
      </x:c>
      <x:c r="Q593" t="n">
        <x:v>2625</x:v>
      </x:c>
      <x:c r="R593" t="str">
        <x:v>4d8</x:v>
      </x:c>
      <x:c r="S593" t="str">
        <x:v>PA</x:v>
      </x:c>
      <x:c r="T593" t="n">
        <x:v>0</x:v>
      </x:c>
      <x:c r="U593" t="n">
        <x:v>0</x:v>
      </x:c>
      <x:c r="V593" t="n">
        <x:v>8</x:v>
      </x:c>
      <x:c r="W593" t="n">
        <x:v>25</x:v>
      </x:c>
      <x:c r="X593" t="str">
        <x:v>VALUE: [[4d8]] PA 8 PA 25 PC</x:v>
      </x:c>
    </x:row>
    <x:row r="594">
      <x:c r="P594" t="str">
        <x:v>6|Dragon|Rare</x:v>
      </x:c>
      <x:c r="Q594" t="n">
        <x:v>4375</x:v>
      </x:c>
      <x:c r="R594" t="str">
        <x:v>3d20</x:v>
      </x:c>
      <x:c r="S594" t="str">
        <x:v>PA</x:v>
      </x:c>
      <x:c r="T594" t="n">
        <x:v>0</x:v>
      </x:c>
      <x:c r="U594" t="n">
        <x:v>0</x:v>
      </x:c>
      <x:c r="V594" t="n">
        <x:v>12</x:v>
      </x:c>
      <x:c r="W594" t="n">
        <x:v>25</x:v>
      </x:c>
      <x:c r="X594" t="str">
        <x:v>VALUE: [[3d20]] PA 12 PA 25 PC</x:v>
      </x:c>
    </x:row>
    <x:row r="595">
      <x:c r="P595" t="str">
        <x:v>6|Dragon|Précieuse</x:v>
      </x:c>
      <x:c r="Q595" t="n">
        <x:v>7000</x:v>
      </x:c>
      <x:c r="R595" t="str">
        <x:v>9d10</x:v>
      </x:c>
      <x:c r="S595" t="str">
        <x:v>PA</x:v>
      </x:c>
      <x:c r="T595" t="n">
        <x:v>0</x:v>
      </x:c>
      <x:c r="U595" t="n">
        <x:v>0</x:v>
      </x:c>
      <x:c r="V595" t="n">
        <x:v>20</x:v>
      </x:c>
      <x:c r="W595" t="n">
        <x:v>50</x:v>
      </x:c>
      <x:c r="X595" t="str">
        <x:v>VALUE: [[9d10]] PA 20 PA 50 PC</x:v>
      </x:c>
    </x:row>
    <x:row r="596">
      <x:c r="P596" t="str">
        <x:v>6|Dragon|Exceptionnelle</x:v>
      </x:c>
      <x:c r="Q596" t="n">
        <x:v>12250</x:v>
      </x:c>
      <x:c r="R596" t="str">
        <x:v>8d20</x:v>
      </x:c>
      <x:c r="S596" t="str">
        <x:v>PA</x:v>
      </x:c>
      <x:c r="T596" t="n">
        <x:v>0</x:v>
      </x:c>
      <x:c r="U596" t="n">
        <x:v>0</x:v>
      </x:c>
      <x:c r="V596" t="n">
        <x:v>38</x:v>
      </x:c>
      <x:c r="W596" t="n">
        <x:v>50</x:v>
      </x:c>
      <x:c r="X596" t="str">
        <x:v>VALUE: [[8d20]] PA 38 PA 50 PC</x:v>
      </x:c>
    </x:row>
    <x:row r="597">
      <x:c r="P597" t="str">
        <x:v>7|Vermine|Commune</x:v>
      </x:c>
      <x:c r="Q597" t="n">
        <x:v>210</x:v>
      </x:c>
      <x:c r="R597" t="str">
        <x:v>10d20</x:v>
      </x:c>
      <x:c r="S597" t="str">
        <x:v>PC</x:v>
      </x:c>
      <x:c r="T597" t="n">
        <x:v>0</x:v>
      </x:c>
      <x:c r="U597" t="n">
        <x:v>0</x:v>
      </x:c>
      <x:c r="V597" t="n">
        <x:v>1</x:v>
      </x:c>
      <x:c r="W597" t="n">
        <x:v>5</x:v>
      </x:c>
      <x:c r="X597" t="str">
        <x:v>VALUE: [[10d20]] PC 1 PA 5 PC</x:v>
      </x:c>
    </x:row>
    <x:row r="598">
      <x:c r="P598" t="str">
        <x:v>7|Vermine|Peu commune</x:v>
      </x:c>
      <x:c r="Q598" t="n">
        <x:v>315</x:v>
      </x:c>
      <x:c r="R598" t="str">
        <x:v>1d4</x:v>
      </x:c>
      <x:c r="S598" t="str">
        <x:v>PA</x:v>
      </x:c>
      <x:c r="T598" t="n">
        <x:v>0</x:v>
      </x:c>
      <x:c r="U598" t="n">
        <x:v>0</x:v>
      </x:c>
      <x:c r="V598" t="n">
        <x:v>0</x:v>
      </x:c>
      <x:c r="W598" t="n">
        <x:v>65</x:v>
      </x:c>
      <x:c r="X598" t="str">
        <x:v>VALUE: [[1d4]] PA 65 PC</x:v>
      </x:c>
    </x:row>
    <x:row r="599">
      <x:c r="P599" t="str">
        <x:v>7|Vermine|Rare</x:v>
      </x:c>
      <x:c r="Q599" t="n">
        <x:v>525</x:v>
      </x:c>
      <x:c r="R599" t="str">
        <x:v>1d6</x:v>
      </x:c>
      <x:c r="S599" t="str">
        <x:v>PA</x:v>
      </x:c>
      <x:c r="T599" t="n">
        <x:v>0</x:v>
      </x:c>
      <x:c r="U599" t="n">
        <x:v>0</x:v>
      </x:c>
      <x:c r="V599" t="n">
        <x:v>1</x:v>
      </x:c>
      <x:c r="W599" t="n">
        <x:v>75</x:v>
      </x:c>
      <x:c r="X599" t="str">
        <x:v>VALUE: [[1d6]] PA 1 PA 75 PC</x:v>
      </x:c>
    </x:row>
    <x:row r="600">
      <x:c r="P600" t="str">
        <x:v>7|Vermine|Précieuse</x:v>
      </x:c>
      <x:c r="Q600" t="n">
        <x:v>840</x:v>
      </x:c>
      <x:c r="R600" t="str">
        <x:v>1d10</x:v>
      </x:c>
      <x:c r="S600" t="str">
        <x:v>PA</x:v>
      </x:c>
      <x:c r="T600" t="n">
        <x:v>0</x:v>
      </x:c>
      <x:c r="U600" t="n">
        <x:v>0</x:v>
      </x:c>
      <x:c r="V600" t="n">
        <x:v>2</x:v>
      </x:c>
      <x:c r="W600" t="n">
        <x:v>90</x:v>
      </x:c>
      <x:c r="X600" t="str">
        <x:v>VALUE: [[1d10]] PA 2 PA 90 PC</x:v>
      </x:c>
    </x:row>
    <x:row r="601">
      <x:c r="P601" t="str">
        <x:v>7|Vermine|Exceptionnelle</x:v>
      </x:c>
      <x:c r="Q601" t="n">
        <x:v>1470</x:v>
      </x:c>
      <x:c r="R601" t="str">
        <x:v>1d20</x:v>
      </x:c>
      <x:c r="S601" t="str">
        <x:v>PA</x:v>
      </x:c>
      <x:c r="T601" t="n">
        <x:v>0</x:v>
      </x:c>
      <x:c r="U601" t="n">
        <x:v>0</x:v>
      </x:c>
      <x:c r="V601" t="n">
        <x:v>4</x:v>
      </x:c>
      <x:c r="W601" t="n">
        <x:v>20</x:v>
      </x:c>
      <x:c r="X601" t="str">
        <x:v>VALUE: [[1d20]] PA 4 PA 20 PC</x:v>
      </x:c>
    </x:row>
    <x:row r="602">
      <x:c r="P602" t="str">
        <x:v>7|Bête|Commune</x:v>
      </x:c>
      <x:c r="Q602" t="n">
        <x:v>360</x:v>
      </x:c>
      <x:c r="R602" t="str">
        <x:v>1d4</x:v>
      </x:c>
      <x:c r="S602" t="str">
        <x:v>PA</x:v>
      </x:c>
      <x:c r="T602" t="n">
        <x:v>0</x:v>
      </x:c>
      <x:c r="U602" t="n">
        <x:v>0</x:v>
      </x:c>
      <x:c r="V602" t="n">
        <x:v>1</x:v>
      </x:c>
      <x:c r="W602" t="n">
        <x:v>10</x:v>
      </x:c>
      <x:c r="X602" t="str">
        <x:v>VALUE: [[1d4]] PA 1 PA 10 PC</x:v>
      </x:c>
    </x:row>
    <x:row r="603">
      <x:c r="P603" t="str">
        <x:v>7|Bête|Peu commune</x:v>
      </x:c>
      <x:c r="Q603" t="n">
        <x:v>540</x:v>
      </x:c>
      <x:c r="R603" t="str">
        <x:v>1d6</x:v>
      </x:c>
      <x:c r="S603" t="str">
        <x:v>PA</x:v>
      </x:c>
      <x:c r="T603" t="n">
        <x:v>0</x:v>
      </x:c>
      <x:c r="U603" t="n">
        <x:v>0</x:v>
      </x:c>
      <x:c r="V603" t="n">
        <x:v>1</x:v>
      </x:c>
      <x:c r="W603" t="n">
        <x:v>90</x:v>
      </x:c>
      <x:c r="X603" t="str">
        <x:v>VALUE: [[1d6]] PA 1 PA 90 PC</x:v>
      </x:c>
    </x:row>
    <x:row r="604">
      <x:c r="P604" t="str">
        <x:v>7|Bête|Rare</x:v>
      </x:c>
      <x:c r="Q604" t="n">
        <x:v>900</x:v>
      </x:c>
      <x:c r="R604" t="str">
        <x:v>1d12</x:v>
      </x:c>
      <x:c r="S604" t="str">
        <x:v>PA</x:v>
      </x:c>
      <x:c r="T604" t="n">
        <x:v>0</x:v>
      </x:c>
      <x:c r="U604" t="n">
        <x:v>0</x:v>
      </x:c>
      <x:c r="V604" t="n">
        <x:v>2</x:v>
      </x:c>
      <x:c r="W604" t="n">
        <x:v>50</x:v>
      </x:c>
      <x:c r="X604" t="str">
        <x:v>VALUE: [[1d12]] PA 2 PA 50 PC</x:v>
      </x:c>
    </x:row>
    <x:row r="605">
      <x:c r="P605" t="str">
        <x:v>7|Bête|Précieuse</x:v>
      </x:c>
      <x:c r="Q605" t="n">
        <x:v>1440</x:v>
      </x:c>
      <x:c r="R605" t="str">
        <x:v>4d4</x:v>
      </x:c>
      <x:c r="S605" t="str">
        <x:v>PA</x:v>
      </x:c>
      <x:c r="T605" t="n">
        <x:v>0</x:v>
      </x:c>
      <x:c r="U605" t="n">
        <x:v>0</x:v>
      </x:c>
      <x:c r="V605" t="n">
        <x:v>4</x:v>
      </x:c>
      <x:c r="W605" t="n">
        <x:v>40</x:v>
      </x:c>
      <x:c r="X605" t="str">
        <x:v>VALUE: [[4d4]] PA 4 PA 40 PC</x:v>
      </x:c>
    </x:row>
    <x:row r="606">
      <x:c r="P606" t="str">
        <x:v>7|Bête|Exceptionnelle</x:v>
      </x:c>
      <x:c r="Q606" t="n">
        <x:v>2520</x:v>
      </x:c>
      <x:c r="R606" t="str">
        <x:v>5d6</x:v>
      </x:c>
      <x:c r="S606" t="str">
        <x:v>PA</x:v>
      </x:c>
      <x:c r="T606" t="n">
        <x:v>0</x:v>
      </x:c>
      <x:c r="U606" t="n">
        <x:v>0</x:v>
      </x:c>
      <x:c r="V606" t="n">
        <x:v>7</x:v>
      </x:c>
      <x:c r="W606" t="n">
        <x:v>70</x:v>
      </x:c>
      <x:c r="X606" t="str">
        <x:v>VALUE: [[5d6]] PA 7 PA 70 PC</x:v>
      </x:c>
    </x:row>
    <x:row r="607">
      <x:c r="P607" t="str">
        <x:v>7|Aquatique|Commune</x:v>
      </x:c>
      <x:c r="Q607" t="n">
        <x:v>420</x:v>
      </x:c>
      <x:c r="R607" t="str">
        <x:v>1d4</x:v>
      </x:c>
      <x:c r="S607" t="str">
        <x:v>PA</x:v>
      </x:c>
      <x:c r="T607" t="n">
        <x:v>0</x:v>
      </x:c>
      <x:c r="U607" t="n">
        <x:v>0</x:v>
      </x:c>
      <x:c r="V607" t="n">
        <x:v>1</x:v>
      </x:c>
      <x:c r="W607" t="n">
        <x:v>70</x:v>
      </x:c>
      <x:c r="X607" t="str">
        <x:v>VALUE: [[1d4]] PA 1 PA 70 PC</x:v>
      </x:c>
    </x:row>
    <x:row r="608">
      <x:c r="P608" t="str">
        <x:v>7|Aquatique|Peu commune</x:v>
      </x:c>
      <x:c r="Q608" t="n">
        <x:v>630</x:v>
      </x:c>
      <x:c r="R608" t="str">
        <x:v>1d8</x:v>
      </x:c>
      <x:c r="S608" t="str">
        <x:v>PA</x:v>
      </x:c>
      <x:c r="T608" t="n">
        <x:v>0</x:v>
      </x:c>
      <x:c r="U608" t="n">
        <x:v>0</x:v>
      </x:c>
      <x:c r="V608" t="n">
        <x:v>1</x:v>
      </x:c>
      <x:c r="W608" t="n">
        <x:v>80</x:v>
      </x:c>
      <x:c r="X608" t="str">
        <x:v>VALUE: [[1d8]] PA 1 PA 80 PC</x:v>
      </x:c>
    </x:row>
    <x:row r="609">
      <x:c r="P609" t="str">
        <x:v>7|Aquatique|Rare</x:v>
      </x:c>
      <x:c r="Q609" t="n">
        <x:v>1050</x:v>
      </x:c>
      <x:c r="R609" t="str">
        <x:v>3d4</x:v>
      </x:c>
      <x:c r="S609" t="str">
        <x:v>PA</x:v>
      </x:c>
      <x:c r="T609" t="n">
        <x:v>0</x:v>
      </x:c>
      <x:c r="U609" t="n">
        <x:v>0</x:v>
      </x:c>
      <x:c r="V609" t="n">
        <x:v>3</x:v>
      </x:c>
      <x:c r="W609" t="n">
        <x:v>0</x:v>
      </x:c>
      <x:c r="X609" t="str">
        <x:v>VALUE: [[3d4]] PA 3 PA</x:v>
      </x:c>
    </x:row>
    <x:row r="610">
      <x:c r="P610" t="str">
        <x:v>7|Aquatique|Précieuse</x:v>
      </x:c>
      <x:c r="Q610" t="n">
        <x:v>1680</x:v>
      </x:c>
      <x:c r="R610" t="str">
        <x:v>5d4</x:v>
      </x:c>
      <x:c r="S610" t="str">
        <x:v>PA</x:v>
      </x:c>
      <x:c r="T610" t="n">
        <x:v>0</x:v>
      </x:c>
      <x:c r="U610" t="n">
        <x:v>0</x:v>
      </x:c>
      <x:c r="V610" t="n">
        <x:v>4</x:v>
      </x:c>
      <x:c r="W610" t="n">
        <x:v>30</x:v>
      </x:c>
      <x:c r="X610" t="str">
        <x:v>VALUE: [[5d4]] PA 4 PA 30 PC</x:v>
      </x:c>
    </x:row>
    <x:row r="611">
      <x:c r="P611" t="str">
        <x:v>7|Aquatique|Exceptionnelle</x:v>
      </x:c>
      <x:c r="Q611" t="n">
        <x:v>2940</x:v>
      </x:c>
      <x:c r="R611" t="str">
        <x:v>2d20</x:v>
      </x:c>
      <x:c r="S611" t="str">
        <x:v>PA</x:v>
      </x:c>
      <x:c r="T611" t="n">
        <x:v>0</x:v>
      </x:c>
      <x:c r="U611" t="n">
        <x:v>0</x:v>
      </x:c>
      <x:c r="V611" t="n">
        <x:v>8</x:v>
      </x:c>
      <x:c r="W611" t="n">
        <x:v>40</x:v>
      </x:c>
      <x:c r="X611" t="str">
        <x:v>VALUE: [[2d20]] PA 8 PA 40 PC</x:v>
      </x:c>
    </x:row>
    <x:row r="612">
      <x:c r="P612" t="str">
        <x:v>7|Plante|Commune</x:v>
      </x:c>
      <x:c r="Q612" t="n">
        <x:v>480</x:v>
      </x:c>
      <x:c r="R612" t="str">
        <x:v>1d6</x:v>
      </x:c>
      <x:c r="S612" t="str">
        <x:v>PA</x:v>
      </x:c>
      <x:c r="T612" t="n">
        <x:v>0</x:v>
      </x:c>
      <x:c r="U612" t="n">
        <x:v>0</x:v>
      </x:c>
      <x:c r="V612" t="n">
        <x:v>1</x:v>
      </x:c>
      <x:c r="W612" t="n">
        <x:v>30</x:v>
      </x:c>
      <x:c r="X612" t="str">
        <x:v>VALUE: [[1d6]] PA 1 PA 30 PC</x:v>
      </x:c>
    </x:row>
    <x:row r="613">
      <x:c r="P613" t="str">
        <x:v>7|Plante|Peu commune</x:v>
      </x:c>
      <x:c r="Q613" t="n">
        <x:v>720</x:v>
      </x:c>
      <x:c r="R613" t="str">
        <x:v>2d4</x:v>
      </x:c>
      <x:c r="S613" t="str">
        <x:v>PA</x:v>
      </x:c>
      <x:c r="T613" t="n">
        <x:v>0</x:v>
      </x:c>
      <x:c r="U613" t="n">
        <x:v>0</x:v>
      </x:c>
      <x:c r="V613" t="n">
        <x:v>2</x:v>
      </x:c>
      <x:c r="W613" t="n">
        <x:v>20</x:v>
      </x:c>
      <x:c r="X613" t="str">
        <x:v>VALUE: [[2d4]] PA 2 PA 20 PC</x:v>
      </x:c>
    </x:row>
    <x:row r="614">
      <x:c r="P614" t="str">
        <x:v>7|Plante|Rare</x:v>
      </x:c>
      <x:c r="Q614" t="n">
        <x:v>1200</x:v>
      </x:c>
      <x:c r="R614" t="str">
        <x:v>2d8</x:v>
      </x:c>
      <x:c r="S614" t="str">
        <x:v>PA</x:v>
      </x:c>
      <x:c r="T614" t="n">
        <x:v>0</x:v>
      </x:c>
      <x:c r="U614" t="n">
        <x:v>0</x:v>
      </x:c>
      <x:c r="V614" t="n">
        <x:v>3</x:v>
      </x:c>
      <x:c r="W614" t="n">
        <x:v>0</x:v>
      </x:c>
      <x:c r="X614" t="str">
        <x:v>VALUE: [[2d8]] PA 3 PA</x:v>
      </x:c>
    </x:row>
    <x:row r="615">
      <x:c r="P615" t="str">
        <x:v>7|Plante|Précieuse</x:v>
      </x:c>
      <x:c r="Q615" t="n">
        <x:v>1920</x:v>
      </x:c>
      <x:c r="R615" t="str">
        <x:v>3d8</x:v>
      </x:c>
      <x:c r="S615" t="str">
        <x:v>PA</x:v>
      </x:c>
      <x:c r="T615" t="n">
        <x:v>0</x:v>
      </x:c>
      <x:c r="U615" t="n">
        <x:v>0</x:v>
      </x:c>
      <x:c r="V615" t="n">
        <x:v>5</x:v>
      </x:c>
      <x:c r="W615" t="n">
        <x:v>70</x:v>
      </x:c>
      <x:c r="X615" t="str">
        <x:v>VALUE: [[3d8]] PA 5 PA 70 PC</x:v>
      </x:c>
    </x:row>
    <x:row r="616">
      <x:c r="P616" t="str">
        <x:v>7|Plante|Exceptionnelle</x:v>
      </x:c>
      <x:c r="Q616" t="n">
        <x:v>3360</x:v>
      </x:c>
      <x:c r="R616" t="str">
        <x:v>7d6</x:v>
      </x:c>
      <x:c r="S616" t="str">
        <x:v>PA</x:v>
      </x:c>
      <x:c r="T616" t="n">
        <x:v>0</x:v>
      </x:c>
      <x:c r="U616" t="n">
        <x:v>0</x:v>
      </x:c>
      <x:c r="V616" t="n">
        <x:v>9</x:v>
      </x:c>
      <x:c r="W616" t="n">
        <x:v>10</x:v>
      </x:c>
      <x:c r="X616" t="str">
        <x:v>VALUE: [[7d6]] PA 9 PA 10 PC</x:v>
      </x:c>
    </x:row>
    <x:row r="617">
      <x:c r="P617" t="str">
        <x:v>7|Humanoïde|Commune</x:v>
      </x:c>
      <x:c r="Q617" t="n">
        <x:v>600</x:v>
      </x:c>
      <x:c r="R617" t="str">
        <x:v>1d8</x:v>
      </x:c>
      <x:c r="S617" t="str">
        <x:v>PA</x:v>
      </x:c>
      <x:c r="T617" t="n">
        <x:v>0</x:v>
      </x:c>
      <x:c r="U617" t="n">
        <x:v>0</x:v>
      </x:c>
      <x:c r="V617" t="n">
        <x:v>1</x:v>
      </x:c>
      <x:c r="W617" t="n">
        <x:v>50</x:v>
      </x:c>
      <x:c r="X617" t="str">
        <x:v>VALUE: [[1d8]] PA 1 PA 50 PC</x:v>
      </x:c>
    </x:row>
    <x:row r="618">
      <x:c r="P618" t="str">
        <x:v>7|Humanoïde|Peu commune</x:v>
      </x:c>
      <x:c r="Q618" t="n">
        <x:v>900</x:v>
      </x:c>
      <x:c r="R618" t="str">
        <x:v>1d12</x:v>
      </x:c>
      <x:c r="S618" t="str">
        <x:v>PA</x:v>
      </x:c>
      <x:c r="T618" t="n">
        <x:v>0</x:v>
      </x:c>
      <x:c r="U618" t="n">
        <x:v>0</x:v>
      </x:c>
      <x:c r="V618" t="n">
        <x:v>2</x:v>
      </x:c>
      <x:c r="W618" t="n">
        <x:v>50</x:v>
      </x:c>
      <x:c r="X618" t="str">
        <x:v>VALUE: [[1d12]] PA 2 PA 50 PC</x:v>
      </x:c>
    </x:row>
    <x:row r="619">
      <x:c r="P619" t="str">
        <x:v>7|Humanoïde|Rare</x:v>
      </x:c>
      <x:c r="Q619" t="n">
        <x:v>1500</x:v>
      </x:c>
      <x:c r="R619" t="str">
        <x:v>1d20</x:v>
      </x:c>
      <x:c r="S619" t="str">
        <x:v>PA</x:v>
      </x:c>
      <x:c r="T619" t="n">
        <x:v>0</x:v>
      </x:c>
      <x:c r="U619" t="n">
        <x:v>0</x:v>
      </x:c>
      <x:c r="V619" t="n">
        <x:v>4</x:v>
      </x:c>
      <x:c r="W619" t="n">
        <x:v>50</x:v>
      </x:c>
      <x:c r="X619" t="str">
        <x:v>VALUE: [[1d20]] PA 4 PA 50 PC</x:v>
      </x:c>
    </x:row>
    <x:row r="620">
      <x:c r="P620" t="str">
        <x:v>7|Humanoïde|Précieuse</x:v>
      </x:c>
      <x:c r="Q620" t="n">
        <x:v>2400</x:v>
      </x:c>
      <x:c r="R620" t="str">
        <x:v>3d10</x:v>
      </x:c>
      <x:c r="S620" t="str">
        <x:v>PA</x:v>
      </x:c>
      <x:c r="T620" t="n">
        <x:v>0</x:v>
      </x:c>
      <x:c r="U620" t="n">
        <x:v>0</x:v>
      </x:c>
      <x:c r="V620" t="n">
        <x:v>7</x:v>
      </x:c>
      <x:c r="W620" t="n">
        <x:v>50</x:v>
      </x:c>
      <x:c r="X620" t="str">
        <x:v>VALUE: [[3d10]] PA 7 PA 50 PC</x:v>
      </x:c>
    </x:row>
    <x:row r="621">
      <x:c r="P621" t="str">
        <x:v>7|Humanoïde|Exceptionnelle</x:v>
      </x:c>
      <x:c r="Q621" t="n">
        <x:v>4200</x:v>
      </x:c>
      <x:c r="R621" t="str">
        <x:v>8d6</x:v>
      </x:c>
      <x:c r="S621" t="str">
        <x:v>PA</x:v>
      </x:c>
      <x:c r="T621" t="n">
        <x:v>0</x:v>
      </x:c>
      <x:c r="U621" t="n">
        <x:v>0</x:v>
      </x:c>
      <x:c r="V621" t="n">
        <x:v>14</x:v>
      </x:c>
      <x:c r="W621" t="n">
        <x:v>0</x:v>
      </x:c>
      <x:c r="X621" t="str">
        <x:v>VALUE: [[8d6]] PA 14 PA</x:v>
      </x:c>
    </x:row>
    <x:row r="622">
      <x:c r="P622" t="str">
        <x:v>7|Mort-vivant|Commune</x:v>
      </x:c>
      <x:c r="Q622" t="n">
        <x:v>600</x:v>
      </x:c>
      <x:c r="R622" t="str">
        <x:v>1d8</x:v>
      </x:c>
      <x:c r="S622" t="str">
        <x:v>PA</x:v>
      </x:c>
      <x:c r="T622" t="n">
        <x:v>0</x:v>
      </x:c>
      <x:c r="U622" t="n">
        <x:v>0</x:v>
      </x:c>
      <x:c r="V622" t="n">
        <x:v>1</x:v>
      </x:c>
      <x:c r="W622" t="n">
        <x:v>50</x:v>
      </x:c>
      <x:c r="X622" t="str">
        <x:v>VALUE: [[1d8]] PA 1 PA 50 PC</x:v>
      </x:c>
    </x:row>
    <x:row r="623">
      <x:c r="P623" t="str">
        <x:v>7|Mort-vivant|Peu commune</x:v>
      </x:c>
      <x:c r="Q623" t="n">
        <x:v>900</x:v>
      </x:c>
      <x:c r="R623" t="str">
        <x:v>1d12</x:v>
      </x:c>
      <x:c r="S623" t="str">
        <x:v>PA</x:v>
      </x:c>
      <x:c r="T623" t="n">
        <x:v>0</x:v>
      </x:c>
      <x:c r="U623" t="n">
        <x:v>0</x:v>
      </x:c>
      <x:c r="V623" t="n">
        <x:v>2</x:v>
      </x:c>
      <x:c r="W623" t="n">
        <x:v>50</x:v>
      </x:c>
      <x:c r="X623" t="str">
        <x:v>VALUE: [[1d12]] PA 2 PA 50 PC</x:v>
      </x:c>
    </x:row>
    <x:row r="624">
      <x:c r="P624" t="str">
        <x:v>7|Mort-vivant|Rare</x:v>
      </x:c>
      <x:c r="Q624" t="n">
        <x:v>1500</x:v>
      </x:c>
      <x:c r="R624" t="str">
        <x:v>1d20</x:v>
      </x:c>
      <x:c r="S624" t="str">
        <x:v>PA</x:v>
      </x:c>
      <x:c r="T624" t="n">
        <x:v>0</x:v>
      </x:c>
      <x:c r="U624" t="n">
        <x:v>0</x:v>
      </x:c>
      <x:c r="V624" t="n">
        <x:v>4</x:v>
      </x:c>
      <x:c r="W624" t="n">
        <x:v>50</x:v>
      </x:c>
      <x:c r="X624" t="str">
        <x:v>VALUE: [[1d20]] PA 4 PA 50 PC</x:v>
      </x:c>
    </x:row>
    <x:row r="625">
      <x:c r="P625" t="str">
        <x:v>7|Mort-vivant|Précieuse</x:v>
      </x:c>
      <x:c r="Q625" t="n">
        <x:v>2400</x:v>
      </x:c>
      <x:c r="R625" t="str">
        <x:v>3d10</x:v>
      </x:c>
      <x:c r="S625" t="str">
        <x:v>PA</x:v>
      </x:c>
      <x:c r="T625" t="n">
        <x:v>0</x:v>
      </x:c>
      <x:c r="U625" t="n">
        <x:v>0</x:v>
      </x:c>
      <x:c r="V625" t="n">
        <x:v>7</x:v>
      </x:c>
      <x:c r="W625" t="n">
        <x:v>50</x:v>
      </x:c>
      <x:c r="X625" t="str">
        <x:v>VALUE: [[3d10]] PA 7 PA 50 PC</x:v>
      </x:c>
    </x:row>
    <x:row r="626">
      <x:c r="P626" t="str">
        <x:v>7|Mort-vivant|Exceptionnelle</x:v>
      </x:c>
      <x:c r="Q626" t="n">
        <x:v>4200</x:v>
      </x:c>
      <x:c r="R626" t="str">
        <x:v>8d6</x:v>
      </x:c>
      <x:c r="S626" t="str">
        <x:v>PA</x:v>
      </x:c>
      <x:c r="T626" t="n">
        <x:v>0</x:v>
      </x:c>
      <x:c r="U626" t="n">
        <x:v>0</x:v>
      </x:c>
      <x:c r="V626" t="n">
        <x:v>14</x:v>
      </x:c>
      <x:c r="W626" t="n">
        <x:v>0</x:v>
      </x:c>
      <x:c r="X626" t="str">
        <x:v>VALUE: [[8d6]] PA 14 PA</x:v>
      </x:c>
    </x:row>
    <x:row r="627">
      <x:c r="P627" t="str">
        <x:v>7|Monstre|Commune</x:v>
      </x:c>
      <x:c r="Q627" t="n">
        <x:v>600</x:v>
      </x:c>
      <x:c r="R627" t="str">
        <x:v>1d8</x:v>
      </x:c>
      <x:c r="S627" t="str">
        <x:v>PA</x:v>
      </x:c>
      <x:c r="T627" t="n">
        <x:v>0</x:v>
      </x:c>
      <x:c r="U627" t="n">
        <x:v>0</x:v>
      </x:c>
      <x:c r="V627" t="n">
        <x:v>1</x:v>
      </x:c>
      <x:c r="W627" t="n">
        <x:v>50</x:v>
      </x:c>
      <x:c r="X627" t="str">
        <x:v>VALUE: [[1d8]] PA 1 PA 50 PC</x:v>
      </x:c>
    </x:row>
    <x:row r="628">
      <x:c r="P628" t="str">
        <x:v>7|Monstre|Peu commune</x:v>
      </x:c>
      <x:c r="Q628" t="n">
        <x:v>900</x:v>
      </x:c>
      <x:c r="R628" t="str">
        <x:v>1d12</x:v>
      </x:c>
      <x:c r="S628" t="str">
        <x:v>PA</x:v>
      </x:c>
      <x:c r="T628" t="n">
        <x:v>0</x:v>
      </x:c>
      <x:c r="U628" t="n">
        <x:v>0</x:v>
      </x:c>
      <x:c r="V628" t="n">
        <x:v>2</x:v>
      </x:c>
      <x:c r="W628" t="n">
        <x:v>50</x:v>
      </x:c>
      <x:c r="X628" t="str">
        <x:v>VALUE: [[1d12]] PA 2 PA 50 PC</x:v>
      </x:c>
    </x:row>
    <x:row r="629">
      <x:c r="P629" t="str">
        <x:v>7|Monstre|Rare</x:v>
      </x:c>
      <x:c r="Q629" t="n">
        <x:v>1500</x:v>
      </x:c>
      <x:c r="R629" t="str">
        <x:v>1d20</x:v>
      </x:c>
      <x:c r="S629" t="str">
        <x:v>PA</x:v>
      </x:c>
      <x:c r="T629" t="n">
        <x:v>0</x:v>
      </x:c>
      <x:c r="U629" t="n">
        <x:v>0</x:v>
      </x:c>
      <x:c r="V629" t="n">
        <x:v>4</x:v>
      </x:c>
      <x:c r="W629" t="n">
        <x:v>50</x:v>
      </x:c>
      <x:c r="X629" t="str">
        <x:v>VALUE: [[1d20]] PA 4 PA 50 PC</x:v>
      </x:c>
    </x:row>
    <x:row r="630">
      <x:c r="P630" t="str">
        <x:v>7|Monstre|Précieuse</x:v>
      </x:c>
      <x:c r="Q630" t="n">
        <x:v>2400</x:v>
      </x:c>
      <x:c r="R630" t="str">
        <x:v>3d10</x:v>
      </x:c>
      <x:c r="S630" t="str">
        <x:v>PA</x:v>
      </x:c>
      <x:c r="T630" t="n">
        <x:v>0</x:v>
      </x:c>
      <x:c r="U630" t="n">
        <x:v>0</x:v>
      </x:c>
      <x:c r="V630" t="n">
        <x:v>7</x:v>
      </x:c>
      <x:c r="W630" t="n">
        <x:v>50</x:v>
      </x:c>
      <x:c r="X630" t="str">
        <x:v>VALUE: [[3d10]] PA 7 PA 50 PC</x:v>
      </x:c>
    </x:row>
    <x:row r="631">
      <x:c r="P631" t="str">
        <x:v>7|Monstre|Exceptionnelle</x:v>
      </x:c>
      <x:c r="Q631" t="n">
        <x:v>4200</x:v>
      </x:c>
      <x:c r="R631" t="str">
        <x:v>8d6</x:v>
      </x:c>
      <x:c r="S631" t="str">
        <x:v>PA</x:v>
      </x:c>
      <x:c r="T631" t="n">
        <x:v>0</x:v>
      </x:c>
      <x:c r="U631" t="n">
        <x:v>0</x:v>
      </x:c>
      <x:c r="V631" t="n">
        <x:v>14</x:v>
      </x:c>
      <x:c r="W631" t="n">
        <x:v>0</x:v>
      </x:c>
      <x:c r="X631" t="str">
        <x:v>VALUE: [[8d6]] PA 14 PA</x:v>
      </x:c>
    </x:row>
    <x:row r="632">
      <x:c r="P632" t="str">
        <x:v>7|Vase|Commune</x:v>
      </x:c>
      <x:c r="Q632" t="n">
        <x:v>600</x:v>
      </x:c>
      <x:c r="R632" t="str">
        <x:v>1d8</x:v>
      </x:c>
      <x:c r="S632" t="str">
        <x:v>PA</x:v>
      </x:c>
      <x:c r="T632" t="n">
        <x:v>0</x:v>
      </x:c>
      <x:c r="U632" t="n">
        <x:v>0</x:v>
      </x:c>
      <x:c r="V632" t="n">
        <x:v>1</x:v>
      </x:c>
      <x:c r="W632" t="n">
        <x:v>50</x:v>
      </x:c>
      <x:c r="X632" t="str">
        <x:v>VALUE: [[1d8]] PA 1 PA 50 PC</x:v>
      </x:c>
    </x:row>
    <x:row r="633">
      <x:c r="P633" t="str">
        <x:v>7|Vase|Peu commune</x:v>
      </x:c>
      <x:c r="Q633" t="n">
        <x:v>900</x:v>
      </x:c>
      <x:c r="R633" t="str">
        <x:v>1d12</x:v>
      </x:c>
      <x:c r="S633" t="str">
        <x:v>PA</x:v>
      </x:c>
      <x:c r="T633" t="n">
        <x:v>0</x:v>
      </x:c>
      <x:c r="U633" t="n">
        <x:v>0</x:v>
      </x:c>
      <x:c r="V633" t="n">
        <x:v>2</x:v>
      </x:c>
      <x:c r="W633" t="n">
        <x:v>50</x:v>
      </x:c>
      <x:c r="X633" t="str">
        <x:v>VALUE: [[1d12]] PA 2 PA 50 PC</x:v>
      </x:c>
    </x:row>
    <x:row r="634">
      <x:c r="P634" t="str">
        <x:v>7|Vase|Rare</x:v>
      </x:c>
      <x:c r="Q634" t="n">
        <x:v>1500</x:v>
      </x:c>
      <x:c r="R634" t="str">
        <x:v>1d20</x:v>
      </x:c>
      <x:c r="S634" t="str">
        <x:v>PA</x:v>
      </x:c>
      <x:c r="T634" t="n">
        <x:v>0</x:v>
      </x:c>
      <x:c r="U634" t="n">
        <x:v>0</x:v>
      </x:c>
      <x:c r="V634" t="n">
        <x:v>4</x:v>
      </x:c>
      <x:c r="W634" t="n">
        <x:v>50</x:v>
      </x:c>
      <x:c r="X634" t="str">
        <x:v>VALUE: [[1d20]] PA 4 PA 50 PC</x:v>
      </x:c>
    </x:row>
    <x:row r="635">
      <x:c r="P635" t="str">
        <x:v>7|Vase|Précieuse</x:v>
      </x:c>
      <x:c r="Q635" t="n">
        <x:v>2400</x:v>
      </x:c>
      <x:c r="R635" t="str">
        <x:v>3d10</x:v>
      </x:c>
      <x:c r="S635" t="str">
        <x:v>PA</x:v>
      </x:c>
      <x:c r="T635" t="n">
        <x:v>0</x:v>
      </x:c>
      <x:c r="U635" t="n">
        <x:v>0</x:v>
      </x:c>
      <x:c r="V635" t="n">
        <x:v>7</x:v>
      </x:c>
      <x:c r="W635" t="n">
        <x:v>50</x:v>
      </x:c>
      <x:c r="X635" t="str">
        <x:v>VALUE: [[3d10]] PA 7 PA 50 PC</x:v>
      </x:c>
    </x:row>
    <x:row r="636">
      <x:c r="P636" t="str">
        <x:v>7|Vase|Exceptionnelle</x:v>
      </x:c>
      <x:c r="Q636" t="n">
        <x:v>4200</x:v>
      </x:c>
      <x:c r="R636" t="str">
        <x:v>8d6</x:v>
      </x:c>
      <x:c r="S636" t="str">
        <x:v>PA</x:v>
      </x:c>
      <x:c r="T636" t="n">
        <x:v>0</x:v>
      </x:c>
      <x:c r="U636" t="n">
        <x:v>0</x:v>
      </x:c>
      <x:c r="V636" t="n">
        <x:v>14</x:v>
      </x:c>
      <x:c r="W636" t="n">
        <x:v>0</x:v>
      </x:c>
      <x:c r="X636" t="str">
        <x:v>VALUE: [[8d6]] PA 14 PA</x:v>
      </x:c>
    </x:row>
    <x:row r="637">
      <x:c r="P637" t="str">
        <x:v>7|Géant|Commune</x:v>
      </x:c>
      <x:c r="Q637" t="n">
        <x:v>720</x:v>
      </x:c>
      <x:c r="R637" t="str">
        <x:v>2d4</x:v>
      </x:c>
      <x:c r="S637" t="str">
        <x:v>PA</x:v>
      </x:c>
      <x:c r="T637" t="n">
        <x:v>0</x:v>
      </x:c>
      <x:c r="U637" t="n">
        <x:v>0</x:v>
      </x:c>
      <x:c r="V637" t="n">
        <x:v>2</x:v>
      </x:c>
      <x:c r="W637" t="n">
        <x:v>20</x:v>
      </x:c>
      <x:c r="X637" t="str">
        <x:v>VALUE: [[2d4]] PA 2 PA 20 PC</x:v>
      </x:c>
    </x:row>
    <x:row r="638">
      <x:c r="P638" t="str">
        <x:v>7|Géant|Peu commune</x:v>
      </x:c>
      <x:c r="Q638" t="n">
        <x:v>1080</x:v>
      </x:c>
      <x:c r="R638" t="str">
        <x:v>3d4</x:v>
      </x:c>
      <x:c r="S638" t="str">
        <x:v>PA</x:v>
      </x:c>
      <x:c r="T638" t="n">
        <x:v>0</x:v>
      </x:c>
      <x:c r="U638" t="n">
        <x:v>0</x:v>
      </x:c>
      <x:c r="V638" t="n">
        <x:v>3</x:v>
      </x:c>
      <x:c r="W638" t="n">
        <x:v>30</x:v>
      </x:c>
      <x:c r="X638" t="str">
        <x:v>VALUE: [[3d4]] PA 3 PA 30 PC</x:v>
      </x:c>
    </x:row>
    <x:row r="639">
      <x:c r="P639" t="str">
        <x:v>7|Géant|Rare</x:v>
      </x:c>
      <x:c r="Q639" t="n">
        <x:v>1800</x:v>
      </x:c>
      <x:c r="R639" t="str">
        <x:v>5d4</x:v>
      </x:c>
      <x:c r="S639" t="str">
        <x:v>PA</x:v>
      </x:c>
      <x:c r="T639" t="n">
        <x:v>0</x:v>
      </x:c>
      <x:c r="U639" t="n">
        <x:v>0</x:v>
      </x:c>
      <x:c r="V639" t="n">
        <x:v>5</x:v>
      </x:c>
      <x:c r="W639" t="n">
        <x:v>50</x:v>
      </x:c>
      <x:c r="X639" t="str">
        <x:v>VALUE: [[5d4]] PA 5 PA 50 PC</x:v>
      </x:c>
    </x:row>
    <x:row r="640">
      <x:c r="P640" t="str">
        <x:v>7|Géant|Précieuse</x:v>
      </x:c>
      <x:c r="Q640" t="n">
        <x:v>2880</x:v>
      </x:c>
      <x:c r="R640" t="str">
        <x:v>8d4</x:v>
      </x:c>
      <x:c r="S640" t="str">
        <x:v>PA</x:v>
      </x:c>
      <x:c r="T640" t="n">
        <x:v>0</x:v>
      </x:c>
      <x:c r="U640" t="n">
        <x:v>0</x:v>
      </x:c>
      <x:c r="V640" t="n">
        <x:v>8</x:v>
      </x:c>
      <x:c r="W640" t="n">
        <x:v>80</x:v>
      </x:c>
      <x:c r="X640" t="str">
        <x:v>VALUE: [[8d4]] PA 8 PA 80 PC</x:v>
      </x:c>
    </x:row>
    <x:row r="641">
      <x:c r="P641" t="str">
        <x:v>7|Géant|Exceptionnelle</x:v>
      </x:c>
      <x:c r="Q641" t="n">
        <x:v>5040</x:v>
      </x:c>
      <x:c r="R641" t="str">
        <x:v>10d6</x:v>
      </x:c>
      <x:c r="S641" t="str">
        <x:v>PA</x:v>
      </x:c>
      <x:c r="T641" t="n">
        <x:v>0</x:v>
      </x:c>
      <x:c r="U641" t="n">
        <x:v>0</x:v>
      </x:c>
      <x:c r="V641" t="n">
        <x:v>15</x:v>
      </x:c>
      <x:c r="W641" t="n">
        <x:v>40</x:v>
      </x:c>
      <x:c r="X641" t="str">
        <x:v>VALUE: [[10d6]] PA 15 PA 40 PC</x:v>
      </x:c>
    </x:row>
    <x:row r="642">
      <x:c r="P642" t="str">
        <x:v>7|Aberration|Commune</x:v>
      </x:c>
      <x:c r="Q642" t="n">
        <x:v>900</x:v>
      </x:c>
      <x:c r="R642" t="str">
        <x:v>1d12</x:v>
      </x:c>
      <x:c r="S642" t="str">
        <x:v>PA</x:v>
      </x:c>
      <x:c r="T642" t="n">
        <x:v>0</x:v>
      </x:c>
      <x:c r="U642" t="n">
        <x:v>0</x:v>
      </x:c>
      <x:c r="V642" t="n">
        <x:v>2</x:v>
      </x:c>
      <x:c r="W642" t="n">
        <x:v>50</x:v>
      </x:c>
      <x:c r="X642" t="str">
        <x:v>VALUE: [[1d12]] PA 2 PA 50 PC</x:v>
      </x:c>
    </x:row>
    <x:row r="643">
      <x:c r="P643" t="str">
        <x:v>7|Aberration|Peu commune</x:v>
      </x:c>
      <x:c r="Q643" t="n">
        <x:v>1350</x:v>
      </x:c>
      <x:c r="R643" t="str">
        <x:v>2d8</x:v>
      </x:c>
      <x:c r="S643" t="str">
        <x:v>PA</x:v>
      </x:c>
      <x:c r="T643" t="n">
        <x:v>0</x:v>
      </x:c>
      <x:c r="U643" t="n">
        <x:v>0</x:v>
      </x:c>
      <x:c r="V643" t="n">
        <x:v>4</x:v>
      </x:c>
      <x:c r="W643" t="n">
        <x:v>50</x:v>
      </x:c>
      <x:c r="X643" t="str">
        <x:v>VALUE: [[2d8]] PA 4 PA 50 PC</x:v>
      </x:c>
    </x:row>
    <x:row r="644">
      <x:c r="P644" t="str">
        <x:v>7|Aberration|Rare</x:v>
      </x:c>
      <x:c r="Q644" t="n">
        <x:v>2250</x:v>
      </x:c>
      <x:c r="R644" t="str">
        <x:v>3d10</x:v>
      </x:c>
      <x:c r="S644" t="str">
        <x:v>PA</x:v>
      </x:c>
      <x:c r="T644" t="n">
        <x:v>0</x:v>
      </x:c>
      <x:c r="U644" t="n">
        <x:v>0</x:v>
      </x:c>
      <x:c r="V644" t="n">
        <x:v>6</x:v>
      </x:c>
      <x:c r="W644" t="n">
        <x:v>0</x:v>
      </x:c>
      <x:c r="X644" t="str">
        <x:v>VALUE: [[3d10]] PA 6 PA</x:v>
      </x:c>
    </x:row>
    <x:row r="645">
      <x:c r="P645" t="str">
        <x:v>7|Aberration|Précieuse</x:v>
      </x:c>
      <x:c r="Q645" t="n">
        <x:v>3600</x:v>
      </x:c>
      <x:c r="R645" t="str">
        <x:v>10d4</x:v>
      </x:c>
      <x:c r="S645" t="str">
        <x:v>PA</x:v>
      </x:c>
      <x:c r="T645" t="n">
        <x:v>0</x:v>
      </x:c>
      <x:c r="U645" t="n">
        <x:v>0</x:v>
      </x:c>
      <x:c r="V645" t="n">
        <x:v>11</x:v>
      </x:c>
      <x:c r="W645" t="n">
        <x:v>0</x:v>
      </x:c>
      <x:c r="X645" t="str">
        <x:v>VALUE: [[10d4]] PA 11 PA</x:v>
      </x:c>
    </x:row>
    <x:row r="646">
      <x:c r="P646" t="str">
        <x:v>7|Aberration|Exceptionnelle</x:v>
      </x:c>
      <x:c r="Q646" t="n">
        <x:v>6300</x:v>
      </x:c>
      <x:c r="R646" t="str">
        <x:v>8d10</x:v>
      </x:c>
      <x:c r="S646" t="str">
        <x:v>PA</x:v>
      </x:c>
      <x:c r="T646" t="n">
        <x:v>0</x:v>
      </x:c>
      <x:c r="U646" t="n">
        <x:v>0</x:v>
      </x:c>
      <x:c r="V646" t="n">
        <x:v>19</x:v>
      </x:c>
      <x:c r="W646" t="n">
        <x:v>0</x:v>
      </x:c>
      <x:c r="X646" t="str">
        <x:v>VALUE: [[8d10]] PA 19 PA</x:v>
      </x:c>
    </x:row>
    <x:row r="647">
      <x:c r="P647" t="str">
        <x:v>7|Fée|Commune</x:v>
      </x:c>
      <x:c r="Q647" t="n">
        <x:v>1080</x:v>
      </x:c>
      <x:c r="R647" t="str">
        <x:v>3d4</x:v>
      </x:c>
      <x:c r="S647" t="str">
        <x:v>PA</x:v>
      </x:c>
      <x:c r="T647" t="n">
        <x:v>0</x:v>
      </x:c>
      <x:c r="U647" t="n">
        <x:v>0</x:v>
      </x:c>
      <x:c r="V647" t="n">
        <x:v>3</x:v>
      </x:c>
      <x:c r="W647" t="n">
        <x:v>30</x:v>
      </x:c>
      <x:c r="X647" t="str">
        <x:v>VALUE: [[3d4]] PA 3 PA 30 PC</x:v>
      </x:c>
    </x:row>
    <x:row r="648">
      <x:c r="P648" t="str">
        <x:v>7|Fée|Peu commune</x:v>
      </x:c>
      <x:c r="Q648" t="n">
        <x:v>1620</x:v>
      </x:c>
      <x:c r="R648" t="str">
        <x:v>2d10</x:v>
      </x:c>
      <x:c r="S648" t="str">
        <x:v>PA</x:v>
      </x:c>
      <x:c r="T648" t="n">
        <x:v>0</x:v>
      </x:c>
      <x:c r="U648" t="n">
        <x:v>0</x:v>
      </x:c>
      <x:c r="V648" t="n">
        <x:v>5</x:v>
      </x:c>
      <x:c r="W648" t="n">
        <x:v>20</x:v>
      </x:c>
      <x:c r="X648" t="str">
        <x:v>VALUE: [[2d10]] PA 5 PA 20 PC</x:v>
      </x:c>
    </x:row>
    <x:row r="649">
      <x:c r="P649" t="str">
        <x:v>7|Fée|Rare</x:v>
      </x:c>
      <x:c r="Q649" t="n">
        <x:v>2700</x:v>
      </x:c>
      <x:c r="R649" t="str">
        <x:v>3d12</x:v>
      </x:c>
      <x:c r="S649" t="str">
        <x:v>PA</x:v>
      </x:c>
      <x:c r="T649" t="n">
        <x:v>0</x:v>
      </x:c>
      <x:c r="U649" t="n">
        <x:v>0</x:v>
      </x:c>
      <x:c r="V649" t="n">
        <x:v>7</x:v>
      </x:c>
      <x:c r="W649" t="n">
        <x:v>50</x:v>
      </x:c>
      <x:c r="X649" t="str">
        <x:v>VALUE: [[3d12]] PA 7 PA 50 PC</x:v>
      </x:c>
    </x:row>
    <x:row r="650">
      <x:c r="P650" t="str">
        <x:v>7|Fée|Précieuse</x:v>
      </x:c>
      <x:c r="Q650" t="n">
        <x:v>4320</x:v>
      </x:c>
      <x:c r="R650" t="str">
        <x:v>3d20</x:v>
      </x:c>
      <x:c r="S650" t="str">
        <x:v>PA</x:v>
      </x:c>
      <x:c r="T650" t="n">
        <x:v>0</x:v>
      </x:c>
      <x:c r="U650" t="n">
        <x:v>0</x:v>
      </x:c>
      <x:c r="V650" t="n">
        <x:v>11</x:v>
      </x:c>
      <x:c r="W650" t="n">
        <x:v>70</x:v>
      </x:c>
      <x:c r="X650" t="str">
        <x:v>VALUE: [[3d20]] PA 11 PA 70 PC</x:v>
      </x:c>
    </x:row>
    <x:row r="651">
      <x:c r="P651" t="str">
        <x:v>7|Fée|Exceptionnelle</x:v>
      </x:c>
      <x:c r="Q651" t="n">
        <x:v>7560</x:v>
      </x:c>
      <x:c r="R651" t="str">
        <x:v>5d20</x:v>
      </x:c>
      <x:c r="S651" t="str">
        <x:v>PA</x:v>
      </x:c>
      <x:c r="T651" t="n">
        <x:v>0</x:v>
      </x:c>
      <x:c r="U651" t="n">
        <x:v>0</x:v>
      </x:c>
      <x:c r="V651" t="n">
        <x:v>23</x:v>
      </x:c>
      <x:c r="W651" t="n">
        <x:v>10</x:v>
      </x:c>
      <x:c r="X651" t="str">
        <x:v>VALUE: [[5d20]] PA 23 PA 10 PC</x:v>
      </x:c>
    </x:row>
    <x:row r="652">
      <x:c r="P652" t="str">
        <x:v>7|Démon|Commune</x:v>
      </x:c>
      <x:c r="Q652" t="n">
        <x:v>1200</x:v>
      </x:c>
      <x:c r="R652" t="str">
        <x:v>2d8</x:v>
      </x:c>
      <x:c r="S652" t="str">
        <x:v>PA</x:v>
      </x:c>
      <x:c r="T652" t="n">
        <x:v>0</x:v>
      </x:c>
      <x:c r="U652" t="n">
        <x:v>0</x:v>
      </x:c>
      <x:c r="V652" t="n">
        <x:v>3</x:v>
      </x:c>
      <x:c r="W652" t="n">
        <x:v>0</x:v>
      </x:c>
      <x:c r="X652" t="str">
        <x:v>VALUE: [[2d8]] PA 3 PA</x:v>
      </x:c>
    </x:row>
    <x:row r="653">
      <x:c r="P653" t="str">
        <x:v>7|Démon|Peu commune</x:v>
      </x:c>
      <x:c r="Q653" t="n">
        <x:v>1800</x:v>
      </x:c>
      <x:c r="R653" t="str">
        <x:v>5d4</x:v>
      </x:c>
      <x:c r="S653" t="str">
        <x:v>PA</x:v>
      </x:c>
      <x:c r="T653" t="n">
        <x:v>0</x:v>
      </x:c>
      <x:c r="U653" t="n">
        <x:v>0</x:v>
      </x:c>
      <x:c r="V653" t="n">
        <x:v>5</x:v>
      </x:c>
      <x:c r="W653" t="n">
        <x:v>50</x:v>
      </x:c>
      <x:c r="X653" t="str">
        <x:v>VALUE: [[5d4]] PA 5 PA 50 PC</x:v>
      </x:c>
    </x:row>
    <x:row r="654">
      <x:c r="P654" t="str">
        <x:v>7|Démon|Rare</x:v>
      </x:c>
      <x:c r="Q654" t="n">
        <x:v>3000</x:v>
      </x:c>
      <x:c r="R654" t="str">
        <x:v>2d20</x:v>
      </x:c>
      <x:c r="S654" t="str">
        <x:v>PA</x:v>
      </x:c>
      <x:c r="T654" t="n">
        <x:v>0</x:v>
      </x:c>
      <x:c r="U654" t="n">
        <x:v>0</x:v>
      </x:c>
      <x:c r="V654" t="n">
        <x:v>9</x:v>
      </x:c>
      <x:c r="W654" t="n">
        <x:v>0</x:v>
      </x:c>
      <x:c r="X654" t="str">
        <x:v>VALUE: [[2d20]] PA 9 PA</x:v>
      </x:c>
    </x:row>
    <x:row r="655">
      <x:c r="P655" t="str">
        <x:v>7|Démon|Précieuse</x:v>
      </x:c>
      <x:c r="Q655" t="n">
        <x:v>4800</x:v>
      </x:c>
      <x:c r="R655" t="str">
        <x:v>6d10</x:v>
      </x:c>
      <x:c r="S655" t="str">
        <x:v>PA</x:v>
      </x:c>
      <x:c r="T655" t="n">
        <x:v>0</x:v>
      </x:c>
      <x:c r="U655" t="n">
        <x:v>0</x:v>
      </x:c>
      <x:c r="V655" t="n">
        <x:v>15</x:v>
      </x:c>
      <x:c r="W655" t="n">
        <x:v>0</x:v>
      </x:c>
      <x:c r="X655" t="str">
        <x:v>VALUE: [[6d10]] PA 15 PA</x:v>
      </x:c>
    </x:row>
    <x:row r="656">
      <x:c r="P656" t="str">
        <x:v>7|Démon|Exceptionnelle</x:v>
      </x:c>
      <x:c r="Q656" t="n">
        <x:v>8400</x:v>
      </x:c>
      <x:c r="R656" t="str">
        <x:v>9d12</x:v>
      </x:c>
      <x:c r="S656" t="str">
        <x:v>PA</x:v>
      </x:c>
      <x:c r="T656" t="n">
        <x:v>0</x:v>
      </x:c>
      <x:c r="U656" t="n">
        <x:v>0</x:v>
      </x:c>
      <x:c r="V656" t="n">
        <x:v>25</x:v>
      </x:c>
      <x:c r="W656" t="n">
        <x:v>50</x:v>
      </x:c>
      <x:c r="X656" t="str">
        <x:v>VALUE: [[9d12]] PA 25 PA 50 PC</x:v>
      </x:c>
    </x:row>
    <x:row r="657">
      <x:c r="P657" t="str">
        <x:v>7|Artificiel|Commune</x:v>
      </x:c>
      <x:c r="Q657" t="n">
        <x:v>1200</x:v>
      </x:c>
      <x:c r="R657" t="str">
        <x:v>2d8</x:v>
      </x:c>
      <x:c r="S657" t="str">
        <x:v>PA</x:v>
      </x:c>
      <x:c r="T657" t="n">
        <x:v>0</x:v>
      </x:c>
      <x:c r="U657" t="n">
        <x:v>0</x:v>
      </x:c>
      <x:c r="V657" t="n">
        <x:v>3</x:v>
      </x:c>
      <x:c r="W657" t="n">
        <x:v>0</x:v>
      </x:c>
      <x:c r="X657" t="str">
        <x:v>VALUE: [[2d8]] PA 3 PA</x:v>
      </x:c>
    </x:row>
    <x:row r="658">
      <x:c r="P658" t="str">
        <x:v>7|Artificiel|Peu commune</x:v>
      </x:c>
      <x:c r="Q658" t="n">
        <x:v>1800</x:v>
      </x:c>
      <x:c r="R658" t="str">
        <x:v>5d4</x:v>
      </x:c>
      <x:c r="S658" t="str">
        <x:v>PA</x:v>
      </x:c>
      <x:c r="T658" t="n">
        <x:v>0</x:v>
      </x:c>
      <x:c r="U658" t="n">
        <x:v>0</x:v>
      </x:c>
      <x:c r="V658" t="n">
        <x:v>5</x:v>
      </x:c>
      <x:c r="W658" t="n">
        <x:v>50</x:v>
      </x:c>
      <x:c r="X658" t="str">
        <x:v>VALUE: [[5d4]] PA 5 PA 50 PC</x:v>
      </x:c>
    </x:row>
    <x:row r="659">
      <x:c r="P659" t="str">
        <x:v>7|Artificiel|Rare</x:v>
      </x:c>
      <x:c r="Q659" t="n">
        <x:v>3000</x:v>
      </x:c>
      <x:c r="R659" t="str">
        <x:v>2d20</x:v>
      </x:c>
      <x:c r="S659" t="str">
        <x:v>PA</x:v>
      </x:c>
      <x:c r="T659" t="n">
        <x:v>0</x:v>
      </x:c>
      <x:c r="U659" t="n">
        <x:v>0</x:v>
      </x:c>
      <x:c r="V659" t="n">
        <x:v>9</x:v>
      </x:c>
      <x:c r="W659" t="n">
        <x:v>0</x:v>
      </x:c>
      <x:c r="X659" t="str">
        <x:v>VALUE: [[2d20]] PA 9 PA</x:v>
      </x:c>
    </x:row>
    <x:row r="660">
      <x:c r="P660" t="str">
        <x:v>7|Artificiel|Précieuse</x:v>
      </x:c>
      <x:c r="Q660" t="n">
        <x:v>4800</x:v>
      </x:c>
      <x:c r="R660" t="str">
        <x:v>6d10</x:v>
      </x:c>
      <x:c r="S660" t="str">
        <x:v>PA</x:v>
      </x:c>
      <x:c r="T660" t="n">
        <x:v>0</x:v>
      </x:c>
      <x:c r="U660" t="n">
        <x:v>0</x:v>
      </x:c>
      <x:c r="V660" t="n">
        <x:v>15</x:v>
      </x:c>
      <x:c r="W660" t="n">
        <x:v>0</x:v>
      </x:c>
      <x:c r="X660" t="str">
        <x:v>VALUE: [[6d10]] PA 15 PA</x:v>
      </x:c>
    </x:row>
    <x:row r="661">
      <x:c r="P661" t="str">
        <x:v>7|Artificiel|Exceptionnelle</x:v>
      </x:c>
      <x:c r="Q661" t="n">
        <x:v>8400</x:v>
      </x:c>
      <x:c r="R661" t="str">
        <x:v>9d12</x:v>
      </x:c>
      <x:c r="S661" t="str">
        <x:v>PA</x:v>
      </x:c>
      <x:c r="T661" t="n">
        <x:v>0</x:v>
      </x:c>
      <x:c r="U661" t="n">
        <x:v>0</x:v>
      </x:c>
      <x:c r="V661" t="n">
        <x:v>25</x:v>
      </x:c>
      <x:c r="W661" t="n">
        <x:v>50</x:v>
      </x:c>
      <x:c r="X661" t="str">
        <x:v>VALUE: [[9d12]] PA 25 PA 50 PC</x:v>
      </x:c>
    </x:row>
    <x:row r="662">
      <x:c r="P662" t="str">
        <x:v>7|Élémentaire|Commune</x:v>
      </x:c>
      <x:c r="Q662" t="n">
        <x:v>1500</x:v>
      </x:c>
      <x:c r="R662" t="str">
        <x:v>1d20</x:v>
      </x:c>
      <x:c r="S662" t="str">
        <x:v>PA</x:v>
      </x:c>
      <x:c r="T662" t="n">
        <x:v>0</x:v>
      </x:c>
      <x:c r="U662" t="n">
        <x:v>0</x:v>
      </x:c>
      <x:c r="V662" t="n">
        <x:v>4</x:v>
      </x:c>
      <x:c r="W662" t="n">
        <x:v>50</x:v>
      </x:c>
      <x:c r="X662" t="str">
        <x:v>VALUE: [[1d20]] PA 4 PA 50 PC</x:v>
      </x:c>
    </x:row>
    <x:row r="663">
      <x:c r="P663" t="str">
        <x:v>7|Élémentaire|Peu commune</x:v>
      </x:c>
      <x:c r="Q663" t="n">
        <x:v>2250</x:v>
      </x:c>
      <x:c r="R663" t="str">
        <x:v>3d10</x:v>
      </x:c>
      <x:c r="S663" t="str">
        <x:v>PA</x:v>
      </x:c>
      <x:c r="T663" t="n">
        <x:v>0</x:v>
      </x:c>
      <x:c r="U663" t="n">
        <x:v>0</x:v>
      </x:c>
      <x:c r="V663" t="n">
        <x:v>6</x:v>
      </x:c>
      <x:c r="W663" t="n">
        <x:v>0</x:v>
      </x:c>
      <x:c r="X663" t="str">
        <x:v>VALUE: [[3d10]] PA 6 PA</x:v>
      </x:c>
    </x:row>
    <x:row r="664">
      <x:c r="P664" t="str">
        <x:v>7|Élémentaire|Rare</x:v>
      </x:c>
      <x:c r="Q664" t="n">
        <x:v>3750</x:v>
      </x:c>
      <x:c r="R664" t="str">
        <x:v>4d12</x:v>
      </x:c>
      <x:c r="S664" t="str">
        <x:v>PA</x:v>
      </x:c>
      <x:c r="T664" t="n">
        <x:v>0</x:v>
      </x:c>
      <x:c r="U664" t="n">
        <x:v>0</x:v>
      </x:c>
      <x:c r="V664" t="n">
        <x:v>11</x:v>
      </x:c>
      <x:c r="W664" t="n">
        <x:v>50</x:v>
      </x:c>
      <x:c r="X664" t="str">
        <x:v>VALUE: [[4d12]] PA 11 PA 50 PC</x:v>
      </x:c>
    </x:row>
    <x:row r="665">
      <x:c r="P665" t="str">
        <x:v>7|Élémentaire|Précieuse</x:v>
      </x:c>
      <x:c r="Q665" t="n">
        <x:v>6000</x:v>
      </x:c>
      <x:c r="R665" t="str">
        <x:v>4d20</x:v>
      </x:c>
      <x:c r="S665" t="str">
        <x:v>PA</x:v>
      </x:c>
      <x:c r="T665" t="n">
        <x:v>0</x:v>
      </x:c>
      <x:c r="U665" t="n">
        <x:v>0</x:v>
      </x:c>
      <x:c r="V665" t="n">
        <x:v>18</x:v>
      </x:c>
      <x:c r="W665" t="n">
        <x:v>0</x:v>
      </x:c>
      <x:c r="X665" t="str">
        <x:v>VALUE: [[4d20]] PA 18 PA</x:v>
      </x:c>
    </x:row>
    <x:row r="666">
      <x:c r="P666" t="str">
        <x:v>7|Élémentaire|Exceptionnelle</x:v>
      </x:c>
      <x:c r="Q666" t="n">
        <x:v>10500</x:v>
      </x:c>
      <x:c r="R666" t="str">
        <x:v>7d20</x:v>
      </x:c>
      <x:c r="S666" t="str">
        <x:v>PA</x:v>
      </x:c>
      <x:c r="T666" t="n">
        <x:v>0</x:v>
      </x:c>
      <x:c r="U666" t="n">
        <x:v>0</x:v>
      </x:c>
      <x:c r="V666" t="n">
        <x:v>31</x:v>
      </x:c>
      <x:c r="W666" t="n">
        <x:v>50</x:v>
      </x:c>
      <x:c r="X666" t="str">
        <x:v>VALUE: [[7d20]] PA 31 PA 50 PC</x:v>
      </x:c>
    </x:row>
    <x:row r="667">
      <x:c r="P667" t="str">
        <x:v>7|Esprit|Commune</x:v>
      </x:c>
      <x:c r="Q667" t="n">
        <x:v>1500</x:v>
      </x:c>
      <x:c r="R667" t="str">
        <x:v>1d20</x:v>
      </x:c>
      <x:c r="S667" t="str">
        <x:v>PA</x:v>
      </x:c>
      <x:c r="T667" t="n">
        <x:v>0</x:v>
      </x:c>
      <x:c r="U667" t="n">
        <x:v>0</x:v>
      </x:c>
      <x:c r="V667" t="n">
        <x:v>4</x:v>
      </x:c>
      <x:c r="W667" t="n">
        <x:v>50</x:v>
      </x:c>
      <x:c r="X667" t="str">
        <x:v>VALUE: [[1d20]] PA 4 PA 50 PC</x:v>
      </x:c>
    </x:row>
    <x:row r="668">
      <x:c r="P668" t="str">
        <x:v>7|Esprit|Peu commune</x:v>
      </x:c>
      <x:c r="Q668" t="n">
        <x:v>2250</x:v>
      </x:c>
      <x:c r="R668" t="str">
        <x:v>3d10</x:v>
      </x:c>
      <x:c r="S668" t="str">
        <x:v>PA</x:v>
      </x:c>
      <x:c r="T668" t="n">
        <x:v>0</x:v>
      </x:c>
      <x:c r="U668" t="n">
        <x:v>0</x:v>
      </x:c>
      <x:c r="V668" t="n">
        <x:v>6</x:v>
      </x:c>
      <x:c r="W668" t="n">
        <x:v>0</x:v>
      </x:c>
      <x:c r="X668" t="str">
        <x:v>VALUE: [[3d10]] PA 6 PA</x:v>
      </x:c>
    </x:row>
    <x:row r="669">
      <x:c r="P669" t="str">
        <x:v>7|Esprit|Rare</x:v>
      </x:c>
      <x:c r="Q669" t="n">
        <x:v>3750</x:v>
      </x:c>
      <x:c r="R669" t="str">
        <x:v>4d12</x:v>
      </x:c>
      <x:c r="S669" t="str">
        <x:v>PA</x:v>
      </x:c>
      <x:c r="T669" t="n">
        <x:v>0</x:v>
      </x:c>
      <x:c r="U669" t="n">
        <x:v>0</x:v>
      </x:c>
      <x:c r="V669" t="n">
        <x:v>11</x:v>
      </x:c>
      <x:c r="W669" t="n">
        <x:v>50</x:v>
      </x:c>
      <x:c r="X669" t="str">
        <x:v>VALUE: [[4d12]] PA 11 PA 50 PC</x:v>
      </x:c>
    </x:row>
    <x:row r="670">
      <x:c r="P670" t="str">
        <x:v>7|Esprit|Précieuse</x:v>
      </x:c>
      <x:c r="Q670" t="n">
        <x:v>6000</x:v>
      </x:c>
      <x:c r="R670" t="str">
        <x:v>4d20</x:v>
      </x:c>
      <x:c r="S670" t="str">
        <x:v>PA</x:v>
      </x:c>
      <x:c r="T670" t="n">
        <x:v>0</x:v>
      </x:c>
      <x:c r="U670" t="n">
        <x:v>0</x:v>
      </x:c>
      <x:c r="V670" t="n">
        <x:v>18</x:v>
      </x:c>
      <x:c r="W670" t="n">
        <x:v>0</x:v>
      </x:c>
      <x:c r="X670" t="str">
        <x:v>VALUE: [[4d20]] PA 18 PA</x:v>
      </x:c>
    </x:row>
    <x:row r="671">
      <x:c r="P671" t="str">
        <x:v>7|Esprit|Exceptionnelle</x:v>
      </x:c>
      <x:c r="Q671" t="n">
        <x:v>10500</x:v>
      </x:c>
      <x:c r="R671" t="str">
        <x:v>7d20</x:v>
      </x:c>
      <x:c r="S671" t="str">
        <x:v>PA</x:v>
      </x:c>
      <x:c r="T671" t="n">
        <x:v>0</x:v>
      </x:c>
      <x:c r="U671" t="n">
        <x:v>0</x:v>
      </x:c>
      <x:c r="V671" t="n">
        <x:v>31</x:v>
      </x:c>
      <x:c r="W671" t="n">
        <x:v>50</x:v>
      </x:c>
      <x:c r="X671" t="str">
        <x:v>VALUE: [[7d20]] PA 31 PA 50 PC</x:v>
      </x:c>
    </x:row>
    <x:row r="672">
      <x:c r="P672" t="str">
        <x:v>7|Céleste|Commune</x:v>
      </x:c>
      <x:c r="Q672" t="n">
        <x:v>1800</x:v>
      </x:c>
      <x:c r="R672" t="str">
        <x:v>5d4</x:v>
      </x:c>
      <x:c r="S672" t="str">
        <x:v>PA</x:v>
      </x:c>
      <x:c r="T672" t="n">
        <x:v>0</x:v>
      </x:c>
      <x:c r="U672" t="n">
        <x:v>0</x:v>
      </x:c>
      <x:c r="V672" t="n">
        <x:v>5</x:v>
      </x:c>
      <x:c r="W672" t="n">
        <x:v>50</x:v>
      </x:c>
      <x:c r="X672" t="str">
        <x:v>VALUE: [[5d4]] PA 5 PA 50 PC</x:v>
      </x:c>
    </x:row>
    <x:row r="673">
      <x:c r="P673" t="str">
        <x:v>7|Céleste|Peu commune</x:v>
      </x:c>
      <x:c r="Q673" t="n">
        <x:v>2700</x:v>
      </x:c>
      <x:c r="R673" t="str">
        <x:v>3d12</x:v>
      </x:c>
      <x:c r="S673" t="str">
        <x:v>PA</x:v>
      </x:c>
      <x:c r="T673" t="n">
        <x:v>0</x:v>
      </x:c>
      <x:c r="U673" t="n">
        <x:v>0</x:v>
      </x:c>
      <x:c r="V673" t="n">
        <x:v>7</x:v>
      </x:c>
      <x:c r="W673" t="n">
        <x:v>50</x:v>
      </x:c>
      <x:c r="X673" t="str">
        <x:v>VALUE: [[3d12]] PA 7 PA 50 PC</x:v>
      </x:c>
    </x:row>
    <x:row r="674">
      <x:c r="P674" t="str">
        <x:v>7|Céleste|Rare</x:v>
      </x:c>
      <x:c r="Q674" t="n">
        <x:v>4500</x:v>
      </x:c>
      <x:c r="R674" t="str">
        <x:v>3d20</x:v>
      </x:c>
      <x:c r="S674" t="str">
        <x:v>PA</x:v>
      </x:c>
      <x:c r="T674" t="n">
        <x:v>0</x:v>
      </x:c>
      <x:c r="U674" t="n">
        <x:v>0</x:v>
      </x:c>
      <x:c r="V674" t="n">
        <x:v>13</x:v>
      </x:c>
      <x:c r="W674" t="n">
        <x:v>50</x:v>
      </x:c>
      <x:c r="X674" t="str">
        <x:v>VALUE: [[3d20]] PA 13 PA 50 PC</x:v>
      </x:c>
    </x:row>
    <x:row r="675">
      <x:c r="P675" t="str">
        <x:v>7|Céleste|Précieuse</x:v>
      </x:c>
      <x:c r="Q675" t="n">
        <x:v>7200</x:v>
      </x:c>
      <x:c r="R675" t="str">
        <x:v>9d10</x:v>
      </x:c>
      <x:c r="S675" t="str">
        <x:v>PA</x:v>
      </x:c>
      <x:c r="T675" t="n">
        <x:v>0</x:v>
      </x:c>
      <x:c r="U675" t="n">
        <x:v>0</x:v>
      </x:c>
      <x:c r="V675" t="n">
        <x:v>22</x:v>
      </x:c>
      <x:c r="W675" t="n">
        <x:v>50</x:v>
      </x:c>
      <x:c r="X675" t="str">
        <x:v>VALUE: [[9d10]] PA 22 PA 50 PC</x:v>
      </x:c>
    </x:row>
    <x:row r="676">
      <x:c r="P676" t="str">
        <x:v>7|Céleste|Exceptionnelle</x:v>
      </x:c>
      <x:c r="Q676" t="n">
        <x:v>12600</x:v>
      </x:c>
      <x:c r="R676" t="str">
        <x:v>8d20</x:v>
      </x:c>
      <x:c r="S676" t="str">
        <x:v>PA</x:v>
      </x:c>
      <x:c r="T676" t="n">
        <x:v>0</x:v>
      </x:c>
      <x:c r="U676" t="n">
        <x:v>0</x:v>
      </x:c>
      <x:c r="V676" t="n">
        <x:v>42</x:v>
      </x:c>
      <x:c r="W676" t="n">
        <x:v>0</x:v>
      </x:c>
      <x:c r="X676" t="str">
        <x:v>VALUE: [[8d20]] PA 42 PA</x:v>
      </x:c>
    </x:row>
    <x:row r="677">
      <x:c r="P677" t="str">
        <x:v>7|Dragon|Commune</x:v>
      </x:c>
      <x:c r="Q677" t="n">
        <x:v>3000</x:v>
      </x:c>
      <x:c r="R677" t="str">
        <x:v>2d20</x:v>
      </x:c>
      <x:c r="S677" t="str">
        <x:v>PA</x:v>
      </x:c>
      <x:c r="T677" t="n">
        <x:v>0</x:v>
      </x:c>
      <x:c r="U677" t="n">
        <x:v>0</x:v>
      </x:c>
      <x:c r="V677" t="n">
        <x:v>9</x:v>
      </x:c>
      <x:c r="W677" t="n">
        <x:v>0</x:v>
      </x:c>
      <x:c r="X677" t="str">
        <x:v>VALUE: [[2d20]] PA 9 PA</x:v>
      </x:c>
    </x:row>
    <x:row r="678">
      <x:c r="P678" t="str">
        <x:v>7|Dragon|Peu commune</x:v>
      </x:c>
      <x:c r="Q678" t="n">
        <x:v>4500</x:v>
      </x:c>
      <x:c r="R678" t="str">
        <x:v>3d20</x:v>
      </x:c>
      <x:c r="S678" t="str">
        <x:v>PA</x:v>
      </x:c>
      <x:c r="T678" t="n">
        <x:v>0</x:v>
      </x:c>
      <x:c r="U678" t="n">
        <x:v>0</x:v>
      </x:c>
      <x:c r="V678" t="n">
        <x:v>13</x:v>
      </x:c>
      <x:c r="W678" t="n">
        <x:v>50</x:v>
      </x:c>
      <x:c r="X678" t="str">
        <x:v>VALUE: [[3d20]] PA 13 PA 50 PC</x:v>
      </x:c>
    </x:row>
    <x:row r="679">
      <x:c r="P679" t="str">
        <x:v>7|Dragon|Rare</x:v>
      </x:c>
      <x:c r="Q679" t="n">
        <x:v>7500</x:v>
      </x:c>
      <x:c r="R679" t="str">
        <x:v>5d20</x:v>
      </x:c>
      <x:c r="S679" t="str">
        <x:v>PA</x:v>
      </x:c>
      <x:c r="T679" t="n">
        <x:v>0</x:v>
      </x:c>
      <x:c r="U679" t="n">
        <x:v>0</x:v>
      </x:c>
      <x:c r="V679" t="n">
        <x:v>22</x:v>
      </x:c>
      <x:c r="W679" t="n">
        <x:v>50</x:v>
      </x:c>
      <x:c r="X679" t="str">
        <x:v>VALUE: [[5d20]] PA 22 PA 50 PC</x:v>
      </x:c>
    </x:row>
    <x:row r="680">
      <x:c r="P680" t="str">
        <x:v>7|Dragon|Précieuse</x:v>
      </x:c>
      <x:c r="Q680" t="n">
        <x:v>12000</x:v>
      </x:c>
      <x:c r="R680" t="str">
        <x:v>8d20</x:v>
      </x:c>
      <x:c r="S680" t="str">
        <x:v>PA</x:v>
      </x:c>
      <x:c r="T680" t="n">
        <x:v>0</x:v>
      </x:c>
      <x:c r="U680" t="n">
        <x:v>0</x:v>
      </x:c>
      <x:c r="V680" t="n">
        <x:v>36</x:v>
      </x:c>
      <x:c r="W680" t="n">
        <x:v>0</x:v>
      </x:c>
      <x:c r="X680" t="str">
        <x:v>VALUE: [[8d20]] PA 36 PA</x:v>
      </x:c>
    </x:row>
    <x:row r="681">
      <x:c r="P681" t="str">
        <x:v>7|Dragon|Exceptionnelle</x:v>
      </x:c>
      <x:c r="Q681" t="n">
        <x:v>21000</x:v>
      </x:c>
      <x:c r="R681" t="str">
        <x:v>10d20</x:v>
      </x:c>
      <x:c r="S681" t="str">
        <x:v>PA</x:v>
      </x:c>
      <x:c r="T681" t="n">
        <x:v>0</x:v>
      </x:c>
      <x:c r="U681" t="n">
        <x:v>1</x:v>
      </x:c>
      <x:c r="V681" t="n">
        <x:v>5</x:v>
      </x:c>
      <x:c r="W681" t="n">
        <x:v>0</x:v>
      </x:c>
      <x:c r="X681" t="str">
        <x:v>VALUE: [[10d20]] PA 1 PO 5 PA</x:v>
      </x:c>
    </x:row>
    <x:row r="682">
      <x:c r="P682" t="str">
        <x:v>8|Vermine|Commune</x:v>
      </x:c>
      <x:c r="Q682" t="n">
        <x:v>350</x:v>
      </x:c>
      <x:c r="R682" t="str">
        <x:v>1d4</x:v>
      </x:c>
      <x:c r="S682" t="str">
        <x:v>PA</x:v>
      </x:c>
      <x:c r="T682" t="n">
        <x:v>0</x:v>
      </x:c>
      <x:c r="U682" t="n">
        <x:v>0</x:v>
      </x:c>
      <x:c r="V682" t="n">
        <x:v>1</x:v>
      </x:c>
      <x:c r="W682" t="n">
        <x:v>0</x:v>
      </x:c>
      <x:c r="X682" t="str">
        <x:v>VALUE: [[1d4]] PA 1 PA</x:v>
      </x:c>
    </x:row>
    <x:row r="683">
      <x:c r="P683" t="str">
        <x:v>8|Vermine|Peu commune</x:v>
      </x:c>
      <x:c r="Q683" t="n">
        <x:v>525</x:v>
      </x:c>
      <x:c r="R683" t="str">
        <x:v>1d6</x:v>
      </x:c>
      <x:c r="S683" t="str">
        <x:v>PA</x:v>
      </x:c>
      <x:c r="T683" t="n">
        <x:v>0</x:v>
      </x:c>
      <x:c r="U683" t="n">
        <x:v>0</x:v>
      </x:c>
      <x:c r="V683" t="n">
        <x:v>1</x:v>
      </x:c>
      <x:c r="W683" t="n">
        <x:v>75</x:v>
      </x:c>
      <x:c r="X683" t="str">
        <x:v>VALUE: [[1d6]] PA 1 PA 75 PC</x:v>
      </x:c>
    </x:row>
    <x:row r="684">
      <x:c r="P684" t="str">
        <x:v>8|Vermine|Rare</x:v>
      </x:c>
      <x:c r="Q684" t="n">
        <x:v>875</x:v>
      </x:c>
      <x:c r="R684" t="str">
        <x:v>1d12</x:v>
      </x:c>
      <x:c r="S684" t="str">
        <x:v>PA</x:v>
      </x:c>
      <x:c r="T684" t="n">
        <x:v>0</x:v>
      </x:c>
      <x:c r="U684" t="n">
        <x:v>0</x:v>
      </x:c>
      <x:c r="V684" t="n">
        <x:v>2</x:v>
      </x:c>
      <x:c r="W684" t="n">
        <x:v>25</x:v>
      </x:c>
      <x:c r="X684" t="str">
        <x:v>VALUE: [[1d12]] PA 2 PA 25 PC</x:v>
      </x:c>
    </x:row>
    <x:row r="685">
      <x:c r="P685" t="str">
        <x:v>8|Vermine|Précieuse</x:v>
      </x:c>
      <x:c r="Q685" t="n">
        <x:v>1400</x:v>
      </x:c>
      <x:c r="R685" t="str">
        <x:v>4d4</x:v>
      </x:c>
      <x:c r="S685" t="str">
        <x:v>PA</x:v>
      </x:c>
      <x:c r="T685" t="n">
        <x:v>0</x:v>
      </x:c>
      <x:c r="U685" t="n">
        <x:v>0</x:v>
      </x:c>
      <x:c r="V685" t="n">
        <x:v>4</x:v>
      </x:c>
      <x:c r="W685" t="n">
        <x:v>0</x:v>
      </x:c>
      <x:c r="X685" t="str">
        <x:v>VALUE: [[4d4]] PA 4 PA</x:v>
      </x:c>
    </x:row>
    <x:row r="686">
      <x:c r="P686" t="str">
        <x:v>8|Vermine|Exceptionnelle</x:v>
      </x:c>
      <x:c r="Q686" t="n">
        <x:v>2450</x:v>
      </x:c>
      <x:c r="R686" t="str">
        <x:v>5d6</x:v>
      </x:c>
      <x:c r="S686" t="str">
        <x:v>PA</x:v>
      </x:c>
      <x:c r="T686" t="n">
        <x:v>0</x:v>
      </x:c>
      <x:c r="U686" t="n">
        <x:v>0</x:v>
      </x:c>
      <x:c r="V686" t="n">
        <x:v>7</x:v>
      </x:c>
      <x:c r="W686" t="n">
        <x:v>0</x:v>
      </x:c>
      <x:c r="X686" t="str">
        <x:v>VALUE: [[5d6]] PA 7 PA</x:v>
      </x:c>
    </x:row>
    <x:row r="687">
      <x:c r="P687" t="str">
        <x:v>8|Bête|Commune</x:v>
      </x:c>
      <x:c r="Q687" t="n">
        <x:v>600</x:v>
      </x:c>
      <x:c r="R687" t="str">
        <x:v>1d8</x:v>
      </x:c>
      <x:c r="S687" t="str">
        <x:v>PA</x:v>
      </x:c>
      <x:c r="T687" t="n">
        <x:v>0</x:v>
      </x:c>
      <x:c r="U687" t="n">
        <x:v>0</x:v>
      </x:c>
      <x:c r="V687" t="n">
        <x:v>1</x:v>
      </x:c>
      <x:c r="W687" t="n">
        <x:v>50</x:v>
      </x:c>
      <x:c r="X687" t="str">
        <x:v>VALUE: [[1d8]] PA 1 PA 50 PC</x:v>
      </x:c>
    </x:row>
    <x:row r="688">
      <x:c r="P688" t="str">
        <x:v>8|Bête|Peu commune</x:v>
      </x:c>
      <x:c r="Q688" t="n">
        <x:v>900</x:v>
      </x:c>
      <x:c r="R688" t="str">
        <x:v>1d12</x:v>
      </x:c>
      <x:c r="S688" t="str">
        <x:v>PA</x:v>
      </x:c>
      <x:c r="T688" t="n">
        <x:v>0</x:v>
      </x:c>
      <x:c r="U688" t="n">
        <x:v>0</x:v>
      </x:c>
      <x:c r="V688" t="n">
        <x:v>2</x:v>
      </x:c>
      <x:c r="W688" t="n">
        <x:v>50</x:v>
      </x:c>
      <x:c r="X688" t="str">
        <x:v>VALUE: [[1d12]] PA 2 PA 50 PC</x:v>
      </x:c>
    </x:row>
    <x:row r="689">
      <x:c r="P689" t="str">
        <x:v>8|Bête|Rare</x:v>
      </x:c>
      <x:c r="Q689" t="n">
        <x:v>1500</x:v>
      </x:c>
      <x:c r="R689" t="str">
        <x:v>1d20</x:v>
      </x:c>
      <x:c r="S689" t="str">
        <x:v>PA</x:v>
      </x:c>
      <x:c r="T689" t="n">
        <x:v>0</x:v>
      </x:c>
      <x:c r="U689" t="n">
        <x:v>0</x:v>
      </x:c>
      <x:c r="V689" t="n">
        <x:v>4</x:v>
      </x:c>
      <x:c r="W689" t="n">
        <x:v>50</x:v>
      </x:c>
      <x:c r="X689" t="str">
        <x:v>VALUE: [[1d20]] PA 4 PA 50 PC</x:v>
      </x:c>
    </x:row>
    <x:row r="690">
      <x:c r="P690" t="str">
        <x:v>8|Bête|Précieuse</x:v>
      </x:c>
      <x:c r="Q690" t="n">
        <x:v>2400</x:v>
      </x:c>
      <x:c r="R690" t="str">
        <x:v>3d10</x:v>
      </x:c>
      <x:c r="S690" t="str">
        <x:v>PA</x:v>
      </x:c>
      <x:c r="T690" t="n">
        <x:v>0</x:v>
      </x:c>
      <x:c r="U690" t="n">
        <x:v>0</x:v>
      </x:c>
      <x:c r="V690" t="n">
        <x:v>7</x:v>
      </x:c>
      <x:c r="W690" t="n">
        <x:v>50</x:v>
      </x:c>
      <x:c r="X690" t="str">
        <x:v>VALUE: [[3d10]] PA 7 PA 50 PC</x:v>
      </x:c>
    </x:row>
    <x:row r="691">
      <x:c r="P691" t="str">
        <x:v>8|Bête|Exceptionnelle</x:v>
      </x:c>
      <x:c r="Q691" t="n">
        <x:v>4200</x:v>
      </x:c>
      <x:c r="R691" t="str">
        <x:v>8d6</x:v>
      </x:c>
      <x:c r="S691" t="str">
        <x:v>PA</x:v>
      </x:c>
      <x:c r="T691" t="n">
        <x:v>0</x:v>
      </x:c>
      <x:c r="U691" t="n">
        <x:v>0</x:v>
      </x:c>
      <x:c r="V691" t="n">
        <x:v>14</x:v>
      </x:c>
      <x:c r="W691" t="n">
        <x:v>0</x:v>
      </x:c>
      <x:c r="X691" t="str">
        <x:v>VALUE: [[8d6]] PA 14 PA</x:v>
      </x:c>
    </x:row>
    <x:row r="692">
      <x:c r="P692" t="str">
        <x:v>8|Aquatique|Commune</x:v>
      </x:c>
      <x:c r="Q692" t="n">
        <x:v>700</x:v>
      </x:c>
      <x:c r="R692" t="str">
        <x:v>2d4</x:v>
      </x:c>
      <x:c r="S692" t="str">
        <x:v>PA</x:v>
      </x:c>
      <x:c r="T692" t="n">
        <x:v>0</x:v>
      </x:c>
      <x:c r="U692" t="n">
        <x:v>0</x:v>
      </x:c>
      <x:c r="V692" t="n">
        <x:v>2</x:v>
      </x:c>
      <x:c r="W692" t="n">
        <x:v>0</x:v>
      </x:c>
      <x:c r="X692" t="str">
        <x:v>VALUE: [[2d4]] PA 2 PA</x:v>
      </x:c>
    </x:row>
    <x:row r="693">
      <x:c r="P693" t="str">
        <x:v>8|Aquatique|Peu commune</x:v>
      </x:c>
      <x:c r="Q693" t="n">
        <x:v>1050</x:v>
      </x:c>
      <x:c r="R693" t="str">
        <x:v>3d4</x:v>
      </x:c>
      <x:c r="S693" t="str">
        <x:v>PA</x:v>
      </x:c>
      <x:c r="T693" t="n">
        <x:v>0</x:v>
      </x:c>
      <x:c r="U693" t="n">
        <x:v>0</x:v>
      </x:c>
      <x:c r="V693" t="n">
        <x:v>3</x:v>
      </x:c>
      <x:c r="W693" t="n">
        <x:v>0</x:v>
      </x:c>
      <x:c r="X693" t="str">
        <x:v>VALUE: [[3d4]] PA 3 PA</x:v>
      </x:c>
    </x:row>
    <x:row r="694">
      <x:c r="P694" t="str">
        <x:v>8|Aquatique|Rare</x:v>
      </x:c>
      <x:c r="Q694" t="n">
        <x:v>1750</x:v>
      </x:c>
      <x:c r="R694" t="str">
        <x:v>5d4</x:v>
      </x:c>
      <x:c r="S694" t="str">
        <x:v>PA</x:v>
      </x:c>
      <x:c r="T694" t="n">
        <x:v>0</x:v>
      </x:c>
      <x:c r="U694" t="n">
        <x:v>0</x:v>
      </x:c>
      <x:c r="V694" t="n">
        <x:v>5</x:v>
      </x:c>
      <x:c r="W694" t="n">
        <x:v>0</x:v>
      </x:c>
      <x:c r="X694" t="str">
        <x:v>VALUE: [[5d4]] PA 5 PA</x:v>
      </x:c>
    </x:row>
    <x:row r="695">
      <x:c r="P695" t="str">
        <x:v>8|Aquatique|Précieuse</x:v>
      </x:c>
      <x:c r="Q695" t="n">
        <x:v>2800</x:v>
      </x:c>
      <x:c r="R695" t="str">
        <x:v>3d12</x:v>
      </x:c>
      <x:c r="S695" t="str">
        <x:v>PA</x:v>
      </x:c>
      <x:c r="T695" t="n">
        <x:v>0</x:v>
      </x:c>
      <x:c r="U695" t="n">
        <x:v>0</x:v>
      </x:c>
      <x:c r="V695" t="n">
        <x:v>8</x:v>
      </x:c>
      <x:c r="W695" t="n">
        <x:v>50</x:v>
      </x:c>
      <x:c r="X695" t="str">
        <x:v>VALUE: [[3d12]] PA 8 PA 50 PC</x:v>
      </x:c>
    </x:row>
    <x:row r="696">
      <x:c r="P696" t="str">
        <x:v>8|Aquatique|Exceptionnelle</x:v>
      </x:c>
      <x:c r="Q696" t="n">
        <x:v>4900</x:v>
      </x:c>
      <x:c r="R696" t="str">
        <x:v>10d6</x:v>
      </x:c>
      <x:c r="S696" t="str">
        <x:v>PA</x:v>
      </x:c>
      <x:c r="T696" t="n">
        <x:v>0</x:v>
      </x:c>
      <x:c r="U696" t="n">
        <x:v>0</x:v>
      </x:c>
      <x:c r="V696" t="n">
        <x:v>14</x:v>
      </x:c>
      <x:c r="W696" t="n">
        <x:v>0</x:v>
      </x:c>
      <x:c r="X696" t="str">
        <x:v>VALUE: [[10d6]] PA 14 PA</x:v>
      </x:c>
    </x:row>
    <x:row r="697">
      <x:c r="P697" t="str">
        <x:v>8|Plante|Commune</x:v>
      </x:c>
      <x:c r="Q697" t="n">
        <x:v>800</x:v>
      </x:c>
      <x:c r="R697" t="str">
        <x:v>1d10</x:v>
      </x:c>
      <x:c r="S697" t="str">
        <x:v>PA</x:v>
      </x:c>
      <x:c r="T697" t="n">
        <x:v>0</x:v>
      </x:c>
      <x:c r="U697" t="n">
        <x:v>0</x:v>
      </x:c>
      <x:c r="V697" t="n">
        <x:v>2</x:v>
      </x:c>
      <x:c r="W697" t="n">
        <x:v>50</x:v>
      </x:c>
      <x:c r="X697" t="str">
        <x:v>VALUE: [[1d10]] PA 2 PA 50 PC</x:v>
      </x:c>
    </x:row>
    <x:row r="698">
      <x:c r="P698" t="str">
        <x:v>8|Plante|Peu commune</x:v>
      </x:c>
      <x:c r="Q698" t="n">
        <x:v>1200</x:v>
      </x:c>
      <x:c r="R698" t="str">
        <x:v>2d8</x:v>
      </x:c>
      <x:c r="S698" t="str">
        <x:v>PA</x:v>
      </x:c>
      <x:c r="T698" t="n">
        <x:v>0</x:v>
      </x:c>
      <x:c r="U698" t="n">
        <x:v>0</x:v>
      </x:c>
      <x:c r="V698" t="n">
        <x:v>3</x:v>
      </x:c>
      <x:c r="W698" t="n">
        <x:v>0</x:v>
      </x:c>
      <x:c r="X698" t="str">
        <x:v>VALUE: [[2d8]] PA 3 PA</x:v>
      </x:c>
    </x:row>
    <x:row r="699">
      <x:c r="P699" t="str">
        <x:v>8|Plante|Rare</x:v>
      </x:c>
      <x:c r="Q699" t="n">
        <x:v>2000</x:v>
      </x:c>
      <x:c r="R699" t="str">
        <x:v>4d6</x:v>
      </x:c>
      <x:c r="S699" t="str">
        <x:v>PA</x:v>
      </x:c>
      <x:c r="T699" t="n">
        <x:v>0</x:v>
      </x:c>
      <x:c r="U699" t="n">
        <x:v>0</x:v>
      </x:c>
      <x:c r="V699" t="n">
        <x:v>6</x:v>
      </x:c>
      <x:c r="W699" t="n">
        <x:v>0</x:v>
      </x:c>
      <x:c r="X699" t="str">
        <x:v>VALUE: [[4d6]] PA 6 PA</x:v>
      </x:c>
    </x:row>
    <x:row r="700">
      <x:c r="P700" t="str">
        <x:v>8|Plante|Précieuse</x:v>
      </x:c>
      <x:c r="Q700" t="n">
        <x:v>3200</x:v>
      </x:c>
      <x:c r="R700" t="str">
        <x:v>5d8</x:v>
      </x:c>
      <x:c r="S700" t="str">
        <x:v>PA</x:v>
      </x:c>
      <x:c r="T700" t="n">
        <x:v>0</x:v>
      </x:c>
      <x:c r="U700" t="n">
        <x:v>0</x:v>
      </x:c>
      <x:c r="V700" t="n">
        <x:v>9</x:v>
      </x:c>
      <x:c r="W700" t="n">
        <x:v>50</x:v>
      </x:c>
      <x:c r="X700" t="str">
        <x:v>VALUE: [[5d8]] PA 9 PA 50 PC</x:v>
      </x:c>
    </x:row>
    <x:row r="701">
      <x:c r="P701" t="str">
        <x:v>8|Plante|Exceptionnelle</x:v>
      </x:c>
      <x:c r="Q701" t="n">
        <x:v>5600</x:v>
      </x:c>
      <x:c r="R701" t="str">
        <x:v>6d12</x:v>
      </x:c>
      <x:c r="S701" t="str">
        <x:v>PA</x:v>
      </x:c>
      <x:c r="T701" t="n">
        <x:v>0</x:v>
      </x:c>
      <x:c r="U701" t="n">
        <x:v>0</x:v>
      </x:c>
      <x:c r="V701" t="n">
        <x:v>17</x:v>
      </x:c>
      <x:c r="W701" t="n">
        <x:v>0</x:v>
      </x:c>
      <x:c r="X701" t="str">
        <x:v>VALUE: [[6d12]] PA 17 PA</x:v>
      </x:c>
    </x:row>
    <x:row r="702">
      <x:c r="P702" t="str">
        <x:v>8|Humanoïde|Commune</x:v>
      </x:c>
      <x:c r="Q702" t="n">
        <x:v>1000</x:v>
      </x:c>
      <x:c r="R702" t="str">
        <x:v>2d6</x:v>
      </x:c>
      <x:c r="S702" t="str">
        <x:v>PA</x:v>
      </x:c>
      <x:c r="T702" t="n">
        <x:v>0</x:v>
      </x:c>
      <x:c r="U702" t="n">
        <x:v>0</x:v>
      </x:c>
      <x:c r="V702" t="n">
        <x:v>3</x:v>
      </x:c>
      <x:c r="W702" t="n">
        <x:v>0</x:v>
      </x:c>
      <x:c r="X702" t="str">
        <x:v>VALUE: [[2d6]] PA 3 PA</x:v>
      </x:c>
    </x:row>
    <x:row r="703">
      <x:c r="P703" t="str">
        <x:v>8|Humanoïde|Peu commune</x:v>
      </x:c>
      <x:c r="Q703" t="n">
        <x:v>1500</x:v>
      </x:c>
      <x:c r="R703" t="str">
        <x:v>1d20</x:v>
      </x:c>
      <x:c r="S703" t="str">
        <x:v>PA</x:v>
      </x:c>
      <x:c r="T703" t="n">
        <x:v>0</x:v>
      </x:c>
      <x:c r="U703" t="n">
        <x:v>0</x:v>
      </x:c>
      <x:c r="V703" t="n">
        <x:v>4</x:v>
      </x:c>
      <x:c r="W703" t="n">
        <x:v>50</x:v>
      </x:c>
      <x:c r="X703" t="str">
        <x:v>VALUE: [[1d20]] PA 4 PA 50 PC</x:v>
      </x:c>
    </x:row>
    <x:row r="704">
      <x:c r="P704" t="str">
        <x:v>8|Humanoïde|Rare</x:v>
      </x:c>
      <x:c r="Q704" t="n">
        <x:v>2500</x:v>
      </x:c>
      <x:c r="R704" t="str">
        <x:v>5d6</x:v>
      </x:c>
      <x:c r="S704" t="str">
        <x:v>PA</x:v>
      </x:c>
      <x:c r="T704" t="n">
        <x:v>0</x:v>
      </x:c>
      <x:c r="U704" t="n">
        <x:v>0</x:v>
      </x:c>
      <x:c r="V704" t="n">
        <x:v>7</x:v>
      </x:c>
      <x:c r="W704" t="n">
        <x:v>50</x:v>
      </x:c>
      <x:c r="X704" t="str">
        <x:v>VALUE: [[5d6]] PA 7 PA 50 PC</x:v>
      </x:c>
    </x:row>
    <x:row r="705">
      <x:c r="P705" t="str">
        <x:v>8|Humanoïde|Précieuse</x:v>
      </x:c>
      <x:c r="Q705" t="n">
        <x:v>4000</x:v>
      </x:c>
      <x:c r="R705" t="str">
        <x:v>8d6</x:v>
      </x:c>
      <x:c r="S705" t="str">
        <x:v>PA</x:v>
      </x:c>
      <x:c r="T705" t="n">
        <x:v>0</x:v>
      </x:c>
      <x:c r="U705" t="n">
        <x:v>0</x:v>
      </x:c>
      <x:c r="V705" t="n">
        <x:v>12</x:v>
      </x:c>
      <x:c r="W705" t="n">
        <x:v>0</x:v>
      </x:c>
      <x:c r="X705" t="str">
        <x:v>VALUE: [[8d6]] PA 12 PA</x:v>
      </x:c>
    </x:row>
    <x:row r="706">
      <x:c r="P706" t="str">
        <x:v>8|Humanoïde|Exceptionnelle</x:v>
      </x:c>
      <x:c r="Q706" t="n">
        <x:v>7000</x:v>
      </x:c>
      <x:c r="R706" t="str">
        <x:v>9d10</x:v>
      </x:c>
      <x:c r="S706" t="str">
        <x:v>PA</x:v>
      </x:c>
      <x:c r="T706" t="n">
        <x:v>0</x:v>
      </x:c>
      <x:c r="U706" t="n">
        <x:v>0</x:v>
      </x:c>
      <x:c r="V706" t="n">
        <x:v>20</x:v>
      </x:c>
      <x:c r="W706" t="n">
        <x:v>50</x:v>
      </x:c>
      <x:c r="X706" t="str">
        <x:v>VALUE: [[9d10]] PA 20 PA 50 PC</x:v>
      </x:c>
    </x:row>
    <x:row r="707">
      <x:c r="P707" t="str">
        <x:v>8|Mort-vivant|Commune</x:v>
      </x:c>
      <x:c r="Q707" t="n">
        <x:v>1000</x:v>
      </x:c>
      <x:c r="R707" t="str">
        <x:v>2d6</x:v>
      </x:c>
      <x:c r="S707" t="str">
        <x:v>PA</x:v>
      </x:c>
      <x:c r="T707" t="n">
        <x:v>0</x:v>
      </x:c>
      <x:c r="U707" t="n">
        <x:v>0</x:v>
      </x:c>
      <x:c r="V707" t="n">
        <x:v>3</x:v>
      </x:c>
      <x:c r="W707" t="n">
        <x:v>0</x:v>
      </x:c>
      <x:c r="X707" t="str">
        <x:v>VALUE: [[2d6]] PA 3 PA</x:v>
      </x:c>
    </x:row>
    <x:row r="708">
      <x:c r="P708" t="str">
        <x:v>8|Mort-vivant|Peu commune</x:v>
      </x:c>
      <x:c r="Q708" t="n">
        <x:v>1500</x:v>
      </x:c>
      <x:c r="R708" t="str">
        <x:v>1d20</x:v>
      </x:c>
      <x:c r="S708" t="str">
        <x:v>PA</x:v>
      </x:c>
      <x:c r="T708" t="n">
        <x:v>0</x:v>
      </x:c>
      <x:c r="U708" t="n">
        <x:v>0</x:v>
      </x:c>
      <x:c r="V708" t="n">
        <x:v>4</x:v>
      </x:c>
      <x:c r="W708" t="n">
        <x:v>50</x:v>
      </x:c>
      <x:c r="X708" t="str">
        <x:v>VALUE: [[1d20]] PA 4 PA 50 PC</x:v>
      </x:c>
    </x:row>
    <x:row r="709">
      <x:c r="P709" t="str">
        <x:v>8|Mort-vivant|Rare</x:v>
      </x:c>
      <x:c r="Q709" t="n">
        <x:v>2500</x:v>
      </x:c>
      <x:c r="R709" t="str">
        <x:v>5d6</x:v>
      </x:c>
      <x:c r="S709" t="str">
        <x:v>PA</x:v>
      </x:c>
      <x:c r="T709" t="n">
        <x:v>0</x:v>
      </x:c>
      <x:c r="U709" t="n">
        <x:v>0</x:v>
      </x:c>
      <x:c r="V709" t="n">
        <x:v>7</x:v>
      </x:c>
      <x:c r="W709" t="n">
        <x:v>50</x:v>
      </x:c>
      <x:c r="X709" t="str">
        <x:v>VALUE: [[5d6]] PA 7 PA 50 PC</x:v>
      </x:c>
    </x:row>
    <x:row r="710">
      <x:c r="P710" t="str">
        <x:v>8|Mort-vivant|Précieuse</x:v>
      </x:c>
      <x:c r="Q710" t="n">
        <x:v>4000</x:v>
      </x:c>
      <x:c r="R710" t="str">
        <x:v>8d6</x:v>
      </x:c>
      <x:c r="S710" t="str">
        <x:v>PA</x:v>
      </x:c>
      <x:c r="T710" t="n">
        <x:v>0</x:v>
      </x:c>
      <x:c r="U710" t="n">
        <x:v>0</x:v>
      </x:c>
      <x:c r="V710" t="n">
        <x:v>12</x:v>
      </x:c>
      <x:c r="W710" t="n">
        <x:v>0</x:v>
      </x:c>
      <x:c r="X710" t="str">
        <x:v>VALUE: [[8d6]] PA 12 PA</x:v>
      </x:c>
    </x:row>
    <x:row r="711">
      <x:c r="P711" t="str">
        <x:v>8|Mort-vivant|Exceptionnelle</x:v>
      </x:c>
      <x:c r="Q711" t="n">
        <x:v>7000</x:v>
      </x:c>
      <x:c r="R711" t="str">
        <x:v>9d10</x:v>
      </x:c>
      <x:c r="S711" t="str">
        <x:v>PA</x:v>
      </x:c>
      <x:c r="T711" t="n">
        <x:v>0</x:v>
      </x:c>
      <x:c r="U711" t="n">
        <x:v>0</x:v>
      </x:c>
      <x:c r="V711" t="n">
        <x:v>20</x:v>
      </x:c>
      <x:c r="W711" t="n">
        <x:v>50</x:v>
      </x:c>
      <x:c r="X711" t="str">
        <x:v>VALUE: [[9d10]] PA 20 PA 50 PC</x:v>
      </x:c>
    </x:row>
    <x:row r="712">
      <x:c r="P712" t="str">
        <x:v>8|Monstre|Commune</x:v>
      </x:c>
      <x:c r="Q712" t="n">
        <x:v>1000</x:v>
      </x:c>
      <x:c r="R712" t="str">
        <x:v>2d6</x:v>
      </x:c>
      <x:c r="S712" t="str">
        <x:v>PA</x:v>
      </x:c>
      <x:c r="T712" t="n">
        <x:v>0</x:v>
      </x:c>
      <x:c r="U712" t="n">
        <x:v>0</x:v>
      </x:c>
      <x:c r="V712" t="n">
        <x:v>3</x:v>
      </x:c>
      <x:c r="W712" t="n">
        <x:v>0</x:v>
      </x:c>
      <x:c r="X712" t="str">
        <x:v>VALUE: [[2d6]] PA 3 PA</x:v>
      </x:c>
    </x:row>
    <x:row r="713">
      <x:c r="P713" t="str">
        <x:v>8|Monstre|Peu commune</x:v>
      </x:c>
      <x:c r="Q713" t="n">
        <x:v>1500</x:v>
      </x:c>
      <x:c r="R713" t="str">
        <x:v>1d20</x:v>
      </x:c>
      <x:c r="S713" t="str">
        <x:v>PA</x:v>
      </x:c>
      <x:c r="T713" t="n">
        <x:v>0</x:v>
      </x:c>
      <x:c r="U713" t="n">
        <x:v>0</x:v>
      </x:c>
      <x:c r="V713" t="n">
        <x:v>4</x:v>
      </x:c>
      <x:c r="W713" t="n">
        <x:v>50</x:v>
      </x:c>
      <x:c r="X713" t="str">
        <x:v>VALUE: [[1d20]] PA 4 PA 50 PC</x:v>
      </x:c>
    </x:row>
    <x:row r="714">
      <x:c r="P714" t="str">
        <x:v>8|Monstre|Rare</x:v>
      </x:c>
      <x:c r="Q714" t="n">
        <x:v>2500</x:v>
      </x:c>
      <x:c r="R714" t="str">
        <x:v>5d6</x:v>
      </x:c>
      <x:c r="S714" t="str">
        <x:v>PA</x:v>
      </x:c>
      <x:c r="T714" t="n">
        <x:v>0</x:v>
      </x:c>
      <x:c r="U714" t="n">
        <x:v>0</x:v>
      </x:c>
      <x:c r="V714" t="n">
        <x:v>7</x:v>
      </x:c>
      <x:c r="W714" t="n">
        <x:v>50</x:v>
      </x:c>
      <x:c r="X714" t="str">
        <x:v>VALUE: [[5d6]] PA 7 PA 50 PC</x:v>
      </x:c>
    </x:row>
    <x:row r="715">
      <x:c r="P715" t="str">
        <x:v>8|Monstre|Précieuse</x:v>
      </x:c>
      <x:c r="Q715" t="n">
        <x:v>4000</x:v>
      </x:c>
      <x:c r="R715" t="str">
        <x:v>8d6</x:v>
      </x:c>
      <x:c r="S715" t="str">
        <x:v>PA</x:v>
      </x:c>
      <x:c r="T715" t="n">
        <x:v>0</x:v>
      </x:c>
      <x:c r="U715" t="n">
        <x:v>0</x:v>
      </x:c>
      <x:c r="V715" t="n">
        <x:v>12</x:v>
      </x:c>
      <x:c r="W715" t="n">
        <x:v>0</x:v>
      </x:c>
      <x:c r="X715" t="str">
        <x:v>VALUE: [[8d6]] PA 12 PA</x:v>
      </x:c>
    </x:row>
    <x:row r="716">
      <x:c r="P716" t="str">
        <x:v>8|Monstre|Exceptionnelle</x:v>
      </x:c>
      <x:c r="Q716" t="n">
        <x:v>7000</x:v>
      </x:c>
      <x:c r="R716" t="str">
        <x:v>9d10</x:v>
      </x:c>
      <x:c r="S716" t="str">
        <x:v>PA</x:v>
      </x:c>
      <x:c r="T716" t="n">
        <x:v>0</x:v>
      </x:c>
      <x:c r="U716" t="n">
        <x:v>0</x:v>
      </x:c>
      <x:c r="V716" t="n">
        <x:v>20</x:v>
      </x:c>
      <x:c r="W716" t="n">
        <x:v>50</x:v>
      </x:c>
      <x:c r="X716" t="str">
        <x:v>VALUE: [[9d10]] PA 20 PA 50 PC</x:v>
      </x:c>
    </x:row>
    <x:row r="717">
      <x:c r="P717" t="str">
        <x:v>8|Vase|Commune</x:v>
      </x:c>
      <x:c r="Q717" t="n">
        <x:v>1000</x:v>
      </x:c>
      <x:c r="R717" t="str">
        <x:v>2d6</x:v>
      </x:c>
      <x:c r="S717" t="str">
        <x:v>PA</x:v>
      </x:c>
      <x:c r="T717" t="n">
        <x:v>0</x:v>
      </x:c>
      <x:c r="U717" t="n">
        <x:v>0</x:v>
      </x:c>
      <x:c r="V717" t="n">
        <x:v>3</x:v>
      </x:c>
      <x:c r="W717" t="n">
        <x:v>0</x:v>
      </x:c>
      <x:c r="X717" t="str">
        <x:v>VALUE: [[2d6]] PA 3 PA</x:v>
      </x:c>
    </x:row>
    <x:row r="718">
      <x:c r="P718" t="str">
        <x:v>8|Vase|Peu commune</x:v>
      </x:c>
      <x:c r="Q718" t="n">
        <x:v>1500</x:v>
      </x:c>
      <x:c r="R718" t="str">
        <x:v>1d20</x:v>
      </x:c>
      <x:c r="S718" t="str">
        <x:v>PA</x:v>
      </x:c>
      <x:c r="T718" t="n">
        <x:v>0</x:v>
      </x:c>
      <x:c r="U718" t="n">
        <x:v>0</x:v>
      </x:c>
      <x:c r="V718" t="n">
        <x:v>4</x:v>
      </x:c>
      <x:c r="W718" t="n">
        <x:v>50</x:v>
      </x:c>
      <x:c r="X718" t="str">
        <x:v>VALUE: [[1d20]] PA 4 PA 50 PC</x:v>
      </x:c>
    </x:row>
    <x:row r="719">
      <x:c r="P719" t="str">
        <x:v>8|Vase|Rare</x:v>
      </x:c>
      <x:c r="Q719" t="n">
        <x:v>2500</x:v>
      </x:c>
      <x:c r="R719" t="str">
        <x:v>5d6</x:v>
      </x:c>
      <x:c r="S719" t="str">
        <x:v>PA</x:v>
      </x:c>
      <x:c r="T719" t="n">
        <x:v>0</x:v>
      </x:c>
      <x:c r="U719" t="n">
        <x:v>0</x:v>
      </x:c>
      <x:c r="V719" t="n">
        <x:v>7</x:v>
      </x:c>
      <x:c r="W719" t="n">
        <x:v>50</x:v>
      </x:c>
      <x:c r="X719" t="str">
        <x:v>VALUE: [[5d6]] PA 7 PA 50 PC</x:v>
      </x:c>
    </x:row>
    <x:row r="720">
      <x:c r="P720" t="str">
        <x:v>8|Vase|Précieuse</x:v>
      </x:c>
      <x:c r="Q720" t="n">
        <x:v>4000</x:v>
      </x:c>
      <x:c r="R720" t="str">
        <x:v>8d6</x:v>
      </x:c>
      <x:c r="S720" t="str">
        <x:v>PA</x:v>
      </x:c>
      <x:c r="T720" t="n">
        <x:v>0</x:v>
      </x:c>
      <x:c r="U720" t="n">
        <x:v>0</x:v>
      </x:c>
      <x:c r="V720" t="n">
        <x:v>12</x:v>
      </x:c>
      <x:c r="W720" t="n">
        <x:v>0</x:v>
      </x:c>
      <x:c r="X720" t="str">
        <x:v>VALUE: [[8d6]] PA 12 PA</x:v>
      </x:c>
    </x:row>
    <x:row r="721">
      <x:c r="P721" t="str">
        <x:v>8|Vase|Exceptionnelle</x:v>
      </x:c>
      <x:c r="Q721" t="n">
        <x:v>7000</x:v>
      </x:c>
      <x:c r="R721" t="str">
        <x:v>9d10</x:v>
      </x:c>
      <x:c r="S721" t="str">
        <x:v>PA</x:v>
      </x:c>
      <x:c r="T721" t="n">
        <x:v>0</x:v>
      </x:c>
      <x:c r="U721" t="n">
        <x:v>0</x:v>
      </x:c>
      <x:c r="V721" t="n">
        <x:v>20</x:v>
      </x:c>
      <x:c r="W721" t="n">
        <x:v>50</x:v>
      </x:c>
      <x:c r="X721" t="str">
        <x:v>VALUE: [[9d10]] PA 20 PA 50 PC</x:v>
      </x:c>
    </x:row>
    <x:row r="722">
      <x:c r="P722" t="str">
        <x:v>8|Géant|Commune</x:v>
      </x:c>
      <x:c r="Q722" t="n">
        <x:v>1200</x:v>
      </x:c>
      <x:c r="R722" t="str">
        <x:v>2d8</x:v>
      </x:c>
      <x:c r="S722" t="str">
        <x:v>PA</x:v>
      </x:c>
      <x:c r="T722" t="n">
        <x:v>0</x:v>
      </x:c>
      <x:c r="U722" t="n">
        <x:v>0</x:v>
      </x:c>
      <x:c r="V722" t="n">
        <x:v>3</x:v>
      </x:c>
      <x:c r="W722" t="n">
        <x:v>0</x:v>
      </x:c>
      <x:c r="X722" t="str">
        <x:v>VALUE: [[2d8]] PA 3 PA</x:v>
      </x:c>
    </x:row>
    <x:row r="723">
      <x:c r="P723" t="str">
        <x:v>8|Géant|Peu commune</x:v>
      </x:c>
      <x:c r="Q723" t="n">
        <x:v>1800</x:v>
      </x:c>
      <x:c r="R723" t="str">
        <x:v>5d4</x:v>
      </x:c>
      <x:c r="S723" t="str">
        <x:v>PA</x:v>
      </x:c>
      <x:c r="T723" t="n">
        <x:v>0</x:v>
      </x:c>
      <x:c r="U723" t="n">
        <x:v>0</x:v>
      </x:c>
      <x:c r="V723" t="n">
        <x:v>5</x:v>
      </x:c>
      <x:c r="W723" t="n">
        <x:v>50</x:v>
      </x:c>
      <x:c r="X723" t="str">
        <x:v>VALUE: [[5d4]] PA 5 PA 50 PC</x:v>
      </x:c>
    </x:row>
    <x:row r="724">
      <x:c r="P724" t="str">
        <x:v>8|Géant|Rare</x:v>
      </x:c>
      <x:c r="Q724" t="n">
        <x:v>3000</x:v>
      </x:c>
      <x:c r="R724" t="str">
        <x:v>2d20</x:v>
      </x:c>
      <x:c r="S724" t="str">
        <x:v>PA</x:v>
      </x:c>
      <x:c r="T724" t="n">
        <x:v>0</x:v>
      </x:c>
      <x:c r="U724" t="n">
        <x:v>0</x:v>
      </x:c>
      <x:c r="V724" t="n">
        <x:v>9</x:v>
      </x:c>
      <x:c r="W724" t="n">
        <x:v>0</x:v>
      </x:c>
      <x:c r="X724" t="str">
        <x:v>VALUE: [[2d20]] PA 9 PA</x:v>
      </x:c>
    </x:row>
    <x:row r="725">
      <x:c r="P725" t="str">
        <x:v>8|Géant|Précieuse</x:v>
      </x:c>
      <x:c r="Q725" t="n">
        <x:v>4800</x:v>
      </x:c>
      <x:c r="R725" t="str">
        <x:v>6d10</x:v>
      </x:c>
      <x:c r="S725" t="str">
        <x:v>PA</x:v>
      </x:c>
      <x:c r="T725" t="n">
        <x:v>0</x:v>
      </x:c>
      <x:c r="U725" t="n">
        <x:v>0</x:v>
      </x:c>
      <x:c r="V725" t="n">
        <x:v>15</x:v>
      </x:c>
      <x:c r="W725" t="n">
        <x:v>0</x:v>
      </x:c>
      <x:c r="X725" t="str">
        <x:v>VALUE: [[6d10]] PA 15 PA</x:v>
      </x:c>
    </x:row>
    <x:row r="726">
      <x:c r="P726" t="str">
        <x:v>8|Géant|Exceptionnelle</x:v>
      </x:c>
      <x:c r="Q726" t="n">
        <x:v>8400</x:v>
      </x:c>
      <x:c r="R726" t="str">
        <x:v>9d12</x:v>
      </x:c>
      <x:c r="S726" t="str">
        <x:v>PA</x:v>
      </x:c>
      <x:c r="T726" t="n">
        <x:v>0</x:v>
      </x:c>
      <x:c r="U726" t="n">
        <x:v>0</x:v>
      </x:c>
      <x:c r="V726" t="n">
        <x:v>25</x:v>
      </x:c>
      <x:c r="W726" t="n">
        <x:v>50</x:v>
      </x:c>
      <x:c r="X726" t="str">
        <x:v>VALUE: [[9d12]] PA 25 PA 50 PC</x:v>
      </x:c>
    </x:row>
    <x:row r="727">
      <x:c r="P727" t="str">
        <x:v>8|Aberration|Commune</x:v>
      </x:c>
      <x:c r="Q727" t="n">
        <x:v>1500</x:v>
      </x:c>
      <x:c r="R727" t="str">
        <x:v>1d20</x:v>
      </x:c>
      <x:c r="S727" t="str">
        <x:v>PA</x:v>
      </x:c>
      <x:c r="T727" t="n">
        <x:v>0</x:v>
      </x:c>
      <x:c r="U727" t="n">
        <x:v>0</x:v>
      </x:c>
      <x:c r="V727" t="n">
        <x:v>4</x:v>
      </x:c>
      <x:c r="W727" t="n">
        <x:v>50</x:v>
      </x:c>
      <x:c r="X727" t="str">
        <x:v>VALUE: [[1d20]] PA 4 PA 50 PC</x:v>
      </x:c>
    </x:row>
    <x:row r="728">
      <x:c r="P728" t="str">
        <x:v>8|Aberration|Peu commune</x:v>
      </x:c>
      <x:c r="Q728" t="n">
        <x:v>2250</x:v>
      </x:c>
      <x:c r="R728" t="str">
        <x:v>3d10</x:v>
      </x:c>
      <x:c r="S728" t="str">
        <x:v>PA</x:v>
      </x:c>
      <x:c r="T728" t="n">
        <x:v>0</x:v>
      </x:c>
      <x:c r="U728" t="n">
        <x:v>0</x:v>
      </x:c>
      <x:c r="V728" t="n">
        <x:v>6</x:v>
      </x:c>
      <x:c r="W728" t="n">
        <x:v>0</x:v>
      </x:c>
      <x:c r="X728" t="str">
        <x:v>VALUE: [[3d10]] PA 6 PA</x:v>
      </x:c>
    </x:row>
    <x:row r="729">
      <x:c r="P729" t="str">
        <x:v>8|Aberration|Rare</x:v>
      </x:c>
      <x:c r="Q729" t="n">
        <x:v>3750</x:v>
      </x:c>
      <x:c r="R729" t="str">
        <x:v>4d12</x:v>
      </x:c>
      <x:c r="S729" t="str">
        <x:v>PA</x:v>
      </x:c>
      <x:c r="T729" t="n">
        <x:v>0</x:v>
      </x:c>
      <x:c r="U729" t="n">
        <x:v>0</x:v>
      </x:c>
      <x:c r="V729" t="n">
        <x:v>11</x:v>
      </x:c>
      <x:c r="W729" t="n">
        <x:v>50</x:v>
      </x:c>
      <x:c r="X729" t="str">
        <x:v>VALUE: [[4d12]] PA 11 PA 50 PC</x:v>
      </x:c>
    </x:row>
    <x:row r="730">
      <x:c r="P730" t="str">
        <x:v>8|Aberration|Précieuse</x:v>
      </x:c>
      <x:c r="Q730" t="n">
        <x:v>6000</x:v>
      </x:c>
      <x:c r="R730" t="str">
        <x:v>4d20</x:v>
      </x:c>
      <x:c r="S730" t="str">
        <x:v>PA</x:v>
      </x:c>
      <x:c r="T730" t="n">
        <x:v>0</x:v>
      </x:c>
      <x:c r="U730" t="n">
        <x:v>0</x:v>
      </x:c>
      <x:c r="V730" t="n">
        <x:v>18</x:v>
      </x:c>
      <x:c r="W730" t="n">
        <x:v>0</x:v>
      </x:c>
      <x:c r="X730" t="str">
        <x:v>VALUE: [[4d20]] PA 18 PA</x:v>
      </x:c>
    </x:row>
    <x:row r="731">
      <x:c r="P731" t="str">
        <x:v>8|Aberration|Exceptionnelle</x:v>
      </x:c>
      <x:c r="Q731" t="n">
        <x:v>10500</x:v>
      </x:c>
      <x:c r="R731" t="str">
        <x:v>7d20</x:v>
      </x:c>
      <x:c r="S731" t="str">
        <x:v>PA</x:v>
      </x:c>
      <x:c r="T731" t="n">
        <x:v>0</x:v>
      </x:c>
      <x:c r="U731" t="n">
        <x:v>0</x:v>
      </x:c>
      <x:c r="V731" t="n">
        <x:v>31</x:v>
      </x:c>
      <x:c r="W731" t="n">
        <x:v>50</x:v>
      </x:c>
      <x:c r="X731" t="str">
        <x:v>VALUE: [[7d20]] PA 31 PA 50 PC</x:v>
      </x:c>
    </x:row>
    <x:row r="732">
      <x:c r="P732" t="str">
        <x:v>8|Fée|Commune</x:v>
      </x:c>
      <x:c r="Q732" t="n">
        <x:v>1800</x:v>
      </x:c>
      <x:c r="R732" t="str">
        <x:v>5d4</x:v>
      </x:c>
      <x:c r="S732" t="str">
        <x:v>PA</x:v>
      </x:c>
      <x:c r="T732" t="n">
        <x:v>0</x:v>
      </x:c>
      <x:c r="U732" t="n">
        <x:v>0</x:v>
      </x:c>
      <x:c r="V732" t="n">
        <x:v>5</x:v>
      </x:c>
      <x:c r="W732" t="n">
        <x:v>50</x:v>
      </x:c>
      <x:c r="X732" t="str">
        <x:v>VALUE: [[5d4]] PA 5 PA 50 PC</x:v>
      </x:c>
    </x:row>
    <x:row r="733">
      <x:c r="P733" t="str">
        <x:v>8|Fée|Peu commune</x:v>
      </x:c>
      <x:c r="Q733" t="n">
        <x:v>2700</x:v>
      </x:c>
      <x:c r="R733" t="str">
        <x:v>3d12</x:v>
      </x:c>
      <x:c r="S733" t="str">
        <x:v>PA</x:v>
      </x:c>
      <x:c r="T733" t="n">
        <x:v>0</x:v>
      </x:c>
      <x:c r="U733" t="n">
        <x:v>0</x:v>
      </x:c>
      <x:c r="V733" t="n">
        <x:v>7</x:v>
      </x:c>
      <x:c r="W733" t="n">
        <x:v>50</x:v>
      </x:c>
      <x:c r="X733" t="str">
        <x:v>VALUE: [[3d12]] PA 7 PA 50 PC</x:v>
      </x:c>
    </x:row>
    <x:row r="734">
      <x:c r="P734" t="str">
        <x:v>8|Fée|Rare</x:v>
      </x:c>
      <x:c r="Q734" t="n">
        <x:v>4500</x:v>
      </x:c>
      <x:c r="R734" t="str">
        <x:v>3d20</x:v>
      </x:c>
      <x:c r="S734" t="str">
        <x:v>PA</x:v>
      </x:c>
      <x:c r="T734" t="n">
        <x:v>0</x:v>
      </x:c>
      <x:c r="U734" t="n">
        <x:v>0</x:v>
      </x:c>
      <x:c r="V734" t="n">
        <x:v>13</x:v>
      </x:c>
      <x:c r="W734" t="n">
        <x:v>50</x:v>
      </x:c>
      <x:c r="X734" t="str">
        <x:v>VALUE: [[3d20]] PA 13 PA 50 PC</x:v>
      </x:c>
    </x:row>
    <x:row r="735">
      <x:c r="P735" t="str">
        <x:v>8|Fée|Précieuse</x:v>
      </x:c>
      <x:c r="Q735" t="n">
        <x:v>7200</x:v>
      </x:c>
      <x:c r="R735" t="str">
        <x:v>9d10</x:v>
      </x:c>
      <x:c r="S735" t="str">
        <x:v>PA</x:v>
      </x:c>
      <x:c r="T735" t="n">
        <x:v>0</x:v>
      </x:c>
      <x:c r="U735" t="n">
        <x:v>0</x:v>
      </x:c>
      <x:c r="V735" t="n">
        <x:v>22</x:v>
      </x:c>
      <x:c r="W735" t="n">
        <x:v>50</x:v>
      </x:c>
      <x:c r="X735" t="str">
        <x:v>VALUE: [[9d10]] PA 22 PA 50 PC</x:v>
      </x:c>
    </x:row>
    <x:row r="736">
      <x:c r="P736" t="str">
        <x:v>8|Fée|Exceptionnelle</x:v>
      </x:c>
      <x:c r="Q736" t="n">
        <x:v>12600</x:v>
      </x:c>
      <x:c r="R736" t="str">
        <x:v>8d20</x:v>
      </x:c>
      <x:c r="S736" t="str">
        <x:v>PA</x:v>
      </x:c>
      <x:c r="T736" t="n">
        <x:v>0</x:v>
      </x:c>
      <x:c r="U736" t="n">
        <x:v>0</x:v>
      </x:c>
      <x:c r="V736" t="n">
        <x:v>42</x:v>
      </x:c>
      <x:c r="W736" t="n">
        <x:v>0</x:v>
      </x:c>
      <x:c r="X736" t="str">
        <x:v>VALUE: [[8d20]] PA 42 PA</x:v>
      </x:c>
    </x:row>
    <x:row r="737">
      <x:c r="P737" t="str">
        <x:v>8|Démon|Commune</x:v>
      </x:c>
      <x:c r="Q737" t="n">
        <x:v>2000</x:v>
      </x:c>
      <x:c r="R737" t="str">
        <x:v>4d6</x:v>
      </x:c>
      <x:c r="S737" t="str">
        <x:v>PA</x:v>
      </x:c>
      <x:c r="T737" t="n">
        <x:v>0</x:v>
      </x:c>
      <x:c r="U737" t="n">
        <x:v>0</x:v>
      </x:c>
      <x:c r="V737" t="n">
        <x:v>6</x:v>
      </x:c>
      <x:c r="W737" t="n">
        <x:v>0</x:v>
      </x:c>
      <x:c r="X737" t="str">
        <x:v>VALUE: [[4d6]] PA 6 PA</x:v>
      </x:c>
    </x:row>
    <x:row r="738">
      <x:c r="P738" t="str">
        <x:v>8|Démon|Peu commune</x:v>
      </x:c>
      <x:c r="Q738" t="n">
        <x:v>3000</x:v>
      </x:c>
      <x:c r="R738" t="str">
        <x:v>2d20</x:v>
      </x:c>
      <x:c r="S738" t="str">
        <x:v>PA</x:v>
      </x:c>
      <x:c r="T738" t="n">
        <x:v>0</x:v>
      </x:c>
      <x:c r="U738" t="n">
        <x:v>0</x:v>
      </x:c>
      <x:c r="V738" t="n">
        <x:v>9</x:v>
      </x:c>
      <x:c r="W738" t="n">
        <x:v>0</x:v>
      </x:c>
      <x:c r="X738" t="str">
        <x:v>VALUE: [[2d20]] PA 9 PA</x:v>
      </x:c>
    </x:row>
    <x:row r="739">
      <x:c r="P739" t="str">
        <x:v>8|Démon|Rare</x:v>
      </x:c>
      <x:c r="Q739" t="n">
        <x:v>5000</x:v>
      </x:c>
      <x:c r="R739" t="str">
        <x:v>10d6</x:v>
      </x:c>
      <x:c r="S739" t="str">
        <x:v>PA</x:v>
      </x:c>
      <x:c r="T739" t="n">
        <x:v>0</x:v>
      </x:c>
      <x:c r="U739" t="n">
        <x:v>0</x:v>
      </x:c>
      <x:c r="V739" t="n">
        <x:v>15</x:v>
      </x:c>
      <x:c r="W739" t="n">
        <x:v>0</x:v>
      </x:c>
      <x:c r="X739" t="str">
        <x:v>VALUE: [[10d6]] PA 15 PA</x:v>
      </x:c>
    </x:row>
    <x:row r="740">
      <x:c r="P740" t="str">
        <x:v>8|Démon|Précieuse</x:v>
      </x:c>
      <x:c r="Q740" t="n">
        <x:v>8000</x:v>
      </x:c>
      <x:c r="R740" t="str">
        <x:v>10d10</x:v>
      </x:c>
      <x:c r="S740" t="str">
        <x:v>PA</x:v>
      </x:c>
      <x:c r="T740" t="n">
        <x:v>0</x:v>
      </x:c>
      <x:c r="U740" t="n">
        <x:v>0</x:v>
      </x:c>
      <x:c r="V740" t="n">
        <x:v>25</x:v>
      </x:c>
      <x:c r="W740" t="n">
        <x:v>0</x:v>
      </x:c>
      <x:c r="X740" t="str">
        <x:v>VALUE: [[10d10]] PA 25 PA</x:v>
      </x:c>
    </x:row>
    <x:row r="741">
      <x:c r="P741" t="str">
        <x:v>8|Démon|Exceptionnelle</x:v>
      </x:c>
      <x:c r="Q741" t="n">
        <x:v>14000</x:v>
      </x:c>
      <x:c r="R741" t="str">
        <x:v>9d20</x:v>
      </x:c>
      <x:c r="S741" t="str">
        <x:v>PA</x:v>
      </x:c>
      <x:c r="T741" t="n">
        <x:v>0</x:v>
      </x:c>
      <x:c r="U741" t="n">
        <x:v>0</x:v>
      </x:c>
      <x:c r="V741" t="n">
        <x:v>45</x:v>
      </x:c>
      <x:c r="W741" t="n">
        <x:v>50</x:v>
      </x:c>
      <x:c r="X741" t="str">
        <x:v>VALUE: [[9d20]] PA 45 PA 50 PC</x:v>
      </x:c>
    </x:row>
    <x:row r="742">
      <x:c r="P742" t="str">
        <x:v>8|Artificiel|Commune</x:v>
      </x:c>
      <x:c r="Q742" t="n">
        <x:v>2000</x:v>
      </x:c>
      <x:c r="R742" t="str">
        <x:v>4d6</x:v>
      </x:c>
      <x:c r="S742" t="str">
        <x:v>PA</x:v>
      </x:c>
      <x:c r="T742" t="n">
        <x:v>0</x:v>
      </x:c>
      <x:c r="U742" t="n">
        <x:v>0</x:v>
      </x:c>
      <x:c r="V742" t="n">
        <x:v>6</x:v>
      </x:c>
      <x:c r="W742" t="n">
        <x:v>0</x:v>
      </x:c>
      <x:c r="X742" t="str">
        <x:v>VALUE: [[4d6]] PA 6 PA</x:v>
      </x:c>
    </x:row>
    <x:row r="743">
      <x:c r="P743" t="str">
        <x:v>8|Artificiel|Peu commune</x:v>
      </x:c>
      <x:c r="Q743" t="n">
        <x:v>3000</x:v>
      </x:c>
      <x:c r="R743" t="str">
        <x:v>2d20</x:v>
      </x:c>
      <x:c r="S743" t="str">
        <x:v>PA</x:v>
      </x:c>
      <x:c r="T743" t="n">
        <x:v>0</x:v>
      </x:c>
      <x:c r="U743" t="n">
        <x:v>0</x:v>
      </x:c>
      <x:c r="V743" t="n">
        <x:v>9</x:v>
      </x:c>
      <x:c r="W743" t="n">
        <x:v>0</x:v>
      </x:c>
      <x:c r="X743" t="str">
        <x:v>VALUE: [[2d20]] PA 9 PA</x:v>
      </x:c>
    </x:row>
    <x:row r="744">
      <x:c r="P744" t="str">
        <x:v>8|Artificiel|Rare</x:v>
      </x:c>
      <x:c r="Q744" t="n">
        <x:v>5000</x:v>
      </x:c>
      <x:c r="R744" t="str">
        <x:v>10d6</x:v>
      </x:c>
      <x:c r="S744" t="str">
        <x:v>PA</x:v>
      </x:c>
      <x:c r="T744" t="n">
        <x:v>0</x:v>
      </x:c>
      <x:c r="U744" t="n">
        <x:v>0</x:v>
      </x:c>
      <x:c r="V744" t="n">
        <x:v>15</x:v>
      </x:c>
      <x:c r="W744" t="n">
        <x:v>0</x:v>
      </x:c>
      <x:c r="X744" t="str">
        <x:v>VALUE: [[10d6]] PA 15 PA</x:v>
      </x:c>
    </x:row>
    <x:row r="745">
      <x:c r="P745" t="str">
        <x:v>8|Artificiel|Précieuse</x:v>
      </x:c>
      <x:c r="Q745" t="n">
        <x:v>8000</x:v>
      </x:c>
      <x:c r="R745" t="str">
        <x:v>10d10</x:v>
      </x:c>
      <x:c r="S745" t="str">
        <x:v>PA</x:v>
      </x:c>
      <x:c r="T745" t="n">
        <x:v>0</x:v>
      </x:c>
      <x:c r="U745" t="n">
        <x:v>0</x:v>
      </x:c>
      <x:c r="V745" t="n">
        <x:v>25</x:v>
      </x:c>
      <x:c r="W745" t="n">
        <x:v>0</x:v>
      </x:c>
      <x:c r="X745" t="str">
        <x:v>VALUE: [[10d10]] PA 25 PA</x:v>
      </x:c>
    </x:row>
    <x:row r="746">
      <x:c r="P746" t="str">
        <x:v>8|Artificiel|Exceptionnelle</x:v>
      </x:c>
      <x:c r="Q746" t="n">
        <x:v>14000</x:v>
      </x:c>
      <x:c r="R746" t="str">
        <x:v>9d20</x:v>
      </x:c>
      <x:c r="S746" t="str">
        <x:v>PA</x:v>
      </x:c>
      <x:c r="T746" t="n">
        <x:v>0</x:v>
      </x:c>
      <x:c r="U746" t="n">
        <x:v>0</x:v>
      </x:c>
      <x:c r="V746" t="n">
        <x:v>45</x:v>
      </x:c>
      <x:c r="W746" t="n">
        <x:v>50</x:v>
      </x:c>
      <x:c r="X746" t="str">
        <x:v>VALUE: [[9d20]] PA 45 PA 50 PC</x:v>
      </x:c>
    </x:row>
    <x:row r="747">
      <x:c r="P747" t="str">
        <x:v>8|Élémentaire|Commune</x:v>
      </x:c>
      <x:c r="Q747" t="n">
        <x:v>2500</x:v>
      </x:c>
      <x:c r="R747" t="str">
        <x:v>5d6</x:v>
      </x:c>
      <x:c r="S747" t="str">
        <x:v>PA</x:v>
      </x:c>
      <x:c r="T747" t="n">
        <x:v>0</x:v>
      </x:c>
      <x:c r="U747" t="n">
        <x:v>0</x:v>
      </x:c>
      <x:c r="V747" t="n">
        <x:v>7</x:v>
      </x:c>
      <x:c r="W747" t="n">
        <x:v>50</x:v>
      </x:c>
      <x:c r="X747" t="str">
        <x:v>VALUE: [[5d6]] PA 7 PA 50 PC</x:v>
      </x:c>
    </x:row>
    <x:row r="748">
      <x:c r="P748" t="str">
        <x:v>8|Élémentaire|Peu commune</x:v>
      </x:c>
      <x:c r="Q748" t="n">
        <x:v>3750</x:v>
      </x:c>
      <x:c r="R748" t="str">
        <x:v>4d12</x:v>
      </x:c>
      <x:c r="S748" t="str">
        <x:v>PA</x:v>
      </x:c>
      <x:c r="T748" t="n">
        <x:v>0</x:v>
      </x:c>
      <x:c r="U748" t="n">
        <x:v>0</x:v>
      </x:c>
      <x:c r="V748" t="n">
        <x:v>11</x:v>
      </x:c>
      <x:c r="W748" t="n">
        <x:v>50</x:v>
      </x:c>
      <x:c r="X748" t="str">
        <x:v>VALUE: [[4d12]] PA 11 PA 50 PC</x:v>
      </x:c>
    </x:row>
    <x:row r="749">
      <x:c r="P749" t="str">
        <x:v>8|Élémentaire|Rare</x:v>
      </x:c>
      <x:c r="Q749" t="n">
        <x:v>6250</x:v>
      </x:c>
      <x:c r="R749" t="str">
        <x:v>8d10</x:v>
      </x:c>
      <x:c r="S749" t="str">
        <x:v>PA</x:v>
      </x:c>
      <x:c r="T749" t="n">
        <x:v>0</x:v>
      </x:c>
      <x:c r="U749" t="n">
        <x:v>0</x:v>
      </x:c>
      <x:c r="V749" t="n">
        <x:v>18</x:v>
      </x:c>
      <x:c r="W749" t="n">
        <x:v>50</x:v>
      </x:c>
      <x:c r="X749" t="str">
        <x:v>VALUE: [[8d10]] PA 18 PA 50 PC</x:v>
      </x:c>
    </x:row>
    <x:row r="750">
      <x:c r="P750" t="str">
        <x:v>8|Élémentaire|Précieuse</x:v>
      </x:c>
      <x:c r="Q750" t="n">
        <x:v>10000</x:v>
      </x:c>
      <x:c r="R750" t="str">
        <x:v>7d20</x:v>
      </x:c>
      <x:c r="S750" t="str">
        <x:v>PA</x:v>
      </x:c>
      <x:c r="T750" t="n">
        <x:v>0</x:v>
      </x:c>
      <x:c r="U750" t="n">
        <x:v>0</x:v>
      </x:c>
      <x:c r="V750" t="n">
        <x:v>26</x:v>
      </x:c>
      <x:c r="W750" t="n">
        <x:v>50</x:v>
      </x:c>
      <x:c r="X750" t="str">
        <x:v>VALUE: [[7d20]] PA 26 PA 50 PC</x:v>
      </x:c>
    </x:row>
    <x:row r="751">
      <x:c r="P751" t="str">
        <x:v>8|Élémentaire|Exceptionnelle</x:v>
      </x:c>
      <x:c r="Q751" t="n">
        <x:v>17500</x:v>
      </x:c>
      <x:c r="R751" t="str">
        <x:v>10d20</x:v>
      </x:c>
      <x:c r="S751" t="str">
        <x:v>PA</x:v>
      </x:c>
      <x:c r="T751" t="n">
        <x:v>0</x:v>
      </x:c>
      <x:c r="U751" t="n">
        <x:v>0</x:v>
      </x:c>
      <x:c r="V751" t="n">
        <x:v>70</x:v>
      </x:c>
      <x:c r="W751" t="n">
        <x:v>0</x:v>
      </x:c>
      <x:c r="X751" t="str">
        <x:v>VALUE: [[10d20]] PA 70 PA</x:v>
      </x:c>
    </x:row>
    <x:row r="752">
      <x:c r="P752" t="str">
        <x:v>8|Esprit|Commune</x:v>
      </x:c>
      <x:c r="Q752" t="n">
        <x:v>2500</x:v>
      </x:c>
      <x:c r="R752" t="str">
        <x:v>5d6</x:v>
      </x:c>
      <x:c r="S752" t="str">
        <x:v>PA</x:v>
      </x:c>
      <x:c r="T752" t="n">
        <x:v>0</x:v>
      </x:c>
      <x:c r="U752" t="n">
        <x:v>0</x:v>
      </x:c>
      <x:c r="V752" t="n">
        <x:v>7</x:v>
      </x:c>
      <x:c r="W752" t="n">
        <x:v>50</x:v>
      </x:c>
      <x:c r="X752" t="str">
        <x:v>VALUE: [[5d6]] PA 7 PA 50 PC</x:v>
      </x:c>
    </x:row>
    <x:row r="753">
      <x:c r="P753" t="str">
        <x:v>8|Esprit|Peu commune</x:v>
      </x:c>
      <x:c r="Q753" t="n">
        <x:v>3750</x:v>
      </x:c>
      <x:c r="R753" t="str">
        <x:v>4d12</x:v>
      </x:c>
      <x:c r="S753" t="str">
        <x:v>PA</x:v>
      </x:c>
      <x:c r="T753" t="n">
        <x:v>0</x:v>
      </x:c>
      <x:c r="U753" t="n">
        <x:v>0</x:v>
      </x:c>
      <x:c r="V753" t="n">
        <x:v>11</x:v>
      </x:c>
      <x:c r="W753" t="n">
        <x:v>50</x:v>
      </x:c>
      <x:c r="X753" t="str">
        <x:v>VALUE: [[4d12]] PA 11 PA 50 PC</x:v>
      </x:c>
    </x:row>
    <x:row r="754">
      <x:c r="P754" t="str">
        <x:v>8|Esprit|Rare</x:v>
      </x:c>
      <x:c r="Q754" t="n">
        <x:v>6250</x:v>
      </x:c>
      <x:c r="R754" t="str">
        <x:v>8d10</x:v>
      </x:c>
      <x:c r="S754" t="str">
        <x:v>PA</x:v>
      </x:c>
      <x:c r="T754" t="n">
        <x:v>0</x:v>
      </x:c>
      <x:c r="U754" t="n">
        <x:v>0</x:v>
      </x:c>
      <x:c r="V754" t="n">
        <x:v>18</x:v>
      </x:c>
      <x:c r="W754" t="n">
        <x:v>50</x:v>
      </x:c>
      <x:c r="X754" t="str">
        <x:v>VALUE: [[8d10]] PA 18 PA 50 PC</x:v>
      </x:c>
    </x:row>
    <x:row r="755">
      <x:c r="P755" t="str">
        <x:v>8|Esprit|Précieuse</x:v>
      </x:c>
      <x:c r="Q755" t="n">
        <x:v>10000</x:v>
      </x:c>
      <x:c r="R755" t="str">
        <x:v>7d20</x:v>
      </x:c>
      <x:c r="S755" t="str">
        <x:v>PA</x:v>
      </x:c>
      <x:c r="T755" t="n">
        <x:v>0</x:v>
      </x:c>
      <x:c r="U755" t="n">
        <x:v>0</x:v>
      </x:c>
      <x:c r="V755" t="n">
        <x:v>26</x:v>
      </x:c>
      <x:c r="W755" t="n">
        <x:v>50</x:v>
      </x:c>
      <x:c r="X755" t="str">
        <x:v>VALUE: [[7d20]] PA 26 PA 50 PC</x:v>
      </x:c>
    </x:row>
    <x:row r="756">
      <x:c r="P756" t="str">
        <x:v>8|Esprit|Exceptionnelle</x:v>
      </x:c>
      <x:c r="Q756" t="n">
        <x:v>17500</x:v>
      </x:c>
      <x:c r="R756" t="str">
        <x:v>10d20</x:v>
      </x:c>
      <x:c r="S756" t="str">
        <x:v>PA</x:v>
      </x:c>
      <x:c r="T756" t="n">
        <x:v>0</x:v>
      </x:c>
      <x:c r="U756" t="n">
        <x:v>0</x:v>
      </x:c>
      <x:c r="V756" t="n">
        <x:v>70</x:v>
      </x:c>
      <x:c r="W756" t="n">
        <x:v>0</x:v>
      </x:c>
      <x:c r="X756" t="str">
        <x:v>VALUE: [[10d20]] PA 70 PA</x:v>
      </x:c>
    </x:row>
    <x:row r="757">
      <x:c r="P757" t="str">
        <x:v>8|Céleste|Commune</x:v>
      </x:c>
      <x:c r="Q757" t="n">
        <x:v>3000</x:v>
      </x:c>
      <x:c r="R757" t="str">
        <x:v>2d20</x:v>
      </x:c>
      <x:c r="S757" t="str">
        <x:v>PA</x:v>
      </x:c>
      <x:c r="T757" t="n">
        <x:v>0</x:v>
      </x:c>
      <x:c r="U757" t="n">
        <x:v>0</x:v>
      </x:c>
      <x:c r="V757" t="n">
        <x:v>9</x:v>
      </x:c>
      <x:c r="W757" t="n">
        <x:v>0</x:v>
      </x:c>
      <x:c r="X757" t="str">
        <x:v>VALUE: [[2d20]] PA 9 PA</x:v>
      </x:c>
    </x:row>
    <x:row r="758">
      <x:c r="P758" t="str">
        <x:v>8|Céleste|Peu commune</x:v>
      </x:c>
      <x:c r="Q758" t="n">
        <x:v>4500</x:v>
      </x:c>
      <x:c r="R758" t="str">
        <x:v>3d20</x:v>
      </x:c>
      <x:c r="S758" t="str">
        <x:v>PA</x:v>
      </x:c>
      <x:c r="T758" t="n">
        <x:v>0</x:v>
      </x:c>
      <x:c r="U758" t="n">
        <x:v>0</x:v>
      </x:c>
      <x:c r="V758" t="n">
        <x:v>13</x:v>
      </x:c>
      <x:c r="W758" t="n">
        <x:v>50</x:v>
      </x:c>
      <x:c r="X758" t="str">
        <x:v>VALUE: [[3d20]] PA 13 PA 50 PC</x:v>
      </x:c>
    </x:row>
    <x:row r="759">
      <x:c r="P759" t="str">
        <x:v>8|Céleste|Rare</x:v>
      </x:c>
      <x:c r="Q759" t="n">
        <x:v>7500</x:v>
      </x:c>
      <x:c r="R759" t="str">
        <x:v>5d20</x:v>
      </x:c>
      <x:c r="S759" t="str">
        <x:v>PA</x:v>
      </x:c>
      <x:c r="T759" t="n">
        <x:v>0</x:v>
      </x:c>
      <x:c r="U759" t="n">
        <x:v>0</x:v>
      </x:c>
      <x:c r="V759" t="n">
        <x:v>22</x:v>
      </x:c>
      <x:c r="W759" t="n">
        <x:v>50</x:v>
      </x:c>
      <x:c r="X759" t="str">
        <x:v>VALUE: [[5d20]] PA 22 PA 50 PC</x:v>
      </x:c>
    </x:row>
    <x:row r="760">
      <x:c r="P760" t="str">
        <x:v>8|Céleste|Précieuse</x:v>
      </x:c>
      <x:c r="Q760" t="n">
        <x:v>12000</x:v>
      </x:c>
      <x:c r="R760" t="str">
        <x:v>8d20</x:v>
      </x:c>
      <x:c r="S760" t="str">
        <x:v>PA</x:v>
      </x:c>
      <x:c r="T760" t="n">
        <x:v>0</x:v>
      </x:c>
      <x:c r="U760" t="n">
        <x:v>0</x:v>
      </x:c>
      <x:c r="V760" t="n">
        <x:v>36</x:v>
      </x:c>
      <x:c r="W760" t="n">
        <x:v>0</x:v>
      </x:c>
      <x:c r="X760" t="str">
        <x:v>VALUE: [[8d20]] PA 36 PA</x:v>
      </x:c>
    </x:row>
    <x:row r="761">
      <x:c r="P761" t="str">
        <x:v>8|Céleste|Exceptionnelle</x:v>
      </x:c>
      <x:c r="Q761" t="n">
        <x:v>21000</x:v>
      </x:c>
      <x:c r="R761" t="str">
        <x:v>10d20</x:v>
      </x:c>
      <x:c r="S761" t="str">
        <x:v>PA</x:v>
      </x:c>
      <x:c r="T761" t="n">
        <x:v>0</x:v>
      </x:c>
      <x:c r="U761" t="n">
        <x:v>1</x:v>
      </x:c>
      <x:c r="V761" t="n">
        <x:v>5</x:v>
      </x:c>
      <x:c r="W761" t="n">
        <x:v>0</x:v>
      </x:c>
      <x:c r="X761" t="str">
        <x:v>VALUE: [[10d20]] PA 1 PO 5 PA</x:v>
      </x:c>
    </x:row>
    <x:row r="762">
      <x:c r="P762" t="str">
        <x:v>8|Dragon|Commune</x:v>
      </x:c>
      <x:c r="Q762" t="n">
        <x:v>5000</x:v>
      </x:c>
      <x:c r="R762" t="str">
        <x:v>10d6</x:v>
      </x:c>
      <x:c r="S762" t="str">
        <x:v>PA</x:v>
      </x:c>
      <x:c r="T762" t="n">
        <x:v>0</x:v>
      </x:c>
      <x:c r="U762" t="n">
        <x:v>0</x:v>
      </x:c>
      <x:c r="V762" t="n">
        <x:v>15</x:v>
      </x:c>
      <x:c r="W762" t="n">
        <x:v>0</x:v>
      </x:c>
      <x:c r="X762" t="str">
        <x:v>VALUE: [[10d6]] PA 15 PA</x:v>
      </x:c>
    </x:row>
    <x:row r="763">
      <x:c r="P763" t="str">
        <x:v>8|Dragon|Peu commune</x:v>
      </x:c>
      <x:c r="Q763" t="n">
        <x:v>7500</x:v>
      </x:c>
      <x:c r="R763" t="str">
        <x:v>5d20</x:v>
      </x:c>
      <x:c r="S763" t="str">
        <x:v>PA</x:v>
      </x:c>
      <x:c r="T763" t="n">
        <x:v>0</x:v>
      </x:c>
      <x:c r="U763" t="n">
        <x:v>0</x:v>
      </x:c>
      <x:c r="V763" t="n">
        <x:v>22</x:v>
      </x:c>
      <x:c r="W763" t="n">
        <x:v>50</x:v>
      </x:c>
      <x:c r="X763" t="str">
        <x:v>VALUE: [[5d20]] PA 22 PA 50 PC</x:v>
      </x:c>
    </x:row>
    <x:row r="764">
      <x:c r="P764" t="str">
        <x:v>8|Dragon|Rare</x:v>
      </x:c>
      <x:c r="Q764" t="n">
        <x:v>12500</x:v>
      </x:c>
      <x:c r="R764" t="str">
        <x:v>8d20</x:v>
      </x:c>
      <x:c r="S764" t="str">
        <x:v>PA</x:v>
      </x:c>
      <x:c r="T764" t="n">
        <x:v>0</x:v>
      </x:c>
      <x:c r="U764" t="n">
        <x:v>0</x:v>
      </x:c>
      <x:c r="V764" t="n">
        <x:v>41</x:v>
      </x:c>
      <x:c r="W764" t="n">
        <x:v>0</x:v>
      </x:c>
      <x:c r="X764" t="str">
        <x:v>VALUE: [[8d20]] PA 41 PA</x:v>
      </x:c>
    </x:row>
    <x:row r="765">
      <x:c r="P765" t="str">
        <x:v>8|Dragon|Précieuse</x:v>
      </x:c>
      <x:c r="Q765" t="n">
        <x:v>20000</x:v>
      </x:c>
      <x:c r="R765" t="str">
        <x:v>10d20</x:v>
      </x:c>
      <x:c r="S765" t="str">
        <x:v>PA</x:v>
      </x:c>
      <x:c r="T765" t="n">
        <x:v>0</x:v>
      </x:c>
      <x:c r="U765" t="n">
        <x:v>0</x:v>
      </x:c>
      <x:c r="V765" t="n">
        <x:v>95</x:v>
      </x:c>
      <x:c r="W765" t="n">
        <x:v>0</x:v>
      </x:c>
      <x:c r="X765" t="str">
        <x:v>VALUE: [[10d20]] PA 95 PA</x:v>
      </x:c>
    </x:row>
    <x:row r="766">
      <x:c r="P766" t="str">
        <x:v>8|Dragon|Exceptionnelle</x:v>
      </x:c>
      <x:c r="Q766" t="n">
        <x:v>35000</x:v>
      </x:c>
      <x:c r="R766" t="str">
        <x:v>1d4</x:v>
      </x:c>
      <x:c r="S766" t="str">
        <x:v>PO</x:v>
      </x:c>
      <x:c r="T766" t="n">
        <x:v>0</x:v>
      </x:c>
      <x:c r="U766" t="n">
        <x:v>1</x:v>
      </x:c>
      <x:c r="V766" t="n">
        <x:v>0</x:v>
      </x:c>
      <x:c r="W766" t="n">
        <x:v>0</x:v>
      </x:c>
      <x:c r="X766" t="str">
        <x:v>VALUE: [[1d4]] PO 1 PO</x:v>
      </x:c>
    </x:row>
    <x:row r="767">
      <x:c r="P767" t="str">
        <x:v>9|Vermine|Commune</x:v>
      </x:c>
      <x:c r="Q767" t="n">
        <x:v>595</x:v>
      </x:c>
      <x:c r="R767" t="str">
        <x:v>1d8</x:v>
      </x:c>
      <x:c r="S767" t="str">
        <x:v>PA</x:v>
      </x:c>
      <x:c r="T767" t="n">
        <x:v>0</x:v>
      </x:c>
      <x:c r="U767" t="n">
        <x:v>0</x:v>
      </x:c>
      <x:c r="V767" t="n">
        <x:v>1</x:v>
      </x:c>
      <x:c r="W767" t="n">
        <x:v>45</x:v>
      </x:c>
      <x:c r="X767" t="str">
        <x:v>VALUE: [[1d8]] PA 1 PA 45 PC</x:v>
      </x:c>
    </x:row>
    <x:row r="768">
      <x:c r="P768" t="str">
        <x:v>9|Vermine|Peu commune</x:v>
      </x:c>
      <x:c r="Q768" t="n">
        <x:v>892</x:v>
      </x:c>
      <x:c r="R768" t="str">
        <x:v>1d12</x:v>
      </x:c>
      <x:c r="S768" t="str">
        <x:v>PA</x:v>
      </x:c>
      <x:c r="T768" t="n">
        <x:v>0</x:v>
      </x:c>
      <x:c r="U768" t="n">
        <x:v>0</x:v>
      </x:c>
      <x:c r="V768" t="n">
        <x:v>2</x:v>
      </x:c>
      <x:c r="W768" t="n">
        <x:v>42</x:v>
      </x:c>
      <x:c r="X768" t="str">
        <x:v>VALUE: [[1d12]] PA 2 PA 42 PC</x:v>
      </x:c>
    </x:row>
    <x:row r="769">
      <x:c r="P769" t="str">
        <x:v>9|Vermine|Rare</x:v>
      </x:c>
      <x:c r="Q769" t="n">
        <x:v>1488</x:v>
      </x:c>
      <x:c r="R769" t="str">
        <x:v>1d20</x:v>
      </x:c>
      <x:c r="S769" t="str">
        <x:v>PA</x:v>
      </x:c>
      <x:c r="T769" t="n">
        <x:v>0</x:v>
      </x:c>
      <x:c r="U769" t="n">
        <x:v>0</x:v>
      </x:c>
      <x:c r="V769" t="n">
        <x:v>4</x:v>
      </x:c>
      <x:c r="W769" t="n">
        <x:v>38</x:v>
      </x:c>
      <x:c r="X769" t="str">
        <x:v>VALUE: [[1d20]] PA 4 PA 38 PC</x:v>
      </x:c>
    </x:row>
    <x:row r="770">
      <x:c r="P770" t="str">
        <x:v>9|Vermine|Précieuse</x:v>
      </x:c>
      <x:c r="Q770" t="n">
        <x:v>2380</x:v>
      </x:c>
      <x:c r="R770" t="str">
        <x:v>3d10</x:v>
      </x:c>
      <x:c r="S770" t="str">
        <x:v>PA</x:v>
      </x:c>
      <x:c r="T770" t="n">
        <x:v>0</x:v>
      </x:c>
      <x:c r="U770" t="n">
        <x:v>0</x:v>
      </x:c>
      <x:c r="V770" t="n">
        <x:v>7</x:v>
      </x:c>
      <x:c r="W770" t="n">
        <x:v>30</x:v>
      </x:c>
      <x:c r="X770" t="str">
        <x:v>VALUE: [[3d10]] PA 7 PA 30 PC</x:v>
      </x:c>
    </x:row>
    <x:row r="771">
      <x:c r="P771" t="str">
        <x:v>9|Vermine|Exceptionnelle</x:v>
      </x:c>
      <x:c r="Q771" t="n">
        <x:v>4165</x:v>
      </x:c>
      <x:c r="R771" t="str">
        <x:v>8d6</x:v>
      </x:c>
      <x:c r="S771" t="str">
        <x:v>PA</x:v>
      </x:c>
      <x:c r="T771" t="n">
        <x:v>0</x:v>
      </x:c>
      <x:c r="U771" t="n">
        <x:v>0</x:v>
      </x:c>
      <x:c r="V771" t="n">
        <x:v>13</x:v>
      </x:c>
      <x:c r="W771" t="n">
        <x:v>65</x:v>
      </x:c>
      <x:c r="X771" t="str">
        <x:v>VALUE: [[8d6]] PA 13 PA 65 PC</x:v>
      </x:c>
    </x:row>
    <x:row r="772">
      <x:c r="P772" t="str">
        <x:v>9|Bête|Commune</x:v>
      </x:c>
      <x:c r="Q772" t="n">
        <x:v>1020</x:v>
      </x:c>
      <x:c r="R772" t="str">
        <x:v>2d6</x:v>
      </x:c>
      <x:c r="S772" t="str">
        <x:v>PA</x:v>
      </x:c>
      <x:c r="T772" t="n">
        <x:v>0</x:v>
      </x:c>
      <x:c r="U772" t="n">
        <x:v>0</x:v>
      </x:c>
      <x:c r="V772" t="n">
        <x:v>3</x:v>
      </x:c>
      <x:c r="W772" t="n">
        <x:v>20</x:v>
      </x:c>
      <x:c r="X772" t="str">
        <x:v>VALUE: [[2d6]] PA 3 PA 20 PC</x:v>
      </x:c>
    </x:row>
    <x:row r="773">
      <x:c r="P773" t="str">
        <x:v>9|Bête|Peu commune</x:v>
      </x:c>
      <x:c r="Q773" t="n">
        <x:v>1530</x:v>
      </x:c>
      <x:c r="R773" t="str">
        <x:v>1d20</x:v>
      </x:c>
      <x:c r="S773" t="str">
        <x:v>PA</x:v>
      </x:c>
      <x:c r="T773" t="n">
        <x:v>0</x:v>
      </x:c>
      <x:c r="U773" t="n">
        <x:v>0</x:v>
      </x:c>
      <x:c r="V773" t="n">
        <x:v>4</x:v>
      </x:c>
      <x:c r="W773" t="n">
        <x:v>80</x:v>
      </x:c>
      <x:c r="X773" t="str">
        <x:v>VALUE: [[1d20]] PA 4 PA 80 PC</x:v>
      </x:c>
    </x:row>
    <x:row r="774">
      <x:c r="P774" t="str">
        <x:v>9|Bête|Rare</x:v>
      </x:c>
      <x:c r="Q774" t="n">
        <x:v>2550</x:v>
      </x:c>
      <x:c r="R774" t="str">
        <x:v>4d8</x:v>
      </x:c>
      <x:c r="S774" t="str">
        <x:v>PA</x:v>
      </x:c>
      <x:c r="T774" t="n">
        <x:v>0</x:v>
      </x:c>
      <x:c r="U774" t="n">
        <x:v>0</x:v>
      </x:c>
      <x:c r="V774" t="n">
        <x:v>7</x:v>
      </x:c>
      <x:c r="W774" t="n">
        <x:v>50</x:v>
      </x:c>
      <x:c r="X774" t="str">
        <x:v>VALUE: [[4d8]] PA 7 PA 50 PC</x:v>
      </x:c>
    </x:row>
    <x:row r="775">
      <x:c r="P775" t="str">
        <x:v>9|Bête|Précieuse</x:v>
      </x:c>
      <x:c r="Q775" t="n">
        <x:v>4080</x:v>
      </x:c>
      <x:c r="R775" t="str">
        <x:v>8d6</x:v>
      </x:c>
      <x:c r="S775" t="str">
        <x:v>PA</x:v>
      </x:c>
      <x:c r="T775" t="n">
        <x:v>0</x:v>
      </x:c>
      <x:c r="U775" t="n">
        <x:v>0</x:v>
      </x:c>
      <x:c r="V775" t="n">
        <x:v>12</x:v>
      </x:c>
      <x:c r="W775" t="n">
        <x:v>80</x:v>
      </x:c>
      <x:c r="X775" t="str">
        <x:v>VALUE: [[8d6]] PA 12 PA 80 PC</x:v>
      </x:c>
    </x:row>
    <x:row r="776">
      <x:c r="P776" t="str">
        <x:v>9|Bête|Exceptionnelle</x:v>
      </x:c>
      <x:c r="Q776" t="n">
        <x:v>7140</x:v>
      </x:c>
      <x:c r="R776" t="str">
        <x:v>9d10</x:v>
      </x:c>
      <x:c r="S776" t="str">
        <x:v>PA</x:v>
      </x:c>
      <x:c r="T776" t="n">
        <x:v>0</x:v>
      </x:c>
      <x:c r="U776" t="n">
        <x:v>0</x:v>
      </x:c>
      <x:c r="V776" t="n">
        <x:v>21</x:v>
      </x:c>
      <x:c r="W776" t="n">
        <x:v>90</x:v>
      </x:c>
      <x:c r="X776" t="str">
        <x:v>VALUE: [[9d10]] PA 21 PA 90 PC</x:v>
      </x:c>
    </x:row>
    <x:row r="777">
      <x:c r="P777" t="str">
        <x:v>9|Aquatique|Commune</x:v>
      </x:c>
      <x:c r="Q777" t="n">
        <x:v>1190</x:v>
      </x:c>
      <x:c r="R777" t="str">
        <x:v>2d8</x:v>
      </x:c>
      <x:c r="S777" t="str">
        <x:v>PA</x:v>
      </x:c>
      <x:c r="T777" t="n">
        <x:v>0</x:v>
      </x:c>
      <x:c r="U777" t="n">
        <x:v>0</x:v>
      </x:c>
      <x:c r="V777" t="n">
        <x:v>2</x:v>
      </x:c>
      <x:c r="W777" t="n">
        <x:v>90</x:v>
      </x:c>
      <x:c r="X777" t="str">
        <x:v>VALUE: [[2d8]] PA 2 PA 90 PC</x:v>
      </x:c>
    </x:row>
    <x:row r="778">
      <x:c r="P778" t="str">
        <x:v>9|Aquatique|Peu commune</x:v>
      </x:c>
      <x:c r="Q778" t="n">
        <x:v>1785</x:v>
      </x:c>
      <x:c r="R778" t="str">
        <x:v>5d4</x:v>
      </x:c>
      <x:c r="S778" t="str">
        <x:v>PA</x:v>
      </x:c>
      <x:c r="T778" t="n">
        <x:v>0</x:v>
      </x:c>
      <x:c r="U778" t="n">
        <x:v>0</x:v>
      </x:c>
      <x:c r="V778" t="n">
        <x:v>5</x:v>
      </x:c>
      <x:c r="W778" t="n">
        <x:v>35</x:v>
      </x:c>
      <x:c r="X778" t="str">
        <x:v>VALUE: [[5d4]] PA 5 PA 35 PC</x:v>
      </x:c>
    </x:row>
    <x:row r="779">
      <x:c r="P779" t="str">
        <x:v>9|Aquatique|Rare</x:v>
      </x:c>
      <x:c r="Q779" t="n">
        <x:v>2975</x:v>
      </x:c>
      <x:c r="R779" t="str">
        <x:v>2d20</x:v>
      </x:c>
      <x:c r="S779" t="str">
        <x:v>PA</x:v>
      </x:c>
      <x:c r="T779" t="n">
        <x:v>0</x:v>
      </x:c>
      <x:c r="U779" t="n">
        <x:v>0</x:v>
      </x:c>
      <x:c r="V779" t="n">
        <x:v>8</x:v>
      </x:c>
      <x:c r="W779" t="n">
        <x:v>75</x:v>
      </x:c>
      <x:c r="X779" t="str">
        <x:v>VALUE: [[2d20]] PA 8 PA 75 PC</x:v>
      </x:c>
    </x:row>
    <x:row r="780">
      <x:c r="P780" t="str">
        <x:v>9|Aquatique|Précieuse</x:v>
      </x:c>
      <x:c r="Q780" t="n">
        <x:v>4760</x:v>
      </x:c>
      <x:c r="R780" t="str">
        <x:v>6d10</x:v>
      </x:c>
      <x:c r="S780" t="str">
        <x:v>PA</x:v>
      </x:c>
      <x:c r="T780" t="n">
        <x:v>0</x:v>
      </x:c>
      <x:c r="U780" t="n">
        <x:v>0</x:v>
      </x:c>
      <x:c r="V780" t="n">
        <x:v>14</x:v>
      </x:c>
      <x:c r="W780" t="n">
        <x:v>60</x:v>
      </x:c>
      <x:c r="X780" t="str">
        <x:v>VALUE: [[6d10]] PA 14 PA 60 PC</x:v>
      </x:c>
    </x:row>
    <x:row r="781">
      <x:c r="P781" t="str">
        <x:v>9|Aquatique|Exceptionnelle</x:v>
      </x:c>
      <x:c r="Q781" t="n">
        <x:v>8330</x:v>
      </x:c>
      <x:c r="R781" t="str">
        <x:v>9d12</x:v>
      </x:c>
      <x:c r="S781" t="str">
        <x:v>PA</x:v>
      </x:c>
      <x:c r="T781" t="n">
        <x:v>0</x:v>
      </x:c>
      <x:c r="U781" t="n">
        <x:v>0</x:v>
      </x:c>
      <x:c r="V781" t="n">
        <x:v>24</x:v>
      </x:c>
      <x:c r="W781" t="n">
        <x:v>80</x:v>
      </x:c>
      <x:c r="X781" t="str">
        <x:v>VALUE: [[9d12]] PA 24 PA 80 PC</x:v>
      </x:c>
    </x:row>
    <x:row r="782">
      <x:c r="P782" t="str">
        <x:v>9|Plante|Commune</x:v>
      </x:c>
      <x:c r="Q782" t="n">
        <x:v>1360</x:v>
      </x:c>
      <x:c r="R782" t="str">
        <x:v>4d4</x:v>
      </x:c>
      <x:c r="S782" t="str">
        <x:v>PA</x:v>
      </x:c>
      <x:c r="T782" t="n">
        <x:v>0</x:v>
      </x:c>
      <x:c r="U782" t="n">
        <x:v>0</x:v>
      </x:c>
      <x:c r="V782" t="n">
        <x:v>3</x:v>
      </x:c>
      <x:c r="W782" t="n">
        <x:v>60</x:v>
      </x:c>
      <x:c r="X782" t="str">
        <x:v>VALUE: [[4d4]] PA 3 PA 60 PC</x:v>
      </x:c>
    </x:row>
    <x:row r="783">
      <x:c r="P783" t="str">
        <x:v>9|Plante|Peu commune</x:v>
      </x:c>
      <x:c r="Q783" t="n">
        <x:v>2040</x:v>
      </x:c>
      <x:c r="R783" t="str">
        <x:v>4d6</x:v>
      </x:c>
      <x:c r="S783" t="str">
        <x:v>PA</x:v>
      </x:c>
      <x:c r="T783" t="n">
        <x:v>0</x:v>
      </x:c>
      <x:c r="U783" t="n">
        <x:v>0</x:v>
      </x:c>
      <x:c r="V783" t="n">
        <x:v>6</x:v>
      </x:c>
      <x:c r="W783" t="n">
        <x:v>40</x:v>
      </x:c>
      <x:c r="X783" t="str">
        <x:v>VALUE: [[4d6]] PA 6 PA 40 PC</x:v>
      </x:c>
    </x:row>
    <x:row r="784">
      <x:c r="P784" t="str">
        <x:v>9|Plante|Rare</x:v>
      </x:c>
      <x:c r="Q784" t="n">
        <x:v>3400</x:v>
      </x:c>
      <x:c r="R784" t="str">
        <x:v>7d6</x:v>
      </x:c>
      <x:c r="S784" t="str">
        <x:v>PA</x:v>
      </x:c>
      <x:c r="T784" t="n">
        <x:v>0</x:v>
      </x:c>
      <x:c r="U784" t="n">
        <x:v>0</x:v>
      </x:c>
      <x:c r="V784" t="n">
        <x:v>9</x:v>
      </x:c>
      <x:c r="W784" t="n">
        <x:v>50</x:v>
      </x:c>
      <x:c r="X784" t="str">
        <x:v>VALUE: [[7d6]] PA 9 PA 50 PC</x:v>
      </x:c>
    </x:row>
    <x:row r="785">
      <x:c r="P785" t="str">
        <x:v>9|Plante|Précieuse</x:v>
      </x:c>
      <x:c r="Q785" t="n">
        <x:v>5440</x:v>
      </x:c>
      <x:c r="R785" t="str">
        <x:v>7d10</x:v>
      </x:c>
      <x:c r="S785" t="str">
        <x:v>PA</x:v>
      </x:c>
      <x:c r="T785" t="n">
        <x:v>0</x:v>
      </x:c>
      <x:c r="U785" t="n">
        <x:v>0</x:v>
      </x:c>
      <x:c r="V785" t="n">
        <x:v>15</x:v>
      </x:c>
      <x:c r="W785" t="n">
        <x:v>90</x:v>
      </x:c>
      <x:c r="X785" t="str">
        <x:v>VALUE: [[7d10]] PA 15 PA 90 PC</x:v>
      </x:c>
    </x:row>
    <x:row r="786">
      <x:c r="P786" t="str">
        <x:v>9|Plante|Exceptionnelle</x:v>
      </x:c>
      <x:c r="Q786" t="n">
        <x:v>9520</x:v>
      </x:c>
      <x:c r="R786" t="str">
        <x:v>10d12</x:v>
      </x:c>
      <x:c r="S786" t="str">
        <x:v>PA</x:v>
      </x:c>
      <x:c r="T786" t="n">
        <x:v>0</x:v>
      </x:c>
      <x:c r="U786" t="n">
        <x:v>0</x:v>
      </x:c>
      <x:c r="V786" t="n">
        <x:v>30</x:v>
      </x:c>
      <x:c r="W786" t="n">
        <x:v>20</x:v>
      </x:c>
      <x:c r="X786" t="str">
        <x:v>VALUE: [[10d12]] PA 30 PA 20 PC</x:v>
      </x:c>
    </x:row>
    <x:row r="787">
      <x:c r="P787" t="str">
        <x:v>9|Humanoïde|Commune</x:v>
      </x:c>
      <x:c r="Q787" t="n">
        <x:v>1700</x:v>
      </x:c>
      <x:c r="R787" t="str">
        <x:v>5d4</x:v>
      </x:c>
      <x:c r="S787" t="str">
        <x:v>PA</x:v>
      </x:c>
      <x:c r="T787" t="n">
        <x:v>0</x:v>
      </x:c>
      <x:c r="U787" t="n">
        <x:v>0</x:v>
      </x:c>
      <x:c r="V787" t="n">
        <x:v>4</x:v>
      </x:c>
      <x:c r="W787" t="n">
        <x:v>50</x:v>
      </x:c>
      <x:c r="X787" t="str">
        <x:v>VALUE: [[5d4]] PA 4 PA 50 PC</x:v>
      </x:c>
    </x:row>
    <x:row r="788">
      <x:c r="P788" t="str">
        <x:v>9|Humanoïde|Peu commune</x:v>
      </x:c>
      <x:c r="Q788" t="n">
        <x:v>2550</x:v>
      </x:c>
      <x:c r="R788" t="str">
        <x:v>4d8</x:v>
      </x:c>
      <x:c r="S788" t="str">
        <x:v>PA</x:v>
      </x:c>
      <x:c r="T788" t="n">
        <x:v>0</x:v>
      </x:c>
      <x:c r="U788" t="n">
        <x:v>0</x:v>
      </x:c>
      <x:c r="V788" t="n">
        <x:v>7</x:v>
      </x:c>
      <x:c r="W788" t="n">
        <x:v>50</x:v>
      </x:c>
      <x:c r="X788" t="str">
        <x:v>VALUE: [[4d8]] PA 7 PA 50 PC</x:v>
      </x:c>
    </x:row>
    <x:row r="789">
      <x:c r="P789" t="str">
        <x:v>9|Humanoïde|Rare</x:v>
      </x:c>
      <x:c r="Q789" t="n">
        <x:v>4250</x:v>
      </x:c>
      <x:c r="R789" t="str">
        <x:v>3d20</x:v>
      </x:c>
      <x:c r="S789" t="str">
        <x:v>PA</x:v>
      </x:c>
      <x:c r="T789" t="n">
        <x:v>0</x:v>
      </x:c>
      <x:c r="U789" t="n">
        <x:v>0</x:v>
      </x:c>
      <x:c r="V789" t="n">
        <x:v>11</x:v>
      </x:c>
      <x:c r="W789" t="n">
        <x:v>0</x:v>
      </x:c>
      <x:c r="X789" t="str">
        <x:v>VALUE: [[3d20]] PA 11 PA</x:v>
      </x:c>
    </x:row>
    <x:row r="790">
      <x:c r="P790" t="str">
        <x:v>9|Humanoïde|Précieuse</x:v>
      </x:c>
      <x:c r="Q790" t="n">
        <x:v>6800</x:v>
      </x:c>
      <x:c r="R790" t="str">
        <x:v>9d10</x:v>
      </x:c>
      <x:c r="S790" t="str">
        <x:v>PA</x:v>
      </x:c>
      <x:c r="T790" t="n">
        <x:v>0</x:v>
      </x:c>
      <x:c r="U790" t="n">
        <x:v>0</x:v>
      </x:c>
      <x:c r="V790" t="n">
        <x:v>18</x:v>
      </x:c>
      <x:c r="W790" t="n">
        <x:v>50</x:v>
      </x:c>
      <x:c r="X790" t="str">
        <x:v>VALUE: [[9d10]] PA 18 PA 50 PC</x:v>
      </x:c>
    </x:row>
    <x:row r="791">
      <x:c r="P791" t="str">
        <x:v>9|Humanoïde|Exceptionnelle</x:v>
      </x:c>
      <x:c r="Q791" t="n">
        <x:v>11900</x:v>
      </x:c>
      <x:c r="R791" t="str">
        <x:v>8d20</x:v>
      </x:c>
      <x:c r="S791" t="str">
        <x:v>PA</x:v>
      </x:c>
      <x:c r="T791" t="n">
        <x:v>0</x:v>
      </x:c>
      <x:c r="U791" t="n">
        <x:v>0</x:v>
      </x:c>
      <x:c r="V791" t="n">
        <x:v>35</x:v>
      </x:c>
      <x:c r="W791" t="n">
        <x:v>0</x:v>
      </x:c>
      <x:c r="X791" t="str">
        <x:v>VALUE: [[8d20]] PA 35 PA</x:v>
      </x:c>
    </x:row>
    <x:row r="792">
      <x:c r="P792" t="str">
        <x:v>9|Mort-vivant|Commune</x:v>
      </x:c>
      <x:c r="Q792" t="n">
        <x:v>1700</x:v>
      </x:c>
      <x:c r="R792" t="str">
        <x:v>5d4</x:v>
      </x:c>
      <x:c r="S792" t="str">
        <x:v>PA</x:v>
      </x:c>
      <x:c r="T792" t="n">
        <x:v>0</x:v>
      </x:c>
      <x:c r="U792" t="n">
        <x:v>0</x:v>
      </x:c>
      <x:c r="V792" t="n">
        <x:v>4</x:v>
      </x:c>
      <x:c r="W792" t="n">
        <x:v>50</x:v>
      </x:c>
      <x:c r="X792" t="str">
        <x:v>VALUE: [[5d4]] PA 4 PA 50 PC</x:v>
      </x:c>
    </x:row>
    <x:row r="793">
      <x:c r="P793" t="str">
        <x:v>9|Mort-vivant|Peu commune</x:v>
      </x:c>
      <x:c r="Q793" t="n">
        <x:v>2550</x:v>
      </x:c>
      <x:c r="R793" t="str">
        <x:v>4d8</x:v>
      </x:c>
      <x:c r="S793" t="str">
        <x:v>PA</x:v>
      </x:c>
      <x:c r="T793" t="n">
        <x:v>0</x:v>
      </x:c>
      <x:c r="U793" t="n">
        <x:v>0</x:v>
      </x:c>
      <x:c r="V793" t="n">
        <x:v>7</x:v>
      </x:c>
      <x:c r="W793" t="n">
        <x:v>50</x:v>
      </x:c>
      <x:c r="X793" t="str">
        <x:v>VALUE: [[4d8]] PA 7 PA 50 PC</x:v>
      </x:c>
    </x:row>
    <x:row r="794">
      <x:c r="P794" t="str">
        <x:v>9|Mort-vivant|Rare</x:v>
      </x:c>
      <x:c r="Q794" t="n">
        <x:v>4250</x:v>
      </x:c>
      <x:c r="R794" t="str">
        <x:v>3d20</x:v>
      </x:c>
      <x:c r="S794" t="str">
        <x:v>PA</x:v>
      </x:c>
      <x:c r="T794" t="n">
        <x:v>0</x:v>
      </x:c>
      <x:c r="U794" t="n">
        <x:v>0</x:v>
      </x:c>
      <x:c r="V794" t="n">
        <x:v>11</x:v>
      </x:c>
      <x:c r="W794" t="n">
        <x:v>0</x:v>
      </x:c>
      <x:c r="X794" t="str">
        <x:v>VALUE: [[3d20]] PA 11 PA</x:v>
      </x:c>
    </x:row>
    <x:row r="795">
      <x:c r="P795" t="str">
        <x:v>9|Mort-vivant|Précieuse</x:v>
      </x:c>
      <x:c r="Q795" t="n">
        <x:v>6800</x:v>
      </x:c>
      <x:c r="R795" t="str">
        <x:v>9d10</x:v>
      </x:c>
      <x:c r="S795" t="str">
        <x:v>PA</x:v>
      </x:c>
      <x:c r="T795" t="n">
        <x:v>0</x:v>
      </x:c>
      <x:c r="U795" t="n">
        <x:v>0</x:v>
      </x:c>
      <x:c r="V795" t="n">
        <x:v>18</x:v>
      </x:c>
      <x:c r="W795" t="n">
        <x:v>50</x:v>
      </x:c>
      <x:c r="X795" t="str">
        <x:v>VALUE: [[9d10]] PA 18 PA 50 PC</x:v>
      </x:c>
    </x:row>
    <x:row r="796">
      <x:c r="P796" t="str">
        <x:v>9|Mort-vivant|Exceptionnelle</x:v>
      </x:c>
      <x:c r="Q796" t="n">
        <x:v>11900</x:v>
      </x:c>
      <x:c r="R796" t="str">
        <x:v>8d20</x:v>
      </x:c>
      <x:c r="S796" t="str">
        <x:v>PA</x:v>
      </x:c>
      <x:c r="T796" t="n">
        <x:v>0</x:v>
      </x:c>
      <x:c r="U796" t="n">
        <x:v>0</x:v>
      </x:c>
      <x:c r="V796" t="n">
        <x:v>35</x:v>
      </x:c>
      <x:c r="W796" t="n">
        <x:v>0</x:v>
      </x:c>
      <x:c r="X796" t="str">
        <x:v>VALUE: [[8d20]] PA 35 PA</x:v>
      </x:c>
    </x:row>
    <x:row r="797">
      <x:c r="P797" t="str">
        <x:v>9|Monstre|Commune</x:v>
      </x:c>
      <x:c r="Q797" t="n">
        <x:v>1700</x:v>
      </x:c>
      <x:c r="R797" t="str">
        <x:v>5d4</x:v>
      </x:c>
      <x:c r="S797" t="str">
        <x:v>PA</x:v>
      </x:c>
      <x:c r="T797" t="n">
        <x:v>0</x:v>
      </x:c>
      <x:c r="U797" t="n">
        <x:v>0</x:v>
      </x:c>
      <x:c r="V797" t="n">
        <x:v>4</x:v>
      </x:c>
      <x:c r="W797" t="n">
        <x:v>50</x:v>
      </x:c>
      <x:c r="X797" t="str">
        <x:v>VALUE: [[5d4]] PA 4 PA 50 PC</x:v>
      </x:c>
    </x:row>
    <x:row r="798">
      <x:c r="P798" t="str">
        <x:v>9|Monstre|Peu commune</x:v>
      </x:c>
      <x:c r="Q798" t="n">
        <x:v>2550</x:v>
      </x:c>
      <x:c r="R798" t="str">
        <x:v>4d8</x:v>
      </x:c>
      <x:c r="S798" t="str">
        <x:v>PA</x:v>
      </x:c>
      <x:c r="T798" t="n">
        <x:v>0</x:v>
      </x:c>
      <x:c r="U798" t="n">
        <x:v>0</x:v>
      </x:c>
      <x:c r="V798" t="n">
        <x:v>7</x:v>
      </x:c>
      <x:c r="W798" t="n">
        <x:v>50</x:v>
      </x:c>
      <x:c r="X798" t="str">
        <x:v>VALUE: [[4d8]] PA 7 PA 50 PC</x:v>
      </x:c>
    </x:row>
    <x:row r="799">
      <x:c r="P799" t="str">
        <x:v>9|Monstre|Rare</x:v>
      </x:c>
      <x:c r="Q799" t="n">
        <x:v>4250</x:v>
      </x:c>
      <x:c r="R799" t="str">
        <x:v>3d20</x:v>
      </x:c>
      <x:c r="S799" t="str">
        <x:v>PA</x:v>
      </x:c>
      <x:c r="T799" t="n">
        <x:v>0</x:v>
      </x:c>
      <x:c r="U799" t="n">
        <x:v>0</x:v>
      </x:c>
      <x:c r="V799" t="n">
        <x:v>11</x:v>
      </x:c>
      <x:c r="W799" t="n">
        <x:v>0</x:v>
      </x:c>
      <x:c r="X799" t="str">
        <x:v>VALUE: [[3d20]] PA 11 PA</x:v>
      </x:c>
    </x:row>
    <x:row r="800">
      <x:c r="P800" t="str">
        <x:v>9|Monstre|Précieuse</x:v>
      </x:c>
      <x:c r="Q800" t="n">
        <x:v>6800</x:v>
      </x:c>
      <x:c r="R800" t="str">
        <x:v>9d10</x:v>
      </x:c>
      <x:c r="S800" t="str">
        <x:v>PA</x:v>
      </x:c>
      <x:c r="T800" t="n">
        <x:v>0</x:v>
      </x:c>
      <x:c r="U800" t="n">
        <x:v>0</x:v>
      </x:c>
      <x:c r="V800" t="n">
        <x:v>18</x:v>
      </x:c>
      <x:c r="W800" t="n">
        <x:v>50</x:v>
      </x:c>
      <x:c r="X800" t="str">
        <x:v>VALUE: [[9d10]] PA 18 PA 50 PC</x:v>
      </x:c>
    </x:row>
    <x:row r="801">
      <x:c r="P801" t="str">
        <x:v>9|Monstre|Exceptionnelle</x:v>
      </x:c>
      <x:c r="Q801" t="n">
        <x:v>11900</x:v>
      </x:c>
      <x:c r="R801" t="str">
        <x:v>8d20</x:v>
      </x:c>
      <x:c r="S801" t="str">
        <x:v>PA</x:v>
      </x:c>
      <x:c r="T801" t="n">
        <x:v>0</x:v>
      </x:c>
      <x:c r="U801" t="n">
        <x:v>0</x:v>
      </x:c>
      <x:c r="V801" t="n">
        <x:v>35</x:v>
      </x:c>
      <x:c r="W801" t="n">
        <x:v>0</x:v>
      </x:c>
      <x:c r="X801" t="str">
        <x:v>VALUE: [[8d20]] PA 35 PA</x:v>
      </x:c>
    </x:row>
    <x:row r="802">
      <x:c r="P802" t="str">
        <x:v>9|Vase|Commune</x:v>
      </x:c>
      <x:c r="Q802" t="n">
        <x:v>1700</x:v>
      </x:c>
      <x:c r="R802" t="str">
        <x:v>5d4</x:v>
      </x:c>
      <x:c r="S802" t="str">
        <x:v>PA</x:v>
      </x:c>
      <x:c r="T802" t="n">
        <x:v>0</x:v>
      </x:c>
      <x:c r="U802" t="n">
        <x:v>0</x:v>
      </x:c>
      <x:c r="V802" t="n">
        <x:v>4</x:v>
      </x:c>
      <x:c r="W802" t="n">
        <x:v>50</x:v>
      </x:c>
      <x:c r="X802" t="str">
        <x:v>VALUE: [[5d4]] PA 4 PA 50 PC</x:v>
      </x:c>
    </x:row>
    <x:row r="803">
      <x:c r="P803" t="str">
        <x:v>9|Vase|Peu commune</x:v>
      </x:c>
      <x:c r="Q803" t="n">
        <x:v>2550</x:v>
      </x:c>
      <x:c r="R803" t="str">
        <x:v>4d8</x:v>
      </x:c>
      <x:c r="S803" t="str">
        <x:v>PA</x:v>
      </x:c>
      <x:c r="T803" t="n">
        <x:v>0</x:v>
      </x:c>
      <x:c r="U803" t="n">
        <x:v>0</x:v>
      </x:c>
      <x:c r="V803" t="n">
        <x:v>7</x:v>
      </x:c>
      <x:c r="W803" t="n">
        <x:v>50</x:v>
      </x:c>
      <x:c r="X803" t="str">
        <x:v>VALUE: [[4d8]] PA 7 PA 50 PC</x:v>
      </x:c>
    </x:row>
    <x:row r="804">
      <x:c r="P804" t="str">
        <x:v>9|Vase|Rare</x:v>
      </x:c>
      <x:c r="Q804" t="n">
        <x:v>4250</x:v>
      </x:c>
      <x:c r="R804" t="str">
        <x:v>3d20</x:v>
      </x:c>
      <x:c r="S804" t="str">
        <x:v>PA</x:v>
      </x:c>
      <x:c r="T804" t="n">
        <x:v>0</x:v>
      </x:c>
      <x:c r="U804" t="n">
        <x:v>0</x:v>
      </x:c>
      <x:c r="V804" t="n">
        <x:v>11</x:v>
      </x:c>
      <x:c r="W804" t="n">
        <x:v>0</x:v>
      </x:c>
      <x:c r="X804" t="str">
        <x:v>VALUE: [[3d20]] PA 11 PA</x:v>
      </x:c>
    </x:row>
    <x:row r="805">
      <x:c r="P805" t="str">
        <x:v>9|Vase|Précieuse</x:v>
      </x:c>
      <x:c r="Q805" t="n">
        <x:v>6800</x:v>
      </x:c>
      <x:c r="R805" t="str">
        <x:v>9d10</x:v>
      </x:c>
      <x:c r="S805" t="str">
        <x:v>PA</x:v>
      </x:c>
      <x:c r="T805" t="n">
        <x:v>0</x:v>
      </x:c>
      <x:c r="U805" t="n">
        <x:v>0</x:v>
      </x:c>
      <x:c r="V805" t="n">
        <x:v>18</x:v>
      </x:c>
      <x:c r="W805" t="n">
        <x:v>50</x:v>
      </x:c>
      <x:c r="X805" t="str">
        <x:v>VALUE: [[9d10]] PA 18 PA 50 PC</x:v>
      </x:c>
    </x:row>
    <x:row r="806">
      <x:c r="P806" t="str">
        <x:v>9|Vase|Exceptionnelle</x:v>
      </x:c>
      <x:c r="Q806" t="n">
        <x:v>11900</x:v>
      </x:c>
      <x:c r="R806" t="str">
        <x:v>8d20</x:v>
      </x:c>
      <x:c r="S806" t="str">
        <x:v>PA</x:v>
      </x:c>
      <x:c r="T806" t="n">
        <x:v>0</x:v>
      </x:c>
      <x:c r="U806" t="n">
        <x:v>0</x:v>
      </x:c>
      <x:c r="V806" t="n">
        <x:v>35</x:v>
      </x:c>
      <x:c r="W806" t="n">
        <x:v>0</x:v>
      </x:c>
      <x:c r="X806" t="str">
        <x:v>VALUE: [[8d20]] PA 35 PA</x:v>
      </x:c>
    </x:row>
    <x:row r="807">
      <x:c r="P807" t="str">
        <x:v>9|Géant|Commune</x:v>
      </x:c>
      <x:c r="Q807" t="n">
        <x:v>2040</x:v>
      </x:c>
      <x:c r="R807" t="str">
        <x:v>4d6</x:v>
      </x:c>
      <x:c r="S807" t="str">
        <x:v>PA</x:v>
      </x:c>
      <x:c r="T807" t="n">
        <x:v>0</x:v>
      </x:c>
      <x:c r="U807" t="n">
        <x:v>0</x:v>
      </x:c>
      <x:c r="V807" t="n">
        <x:v>6</x:v>
      </x:c>
      <x:c r="W807" t="n">
        <x:v>40</x:v>
      </x:c>
      <x:c r="X807" t="str">
        <x:v>VALUE: [[4d6]] PA 6 PA 40 PC</x:v>
      </x:c>
    </x:row>
    <x:row r="808">
      <x:c r="P808" t="str">
        <x:v>9|Géant|Peu commune</x:v>
      </x:c>
      <x:c r="Q808" t="n">
        <x:v>3060</x:v>
      </x:c>
      <x:c r="R808" t="str">
        <x:v>2d20</x:v>
      </x:c>
      <x:c r="S808" t="str">
        <x:v>PA</x:v>
      </x:c>
      <x:c r="T808" t="n">
        <x:v>0</x:v>
      </x:c>
      <x:c r="U808" t="n">
        <x:v>0</x:v>
      </x:c>
      <x:c r="V808" t="n">
        <x:v>9</x:v>
      </x:c>
      <x:c r="W808" t="n">
        <x:v>60</x:v>
      </x:c>
      <x:c r="X808" t="str">
        <x:v>VALUE: [[2d20]] PA 9 PA 60 PC</x:v>
      </x:c>
    </x:row>
    <x:row r="809">
      <x:c r="P809" t="str">
        <x:v>9|Géant|Rare</x:v>
      </x:c>
      <x:c r="Q809" t="n">
        <x:v>5100</x:v>
      </x:c>
      <x:c r="R809" t="str">
        <x:v>8d8</x:v>
      </x:c>
      <x:c r="S809" t="str">
        <x:v>PA</x:v>
      </x:c>
      <x:c r="T809" t="n">
        <x:v>0</x:v>
      </x:c>
      <x:c r="U809" t="n">
        <x:v>0</x:v>
      </x:c>
      <x:c r="V809" t="n">
        <x:v>15</x:v>
      </x:c>
      <x:c r="W809" t="n">
        <x:v>0</x:v>
      </x:c>
      <x:c r="X809" t="str">
        <x:v>VALUE: [[8d8]] PA 15 PA</x:v>
      </x:c>
    </x:row>
    <x:row r="810">
      <x:c r="P810" t="str">
        <x:v>9|Géant|Précieuse</x:v>
      </x:c>
      <x:c r="Q810" t="n">
        <x:v>8160</x:v>
      </x:c>
      <x:c r="R810" t="str">
        <x:v>9d12</x:v>
      </x:c>
      <x:c r="S810" t="str">
        <x:v>PA</x:v>
      </x:c>
      <x:c r="T810" t="n">
        <x:v>0</x:v>
      </x:c>
      <x:c r="U810" t="n">
        <x:v>0</x:v>
      </x:c>
      <x:c r="V810" t="n">
        <x:v>23</x:v>
      </x:c>
      <x:c r="W810" t="n">
        <x:v>10</x:v>
      </x:c>
      <x:c r="X810" t="str">
        <x:v>VALUE: [[9d12]] PA 23 PA 10 PC</x:v>
      </x:c>
    </x:row>
    <x:row r="811">
      <x:c r="P811" t="str">
        <x:v>9|Géant|Exceptionnelle</x:v>
      </x:c>
      <x:c r="Q811" t="n">
        <x:v>14280</x:v>
      </x:c>
      <x:c r="R811" t="str">
        <x:v>10d20</x:v>
      </x:c>
      <x:c r="S811" t="str">
        <x:v>PA</x:v>
      </x:c>
      <x:c r="T811" t="n">
        <x:v>0</x:v>
      </x:c>
      <x:c r="U811" t="n">
        <x:v>0</x:v>
      </x:c>
      <x:c r="V811" t="n">
        <x:v>37</x:v>
      </x:c>
      <x:c r="W811" t="n">
        <x:v>80</x:v>
      </x:c>
      <x:c r="X811" t="str">
        <x:v>VALUE: [[10d20]] PA 37 PA 80 PC</x:v>
      </x:c>
    </x:row>
    <x:row r="812">
      <x:c r="P812" t="str">
        <x:v>9|Aberration|Commune</x:v>
      </x:c>
      <x:c r="Q812" t="n">
        <x:v>2550</x:v>
      </x:c>
      <x:c r="R812" t="str">
        <x:v>4d8</x:v>
      </x:c>
      <x:c r="S812" t="str">
        <x:v>PA</x:v>
      </x:c>
      <x:c r="T812" t="n">
        <x:v>0</x:v>
      </x:c>
      <x:c r="U812" t="n">
        <x:v>0</x:v>
      </x:c>
      <x:c r="V812" t="n">
        <x:v>7</x:v>
      </x:c>
      <x:c r="W812" t="n">
        <x:v>50</x:v>
      </x:c>
      <x:c r="X812" t="str">
        <x:v>VALUE: [[4d8]] PA 7 PA 50 PC</x:v>
      </x:c>
    </x:row>
    <x:row r="813">
      <x:c r="P813" t="str">
        <x:v>9|Aberration|Peu commune</x:v>
      </x:c>
      <x:c r="Q813" t="n">
        <x:v>3825</x:v>
      </x:c>
      <x:c r="R813" t="str">
        <x:v>6d8</x:v>
      </x:c>
      <x:c r="S813" t="str">
        <x:v>PA</x:v>
      </x:c>
      <x:c r="T813" t="n">
        <x:v>0</x:v>
      </x:c>
      <x:c r="U813" t="n">
        <x:v>0</x:v>
      </x:c>
      <x:c r="V813" t="n">
        <x:v>11</x:v>
      </x:c>
      <x:c r="W813" t="n">
        <x:v>25</x:v>
      </x:c>
      <x:c r="X813" t="str">
        <x:v>VALUE: [[6d8]] PA 11 PA 25 PC</x:v>
      </x:c>
    </x:row>
    <x:row r="814">
      <x:c r="P814" t="str">
        <x:v>9|Aberration|Rare</x:v>
      </x:c>
      <x:c r="Q814" t="n">
        <x:v>6375</x:v>
      </x:c>
      <x:c r="R814" t="str">
        <x:v>10d8</x:v>
      </x:c>
      <x:c r="S814" t="str">
        <x:v>PA</x:v>
      </x:c>
      <x:c r="T814" t="n">
        <x:v>0</x:v>
      </x:c>
      <x:c r="U814" t="n">
        <x:v>0</x:v>
      </x:c>
      <x:c r="V814" t="n">
        <x:v>18</x:v>
      </x:c>
      <x:c r="W814" t="n">
        <x:v>75</x:v>
      </x:c>
      <x:c r="X814" t="str">
        <x:v>VALUE: [[10d8]] PA 18 PA 75 PC</x:v>
      </x:c>
    </x:row>
    <x:row r="815">
      <x:c r="P815" t="str">
        <x:v>9|Aberration|Précieuse</x:v>
      </x:c>
      <x:c r="Q815" t="n">
        <x:v>10200</x:v>
      </x:c>
      <x:c r="R815" t="str">
        <x:v>7d20</x:v>
      </x:c>
      <x:c r="S815" t="str">
        <x:v>PA</x:v>
      </x:c>
      <x:c r="T815" t="n">
        <x:v>0</x:v>
      </x:c>
      <x:c r="U815" t="n">
        <x:v>0</x:v>
      </x:c>
      <x:c r="V815" t="n">
        <x:v>28</x:v>
      </x:c>
      <x:c r="W815" t="n">
        <x:v>50</x:v>
      </x:c>
      <x:c r="X815" t="str">
        <x:v>VALUE: [[7d20]] PA 28 PA 50 PC</x:v>
      </x:c>
    </x:row>
    <x:row r="816">
      <x:c r="P816" t="str">
        <x:v>9|Aberration|Exceptionnelle</x:v>
      </x:c>
      <x:c r="Q816" t="n">
        <x:v>17850</x:v>
      </x:c>
      <x:c r="R816" t="str">
        <x:v>10d20</x:v>
      </x:c>
      <x:c r="S816" t="str">
        <x:v>PA</x:v>
      </x:c>
      <x:c r="T816" t="n">
        <x:v>0</x:v>
      </x:c>
      <x:c r="U816" t="n">
        <x:v>0</x:v>
      </x:c>
      <x:c r="V816" t="n">
        <x:v>73</x:v>
      </x:c>
      <x:c r="W816" t="n">
        <x:v>50</x:v>
      </x:c>
      <x:c r="X816" t="str">
        <x:v>VALUE: [[10d20]] PA 73 PA 50 PC</x:v>
      </x:c>
    </x:row>
    <x:row r="817">
      <x:c r="P817" t="str">
        <x:v>9|Fée|Commune</x:v>
      </x:c>
      <x:c r="Q817" t="n">
        <x:v>3060</x:v>
      </x:c>
      <x:c r="R817" t="str">
        <x:v>2d20</x:v>
      </x:c>
      <x:c r="S817" t="str">
        <x:v>PA</x:v>
      </x:c>
      <x:c r="T817" t="n">
        <x:v>0</x:v>
      </x:c>
      <x:c r="U817" t="n">
        <x:v>0</x:v>
      </x:c>
      <x:c r="V817" t="n">
        <x:v>9</x:v>
      </x:c>
      <x:c r="W817" t="n">
        <x:v>60</x:v>
      </x:c>
      <x:c r="X817" t="str">
        <x:v>VALUE: [[2d20]] PA 9 PA 60 PC</x:v>
      </x:c>
    </x:row>
    <x:row r="818">
      <x:c r="P818" t="str">
        <x:v>9|Fée|Peu commune</x:v>
      </x:c>
      <x:c r="Q818" t="n">
        <x:v>4590</x:v>
      </x:c>
      <x:c r="R818" t="str">
        <x:v>5d12</x:v>
      </x:c>
      <x:c r="S818" t="str">
        <x:v>PA</x:v>
      </x:c>
      <x:c r="T818" t="n">
        <x:v>0</x:v>
      </x:c>
      <x:c r="U818" t="n">
        <x:v>0</x:v>
      </x:c>
      <x:c r="V818" t="n">
        <x:v>13</x:v>
      </x:c>
      <x:c r="W818" t="n">
        <x:v>40</x:v>
      </x:c>
      <x:c r="X818" t="str">
        <x:v>VALUE: [[5d12]] PA 13 PA 40 PC</x:v>
      </x:c>
    </x:row>
    <x:row r="819">
      <x:c r="P819" t="str">
        <x:v>9|Fée|Rare</x:v>
      </x:c>
      <x:c r="Q819" t="n">
        <x:v>7650</x:v>
      </x:c>
      <x:c r="R819" t="str">
        <x:v>5d20</x:v>
      </x:c>
      <x:c r="S819" t="str">
        <x:v>PA</x:v>
      </x:c>
      <x:c r="T819" t="n">
        <x:v>0</x:v>
      </x:c>
      <x:c r="U819" t="n">
        <x:v>0</x:v>
      </x:c>
      <x:c r="V819" t="n">
        <x:v>24</x:v>
      </x:c>
      <x:c r="W819" t="n">
        <x:v>0</x:v>
      </x:c>
      <x:c r="X819" t="str">
        <x:v>VALUE: [[5d20]] PA 24 PA</x:v>
      </x:c>
    </x:row>
    <x:row r="820">
      <x:c r="P820" t="str">
        <x:v>9|Fée|Précieuse</x:v>
      </x:c>
      <x:c r="Q820" t="n">
        <x:v>12240</x:v>
      </x:c>
      <x:c r="R820" t="str">
        <x:v>8d20</x:v>
      </x:c>
      <x:c r="S820" t="str">
        <x:v>PA</x:v>
      </x:c>
      <x:c r="T820" t="n">
        <x:v>0</x:v>
      </x:c>
      <x:c r="U820" t="n">
        <x:v>0</x:v>
      </x:c>
      <x:c r="V820" t="n">
        <x:v>38</x:v>
      </x:c>
      <x:c r="W820" t="n">
        <x:v>40</x:v>
      </x:c>
      <x:c r="X820" t="str">
        <x:v>VALUE: [[8d20]] PA 38 PA 40 PC</x:v>
      </x:c>
    </x:row>
    <x:row r="821">
      <x:c r="P821" t="str">
        <x:v>9|Fée|Exceptionnelle</x:v>
      </x:c>
      <x:c r="Q821" t="n">
        <x:v>21420</x:v>
      </x:c>
      <x:c r="R821" t="str">
        <x:v>10d20</x:v>
      </x:c>
      <x:c r="S821" t="str">
        <x:v>PA</x:v>
      </x:c>
      <x:c r="T821" t="n">
        <x:v>0</x:v>
      </x:c>
      <x:c r="U821" t="n">
        <x:v>1</x:v>
      </x:c>
      <x:c r="V821" t="n">
        <x:v>9</x:v>
      </x:c>
      <x:c r="W821" t="n">
        <x:v>20</x:v>
      </x:c>
      <x:c r="X821" t="str">
        <x:v>VALUE: [[10d20]] PA 1 PO 9 PA 20 PC</x:v>
      </x:c>
    </x:row>
    <x:row r="822">
      <x:c r="P822" t="str">
        <x:v>9|Démon|Commune</x:v>
      </x:c>
      <x:c r="Q822" t="n">
        <x:v>3400</x:v>
      </x:c>
      <x:c r="R822" t="str">
        <x:v>7d6</x:v>
      </x:c>
      <x:c r="S822" t="str">
        <x:v>PA</x:v>
      </x:c>
      <x:c r="T822" t="n">
        <x:v>0</x:v>
      </x:c>
      <x:c r="U822" t="n">
        <x:v>0</x:v>
      </x:c>
      <x:c r="V822" t="n">
        <x:v>9</x:v>
      </x:c>
      <x:c r="W822" t="n">
        <x:v>50</x:v>
      </x:c>
      <x:c r="X822" t="str">
        <x:v>VALUE: [[7d6]] PA 9 PA 50 PC</x:v>
      </x:c>
    </x:row>
    <x:row r="823">
      <x:c r="P823" t="str">
        <x:v>9|Démon|Peu commune</x:v>
      </x:c>
      <x:c r="Q823" t="n">
        <x:v>5100</x:v>
      </x:c>
      <x:c r="R823" t="str">
        <x:v>8d8</x:v>
      </x:c>
      <x:c r="S823" t="str">
        <x:v>PA</x:v>
      </x:c>
      <x:c r="T823" t="n">
        <x:v>0</x:v>
      </x:c>
      <x:c r="U823" t="n">
        <x:v>0</x:v>
      </x:c>
      <x:c r="V823" t="n">
        <x:v>15</x:v>
      </x:c>
      <x:c r="W823" t="n">
        <x:v>0</x:v>
      </x:c>
      <x:c r="X823" t="str">
        <x:v>VALUE: [[8d8]] PA 15 PA</x:v>
      </x:c>
    </x:row>
    <x:row r="824">
      <x:c r="P824" t="str">
        <x:v>9|Démon|Rare</x:v>
      </x:c>
      <x:c r="Q824" t="n">
        <x:v>8500</x:v>
      </x:c>
      <x:c r="R824" t="str">
        <x:v>9d12</x:v>
      </x:c>
      <x:c r="S824" t="str">
        <x:v>PA</x:v>
      </x:c>
      <x:c r="T824" t="n">
        <x:v>0</x:v>
      </x:c>
      <x:c r="U824" t="n">
        <x:v>0</x:v>
      </x:c>
      <x:c r="V824" t="n">
        <x:v>26</x:v>
      </x:c>
      <x:c r="W824" t="n">
        <x:v>50</x:v>
      </x:c>
      <x:c r="X824" t="str">
        <x:v>VALUE: [[9d12]] PA 26 PA 50 PC</x:v>
      </x:c>
    </x:row>
    <x:row r="825">
      <x:c r="P825" t="str">
        <x:v>9|Démon|Précieuse</x:v>
      </x:c>
      <x:c r="Q825" t="n">
        <x:v>13600</x:v>
      </x:c>
      <x:c r="R825" t="str">
        <x:v>9d20</x:v>
      </x:c>
      <x:c r="S825" t="str">
        <x:v>PA</x:v>
      </x:c>
      <x:c r="T825" t="n">
        <x:v>0</x:v>
      </x:c>
      <x:c r="U825" t="n">
        <x:v>0</x:v>
      </x:c>
      <x:c r="V825" t="n">
        <x:v>41</x:v>
      </x:c>
      <x:c r="W825" t="n">
        <x:v>50</x:v>
      </x:c>
      <x:c r="X825" t="str">
        <x:v>VALUE: [[9d20]] PA 41 PA 50 PC</x:v>
      </x:c>
    </x:row>
    <x:row r="826">
      <x:c r="P826" t="str">
        <x:v>9|Démon|Exceptionnelle</x:v>
      </x:c>
      <x:c r="Q826" t="n">
        <x:v>23800</x:v>
      </x:c>
      <x:c r="R826" t="str">
        <x:v>10d20</x:v>
      </x:c>
      <x:c r="S826" t="str">
        <x:v>PA</x:v>
      </x:c>
      <x:c r="T826" t="n">
        <x:v>0</x:v>
      </x:c>
      <x:c r="U826" t="n">
        <x:v>1</x:v>
      </x:c>
      <x:c r="V826" t="n">
        <x:v>33</x:v>
      </x:c>
      <x:c r="W826" t="n">
        <x:v>0</x:v>
      </x:c>
      <x:c r="X826" t="str">
        <x:v>VALUE: [[10d20]] PA 1 PO 33 PA</x:v>
      </x:c>
    </x:row>
    <x:row r="827">
      <x:c r="P827" t="str">
        <x:v>9|Artificiel|Commune</x:v>
      </x:c>
      <x:c r="Q827" t="n">
        <x:v>3400</x:v>
      </x:c>
      <x:c r="R827" t="str">
        <x:v>7d6</x:v>
      </x:c>
      <x:c r="S827" t="str">
        <x:v>PA</x:v>
      </x:c>
      <x:c r="T827" t="n">
        <x:v>0</x:v>
      </x:c>
      <x:c r="U827" t="n">
        <x:v>0</x:v>
      </x:c>
      <x:c r="V827" t="n">
        <x:v>9</x:v>
      </x:c>
      <x:c r="W827" t="n">
        <x:v>50</x:v>
      </x:c>
      <x:c r="X827" t="str">
        <x:v>VALUE: [[7d6]] PA 9 PA 50 PC</x:v>
      </x:c>
    </x:row>
    <x:row r="828">
      <x:c r="P828" t="str">
        <x:v>9|Artificiel|Peu commune</x:v>
      </x:c>
      <x:c r="Q828" t="n">
        <x:v>5100</x:v>
      </x:c>
      <x:c r="R828" t="str">
        <x:v>8d8</x:v>
      </x:c>
      <x:c r="S828" t="str">
        <x:v>PA</x:v>
      </x:c>
      <x:c r="T828" t="n">
        <x:v>0</x:v>
      </x:c>
      <x:c r="U828" t="n">
        <x:v>0</x:v>
      </x:c>
      <x:c r="V828" t="n">
        <x:v>15</x:v>
      </x:c>
      <x:c r="W828" t="n">
        <x:v>0</x:v>
      </x:c>
      <x:c r="X828" t="str">
        <x:v>VALUE: [[8d8]] PA 15 PA</x:v>
      </x:c>
    </x:row>
    <x:row r="829">
      <x:c r="P829" t="str">
        <x:v>9|Artificiel|Rare</x:v>
      </x:c>
      <x:c r="Q829" t="n">
        <x:v>8500</x:v>
      </x:c>
      <x:c r="R829" t="str">
        <x:v>9d12</x:v>
      </x:c>
      <x:c r="S829" t="str">
        <x:v>PA</x:v>
      </x:c>
      <x:c r="T829" t="n">
        <x:v>0</x:v>
      </x:c>
      <x:c r="U829" t="n">
        <x:v>0</x:v>
      </x:c>
      <x:c r="V829" t="n">
        <x:v>26</x:v>
      </x:c>
      <x:c r="W829" t="n">
        <x:v>50</x:v>
      </x:c>
      <x:c r="X829" t="str">
        <x:v>VALUE: [[9d12]] PA 26 PA 50 PC</x:v>
      </x:c>
    </x:row>
    <x:row r="830">
      <x:c r="P830" t="str">
        <x:v>9|Artificiel|Précieuse</x:v>
      </x:c>
      <x:c r="Q830" t="n">
        <x:v>13600</x:v>
      </x:c>
      <x:c r="R830" t="str">
        <x:v>9d20</x:v>
      </x:c>
      <x:c r="S830" t="str">
        <x:v>PA</x:v>
      </x:c>
      <x:c r="T830" t="n">
        <x:v>0</x:v>
      </x:c>
      <x:c r="U830" t="n">
        <x:v>0</x:v>
      </x:c>
      <x:c r="V830" t="n">
        <x:v>41</x:v>
      </x:c>
      <x:c r="W830" t="n">
        <x:v>50</x:v>
      </x:c>
      <x:c r="X830" t="str">
        <x:v>VALUE: [[9d20]] PA 41 PA 50 PC</x:v>
      </x:c>
    </x:row>
    <x:row r="831">
      <x:c r="P831" t="str">
        <x:v>9|Artificiel|Exceptionnelle</x:v>
      </x:c>
      <x:c r="Q831" t="n">
        <x:v>23800</x:v>
      </x:c>
      <x:c r="R831" t="str">
        <x:v>10d20</x:v>
      </x:c>
      <x:c r="S831" t="str">
        <x:v>PA</x:v>
      </x:c>
      <x:c r="T831" t="n">
        <x:v>0</x:v>
      </x:c>
      <x:c r="U831" t="n">
        <x:v>1</x:v>
      </x:c>
      <x:c r="V831" t="n">
        <x:v>33</x:v>
      </x:c>
      <x:c r="W831" t="n">
        <x:v>0</x:v>
      </x:c>
      <x:c r="X831" t="str">
        <x:v>VALUE: [[10d20]] PA 1 PO 33 PA</x:v>
      </x:c>
    </x:row>
    <x:row r="832">
      <x:c r="P832" t="str">
        <x:v>9|Élémentaire|Commune</x:v>
      </x:c>
      <x:c r="Q832" t="n">
        <x:v>4250</x:v>
      </x:c>
      <x:c r="R832" t="str">
        <x:v>3d20</x:v>
      </x:c>
      <x:c r="S832" t="str">
        <x:v>PA</x:v>
      </x:c>
      <x:c r="T832" t="n">
        <x:v>0</x:v>
      </x:c>
      <x:c r="U832" t="n">
        <x:v>0</x:v>
      </x:c>
      <x:c r="V832" t="n">
        <x:v>11</x:v>
      </x:c>
      <x:c r="W832" t="n">
        <x:v>0</x:v>
      </x:c>
      <x:c r="X832" t="str">
        <x:v>VALUE: [[3d20]] PA 11 PA</x:v>
      </x:c>
    </x:row>
    <x:row r="833">
      <x:c r="P833" t="str">
        <x:v>9|Élémentaire|Peu commune</x:v>
      </x:c>
      <x:c r="Q833" t="n">
        <x:v>6375</x:v>
      </x:c>
      <x:c r="R833" t="str">
        <x:v>10d8</x:v>
      </x:c>
      <x:c r="S833" t="str">
        <x:v>PA</x:v>
      </x:c>
      <x:c r="T833" t="n">
        <x:v>0</x:v>
      </x:c>
      <x:c r="U833" t="n">
        <x:v>0</x:v>
      </x:c>
      <x:c r="V833" t="n">
        <x:v>18</x:v>
      </x:c>
      <x:c r="W833" t="n">
        <x:v>75</x:v>
      </x:c>
      <x:c r="X833" t="str">
        <x:v>VALUE: [[10d8]] PA 18 PA 75 PC</x:v>
      </x:c>
    </x:row>
    <x:row r="834">
      <x:c r="P834" t="str">
        <x:v>9|Élémentaire|Rare</x:v>
      </x:c>
      <x:c r="Q834" t="n">
        <x:v>10625</x:v>
      </x:c>
      <x:c r="R834" t="str">
        <x:v>7d20</x:v>
      </x:c>
      <x:c r="S834" t="str">
        <x:v>PA</x:v>
      </x:c>
      <x:c r="T834" t="n">
        <x:v>0</x:v>
      </x:c>
      <x:c r="U834" t="n">
        <x:v>0</x:v>
      </x:c>
      <x:c r="V834" t="n">
        <x:v>32</x:v>
      </x:c>
      <x:c r="W834" t="n">
        <x:v>75</x:v>
      </x:c>
      <x:c r="X834" t="str">
        <x:v>VALUE: [[7d20]] PA 32 PA 75 PC</x:v>
      </x:c>
    </x:row>
    <x:row r="835">
      <x:c r="P835" t="str">
        <x:v>9|Élémentaire|Précieuse</x:v>
      </x:c>
      <x:c r="Q835" t="n">
        <x:v>17000</x:v>
      </x:c>
      <x:c r="R835" t="str">
        <x:v>10d20</x:v>
      </x:c>
      <x:c r="S835" t="str">
        <x:v>PA</x:v>
      </x:c>
      <x:c r="T835" t="n">
        <x:v>0</x:v>
      </x:c>
      <x:c r="U835" t="n">
        <x:v>0</x:v>
      </x:c>
      <x:c r="V835" t="n">
        <x:v>65</x:v>
      </x:c>
      <x:c r="W835" t="n">
        <x:v>0</x:v>
      </x:c>
      <x:c r="X835" t="str">
        <x:v>VALUE: [[10d20]] PA 65 PA</x:v>
      </x:c>
    </x:row>
    <x:row r="836">
      <x:c r="P836" t="str">
        <x:v>9|Élémentaire|Exceptionnelle</x:v>
      </x:c>
      <x:c r="Q836" t="n">
        <x:v>29750</x:v>
      </x:c>
      <x:c r="R836" t="str">
        <x:v>1d4</x:v>
      </x:c>
      <x:c r="S836" t="str">
        <x:v>PO</x:v>
      </x:c>
      <x:c r="T836" t="n">
        <x:v>0</x:v>
      </x:c>
      <x:c r="U836" t="n">
        <x:v>0</x:v>
      </x:c>
      <x:c r="V836" t="n">
        <x:v>47</x:v>
      </x:c>
      <x:c r="W836" t="n">
        <x:v>50</x:v>
      </x:c>
      <x:c r="X836" t="str">
        <x:v>VALUE: [[1d4]] PO 47 PA 50 PC</x:v>
      </x:c>
    </x:row>
    <x:row r="837">
      <x:c r="P837" t="str">
        <x:v>9|Esprit|Commune</x:v>
      </x:c>
      <x:c r="Q837" t="n">
        <x:v>4250</x:v>
      </x:c>
      <x:c r="R837" t="str">
        <x:v>3d20</x:v>
      </x:c>
      <x:c r="S837" t="str">
        <x:v>PA</x:v>
      </x:c>
      <x:c r="T837" t="n">
        <x:v>0</x:v>
      </x:c>
      <x:c r="U837" t="n">
        <x:v>0</x:v>
      </x:c>
      <x:c r="V837" t="n">
        <x:v>11</x:v>
      </x:c>
      <x:c r="W837" t="n">
        <x:v>0</x:v>
      </x:c>
      <x:c r="X837" t="str">
        <x:v>VALUE: [[3d20]] PA 11 PA</x:v>
      </x:c>
    </x:row>
    <x:row r="838">
      <x:c r="P838" t="str">
        <x:v>9|Esprit|Peu commune</x:v>
      </x:c>
      <x:c r="Q838" t="n">
        <x:v>6375</x:v>
      </x:c>
      <x:c r="R838" t="str">
        <x:v>10d8</x:v>
      </x:c>
      <x:c r="S838" t="str">
        <x:v>PA</x:v>
      </x:c>
      <x:c r="T838" t="n">
        <x:v>0</x:v>
      </x:c>
      <x:c r="U838" t="n">
        <x:v>0</x:v>
      </x:c>
      <x:c r="V838" t="n">
        <x:v>18</x:v>
      </x:c>
      <x:c r="W838" t="n">
        <x:v>75</x:v>
      </x:c>
      <x:c r="X838" t="str">
        <x:v>VALUE: [[10d8]] PA 18 PA 75 PC</x:v>
      </x:c>
    </x:row>
    <x:row r="839">
      <x:c r="P839" t="str">
        <x:v>9|Esprit|Rare</x:v>
      </x:c>
      <x:c r="Q839" t="n">
        <x:v>10625</x:v>
      </x:c>
      <x:c r="R839" t="str">
        <x:v>7d20</x:v>
      </x:c>
      <x:c r="S839" t="str">
        <x:v>PA</x:v>
      </x:c>
      <x:c r="T839" t="n">
        <x:v>0</x:v>
      </x:c>
      <x:c r="U839" t="n">
        <x:v>0</x:v>
      </x:c>
      <x:c r="V839" t="n">
        <x:v>32</x:v>
      </x:c>
      <x:c r="W839" t="n">
        <x:v>75</x:v>
      </x:c>
      <x:c r="X839" t="str">
        <x:v>VALUE: [[7d20]] PA 32 PA 75 PC</x:v>
      </x:c>
    </x:row>
    <x:row r="840">
      <x:c r="P840" t="str">
        <x:v>9|Esprit|Précieuse</x:v>
      </x:c>
      <x:c r="Q840" t="n">
        <x:v>17000</x:v>
      </x:c>
      <x:c r="R840" t="str">
        <x:v>10d20</x:v>
      </x:c>
      <x:c r="S840" t="str">
        <x:v>PA</x:v>
      </x:c>
      <x:c r="T840" t="n">
        <x:v>0</x:v>
      </x:c>
      <x:c r="U840" t="n">
        <x:v>0</x:v>
      </x:c>
      <x:c r="V840" t="n">
        <x:v>65</x:v>
      </x:c>
      <x:c r="W840" t="n">
        <x:v>0</x:v>
      </x:c>
      <x:c r="X840" t="str">
        <x:v>VALUE: [[10d20]] PA 65 PA</x:v>
      </x:c>
    </x:row>
    <x:row r="841">
      <x:c r="P841" t="str">
        <x:v>9|Esprit|Exceptionnelle</x:v>
      </x:c>
      <x:c r="Q841" t="n">
        <x:v>29750</x:v>
      </x:c>
      <x:c r="R841" t="str">
        <x:v>1d4</x:v>
      </x:c>
      <x:c r="S841" t="str">
        <x:v>PO</x:v>
      </x:c>
      <x:c r="T841" t="n">
        <x:v>0</x:v>
      </x:c>
      <x:c r="U841" t="n">
        <x:v>0</x:v>
      </x:c>
      <x:c r="V841" t="n">
        <x:v>47</x:v>
      </x:c>
      <x:c r="W841" t="n">
        <x:v>50</x:v>
      </x:c>
      <x:c r="X841" t="str">
        <x:v>VALUE: [[1d4]] PO 47 PA 50 PC</x:v>
      </x:c>
    </x:row>
    <x:row r="842">
      <x:c r="P842" t="str">
        <x:v>9|Céleste|Commune</x:v>
      </x:c>
      <x:c r="Q842" t="n">
        <x:v>5100</x:v>
      </x:c>
      <x:c r="R842" t="str">
        <x:v>8d8</x:v>
      </x:c>
      <x:c r="S842" t="str">
        <x:v>PA</x:v>
      </x:c>
      <x:c r="T842" t="n">
        <x:v>0</x:v>
      </x:c>
      <x:c r="U842" t="n">
        <x:v>0</x:v>
      </x:c>
      <x:c r="V842" t="n">
        <x:v>15</x:v>
      </x:c>
      <x:c r="W842" t="n">
        <x:v>0</x:v>
      </x:c>
      <x:c r="X842" t="str">
        <x:v>VALUE: [[8d8]] PA 15 PA</x:v>
      </x:c>
    </x:row>
    <x:row r="843">
      <x:c r="P843" t="str">
        <x:v>9|Céleste|Peu commune</x:v>
      </x:c>
      <x:c r="Q843" t="n">
        <x:v>7650</x:v>
      </x:c>
      <x:c r="R843" t="str">
        <x:v>5d20</x:v>
      </x:c>
      <x:c r="S843" t="str">
        <x:v>PA</x:v>
      </x:c>
      <x:c r="T843" t="n">
        <x:v>0</x:v>
      </x:c>
      <x:c r="U843" t="n">
        <x:v>0</x:v>
      </x:c>
      <x:c r="V843" t="n">
        <x:v>24</x:v>
      </x:c>
      <x:c r="W843" t="n">
        <x:v>0</x:v>
      </x:c>
      <x:c r="X843" t="str">
        <x:v>VALUE: [[5d20]] PA 24 PA</x:v>
      </x:c>
    </x:row>
    <x:row r="844">
      <x:c r="P844" t="str">
        <x:v>9|Céleste|Rare</x:v>
      </x:c>
      <x:c r="Q844" t="n">
        <x:v>12750</x:v>
      </x:c>
      <x:c r="R844" t="str">
        <x:v>8d20</x:v>
      </x:c>
      <x:c r="S844" t="str">
        <x:v>PA</x:v>
      </x:c>
      <x:c r="T844" t="n">
        <x:v>0</x:v>
      </x:c>
      <x:c r="U844" t="n">
        <x:v>0</x:v>
      </x:c>
      <x:c r="V844" t="n">
        <x:v>43</x:v>
      </x:c>
      <x:c r="W844" t="n">
        <x:v>50</x:v>
      </x:c>
      <x:c r="X844" t="str">
        <x:v>VALUE: [[8d20]] PA 43 PA 50 PC</x:v>
      </x:c>
    </x:row>
    <x:row r="845">
      <x:c r="P845" t="str">
        <x:v>9|Céleste|Précieuse</x:v>
      </x:c>
      <x:c r="Q845" t="n">
        <x:v>20400</x:v>
      </x:c>
      <x:c r="R845" t="str">
        <x:v>10d20</x:v>
      </x:c>
      <x:c r="S845" t="str">
        <x:v>PA</x:v>
      </x:c>
      <x:c r="T845" t="n">
        <x:v>0</x:v>
      </x:c>
      <x:c r="U845" t="n">
        <x:v>0</x:v>
      </x:c>
      <x:c r="V845" t="n">
        <x:v>99</x:v>
      </x:c>
      <x:c r="W845" t="n">
        <x:v>0</x:v>
      </x:c>
      <x:c r="X845" t="str">
        <x:v>VALUE: [[10d20]] PA 99 PA</x:v>
      </x:c>
    </x:row>
    <x:row r="846">
      <x:c r="P846" t="str">
        <x:v>9|Céleste|Exceptionnelle</x:v>
      </x:c>
      <x:c r="Q846" t="n">
        <x:v>35700</x:v>
      </x:c>
      <x:c r="R846" t="str">
        <x:v>1d4</x:v>
      </x:c>
      <x:c r="S846" t="str">
        <x:v>PO</x:v>
      </x:c>
      <x:c r="T846" t="n">
        <x:v>0</x:v>
      </x:c>
      <x:c r="U846" t="n">
        <x:v>1</x:v>
      </x:c>
      <x:c r="V846" t="n">
        <x:v>7</x:v>
      </x:c>
      <x:c r="W846" t="n">
        <x:v>0</x:v>
      </x:c>
      <x:c r="X846" t="str">
        <x:v>VALUE: [[1d4]] PO 1 PO 7 PA</x:v>
      </x:c>
    </x:row>
    <x:row r="847">
      <x:c r="P847" t="str">
        <x:v>9|Dragon|Commune</x:v>
      </x:c>
      <x:c r="Q847" t="n">
        <x:v>8500</x:v>
      </x:c>
      <x:c r="R847" t="str">
        <x:v>9d12</x:v>
      </x:c>
      <x:c r="S847" t="str">
        <x:v>PA</x:v>
      </x:c>
      <x:c r="T847" t="n">
        <x:v>0</x:v>
      </x:c>
      <x:c r="U847" t="n">
        <x:v>0</x:v>
      </x:c>
      <x:c r="V847" t="n">
        <x:v>26</x:v>
      </x:c>
      <x:c r="W847" t="n">
        <x:v>50</x:v>
      </x:c>
      <x:c r="X847" t="str">
        <x:v>VALUE: [[9d12]] PA 26 PA 50 PC</x:v>
      </x:c>
    </x:row>
    <x:row r="848">
      <x:c r="P848" t="str">
        <x:v>9|Dragon|Peu commune</x:v>
      </x:c>
      <x:c r="Q848" t="n">
        <x:v>12750</x:v>
      </x:c>
      <x:c r="R848" t="str">
        <x:v>8d20</x:v>
      </x:c>
      <x:c r="S848" t="str">
        <x:v>PA</x:v>
      </x:c>
      <x:c r="T848" t="n">
        <x:v>0</x:v>
      </x:c>
      <x:c r="U848" t="n">
        <x:v>0</x:v>
      </x:c>
      <x:c r="V848" t="n">
        <x:v>43</x:v>
      </x:c>
      <x:c r="W848" t="n">
        <x:v>50</x:v>
      </x:c>
      <x:c r="X848" t="str">
        <x:v>VALUE: [[8d20]] PA 43 PA 50 PC</x:v>
      </x:c>
    </x:row>
    <x:row r="849">
      <x:c r="P849" t="str">
        <x:v>9|Dragon|Rare</x:v>
      </x:c>
      <x:c r="Q849" t="n">
        <x:v>21250</x:v>
      </x:c>
      <x:c r="R849" t="str">
        <x:v>10d20</x:v>
      </x:c>
      <x:c r="S849" t="str">
        <x:v>PA</x:v>
      </x:c>
      <x:c r="T849" t="n">
        <x:v>0</x:v>
      </x:c>
      <x:c r="U849" t="n">
        <x:v>1</x:v>
      </x:c>
      <x:c r="V849" t="n">
        <x:v>7</x:v>
      </x:c>
      <x:c r="W849" t="n">
        <x:v>50</x:v>
      </x:c>
      <x:c r="X849" t="str">
        <x:v>VALUE: [[10d20]] PA 1 PO 7 PA 50 PC</x:v>
      </x:c>
    </x:row>
    <x:row r="850">
      <x:c r="P850" t="str">
        <x:v>9|Dragon|Précieuse</x:v>
      </x:c>
      <x:c r="Q850" t="n">
        <x:v>34000</x:v>
      </x:c>
      <x:c r="R850" t="str">
        <x:v>1d4</x:v>
      </x:c>
      <x:c r="S850" t="str">
        <x:v>PO</x:v>
      </x:c>
      <x:c r="T850" t="n">
        <x:v>0</x:v>
      </x:c>
      <x:c r="U850" t="n">
        <x:v>0</x:v>
      </x:c>
      <x:c r="V850" t="n">
        <x:v>90</x:v>
      </x:c>
      <x:c r="W850" t="n">
        <x:v>0</x:v>
      </x:c>
      <x:c r="X850" t="str">
        <x:v>VALUE: [[1d4]] PO 90 PA</x:v>
      </x:c>
    </x:row>
    <x:row r="851">
      <x:c r="P851" t="str">
        <x:v>9|Dragon|Exceptionnelle</x:v>
      </x:c>
      <x:c r="Q851" t="n">
        <x:v>59500</x:v>
      </x:c>
      <x:c r="R851" t="str">
        <x:v>1d8</x:v>
      </x:c>
      <x:c r="S851" t="str">
        <x:v>PO</x:v>
      </x:c>
      <x:c r="T851" t="n">
        <x:v>0</x:v>
      </x:c>
      <x:c r="U851" t="n">
        <x:v>1</x:v>
      </x:c>
      <x:c r="V851" t="n">
        <x:v>45</x:v>
      </x:c>
      <x:c r="W851" t="n">
        <x:v>0</x:v>
      </x:c>
      <x:c r="X851" t="str">
        <x:v>VALUE: [[1d8]] PO 1 PO 45 PA</x:v>
      </x:c>
    </x:row>
    <x:row r="852">
      <x:c r="P852" t="str">
        <x:v>10|Vermine|Commune</x:v>
      </x:c>
      <x:c r="Q852" t="n">
        <x:v>1050</x:v>
      </x:c>
      <x:c r="R852" t="str">
        <x:v>3d4</x:v>
      </x:c>
      <x:c r="S852" t="str">
        <x:v>PA</x:v>
      </x:c>
      <x:c r="T852" t="n">
        <x:v>0</x:v>
      </x:c>
      <x:c r="U852" t="n">
        <x:v>0</x:v>
      </x:c>
      <x:c r="V852" t="n">
        <x:v>3</x:v>
      </x:c>
      <x:c r="W852" t="n">
        <x:v>0</x:v>
      </x:c>
      <x:c r="X852" t="str">
        <x:v>VALUE: [[3d4]] PA 3 PA</x:v>
      </x:c>
    </x:row>
    <x:row r="853">
      <x:c r="P853" t="str">
        <x:v>10|Vermine|Peu commune</x:v>
      </x:c>
      <x:c r="Q853" t="n">
        <x:v>1575</x:v>
      </x:c>
      <x:c r="R853" t="str">
        <x:v>2d10</x:v>
      </x:c>
      <x:c r="S853" t="str">
        <x:v>PA</x:v>
      </x:c>
      <x:c r="T853" t="n">
        <x:v>0</x:v>
      </x:c>
      <x:c r="U853" t="n">
        <x:v>0</x:v>
      </x:c>
      <x:c r="V853" t="n">
        <x:v>4</x:v>
      </x:c>
      <x:c r="W853" t="n">
        <x:v>75</x:v>
      </x:c>
      <x:c r="X853" t="str">
        <x:v>VALUE: [[2d10]] PA 4 PA 75 PC</x:v>
      </x:c>
    </x:row>
    <x:row r="854">
      <x:c r="P854" t="str">
        <x:v>10|Vermine|Rare</x:v>
      </x:c>
      <x:c r="Q854" t="n">
        <x:v>2625</x:v>
      </x:c>
      <x:c r="R854" t="str">
        <x:v>4d8</x:v>
      </x:c>
      <x:c r="S854" t="str">
        <x:v>PA</x:v>
      </x:c>
      <x:c r="T854" t="n">
        <x:v>0</x:v>
      </x:c>
      <x:c r="U854" t="n">
        <x:v>0</x:v>
      </x:c>
      <x:c r="V854" t="n">
        <x:v>8</x:v>
      </x:c>
      <x:c r="W854" t="n">
        <x:v>25</x:v>
      </x:c>
      <x:c r="X854" t="str">
        <x:v>VALUE: [[4d8]] PA 8 PA 25 PC</x:v>
      </x:c>
    </x:row>
    <x:row r="855">
      <x:c r="P855" t="str">
        <x:v>10|Vermine|Précieuse</x:v>
      </x:c>
      <x:c r="Q855" t="n">
        <x:v>4200</x:v>
      </x:c>
      <x:c r="R855" t="str">
        <x:v>8d6</x:v>
      </x:c>
      <x:c r="S855" t="str">
        <x:v>PA</x:v>
      </x:c>
      <x:c r="T855" t="n">
        <x:v>0</x:v>
      </x:c>
      <x:c r="U855" t="n">
        <x:v>0</x:v>
      </x:c>
      <x:c r="V855" t="n">
        <x:v>14</x:v>
      </x:c>
      <x:c r="W855" t="n">
        <x:v>0</x:v>
      </x:c>
      <x:c r="X855" t="str">
        <x:v>VALUE: [[8d6]] PA 14 PA</x:v>
      </x:c>
    </x:row>
    <x:row r="856">
      <x:c r="P856" t="str">
        <x:v>10|Vermine|Exceptionnelle</x:v>
      </x:c>
      <x:c r="Q856" t="n">
        <x:v>7350</x:v>
      </x:c>
      <x:c r="R856" t="str">
        <x:v>8d12</x:v>
      </x:c>
      <x:c r="S856" t="str">
        <x:v>PA</x:v>
      </x:c>
      <x:c r="T856" t="n">
        <x:v>0</x:v>
      </x:c>
      <x:c r="U856" t="n">
        <x:v>0</x:v>
      </x:c>
      <x:c r="V856" t="n">
        <x:v>21</x:v>
      </x:c>
      <x:c r="W856" t="n">
        <x:v>50</x:v>
      </x:c>
      <x:c r="X856" t="str">
        <x:v>VALUE: [[8d12]] PA 21 PA 50 PC</x:v>
      </x:c>
    </x:row>
    <x:row r="857">
      <x:c r="P857" t="str">
        <x:v>10|Bête|Commune</x:v>
      </x:c>
      <x:c r="Q857" t="n">
        <x:v>1800</x:v>
      </x:c>
      <x:c r="R857" t="str">
        <x:v>5d4</x:v>
      </x:c>
      <x:c r="S857" t="str">
        <x:v>PA</x:v>
      </x:c>
      <x:c r="T857" t="n">
        <x:v>0</x:v>
      </x:c>
      <x:c r="U857" t="n">
        <x:v>0</x:v>
      </x:c>
      <x:c r="V857" t="n">
        <x:v>5</x:v>
      </x:c>
      <x:c r="W857" t="n">
        <x:v>50</x:v>
      </x:c>
      <x:c r="X857" t="str">
        <x:v>VALUE: [[5d4]] PA 5 PA 50 PC</x:v>
      </x:c>
    </x:row>
    <x:row r="858">
      <x:c r="P858" t="str">
        <x:v>10|Bête|Peu commune</x:v>
      </x:c>
      <x:c r="Q858" t="n">
        <x:v>2700</x:v>
      </x:c>
      <x:c r="R858" t="str">
        <x:v>3d12</x:v>
      </x:c>
      <x:c r="S858" t="str">
        <x:v>PA</x:v>
      </x:c>
      <x:c r="T858" t="n">
        <x:v>0</x:v>
      </x:c>
      <x:c r="U858" t="n">
        <x:v>0</x:v>
      </x:c>
      <x:c r="V858" t="n">
        <x:v>7</x:v>
      </x:c>
      <x:c r="W858" t="n">
        <x:v>50</x:v>
      </x:c>
      <x:c r="X858" t="str">
        <x:v>VALUE: [[3d12]] PA 7 PA 50 PC</x:v>
      </x:c>
    </x:row>
    <x:row r="859">
      <x:c r="P859" t="str">
        <x:v>10|Bête|Rare</x:v>
      </x:c>
      <x:c r="Q859" t="n">
        <x:v>4500</x:v>
      </x:c>
      <x:c r="R859" t="str">
        <x:v>3d20</x:v>
      </x:c>
      <x:c r="S859" t="str">
        <x:v>PA</x:v>
      </x:c>
      <x:c r="T859" t="n">
        <x:v>0</x:v>
      </x:c>
      <x:c r="U859" t="n">
        <x:v>0</x:v>
      </x:c>
      <x:c r="V859" t="n">
        <x:v>13</x:v>
      </x:c>
      <x:c r="W859" t="n">
        <x:v>50</x:v>
      </x:c>
      <x:c r="X859" t="str">
        <x:v>VALUE: [[3d20]] PA 13 PA 50 PC</x:v>
      </x:c>
    </x:row>
    <x:row r="860">
      <x:c r="P860" t="str">
        <x:v>10|Bête|Précieuse</x:v>
      </x:c>
      <x:c r="Q860" t="n">
        <x:v>7200</x:v>
      </x:c>
      <x:c r="R860" t="str">
        <x:v>9d10</x:v>
      </x:c>
      <x:c r="S860" t="str">
        <x:v>PA</x:v>
      </x:c>
      <x:c r="T860" t="n">
        <x:v>0</x:v>
      </x:c>
      <x:c r="U860" t="n">
        <x:v>0</x:v>
      </x:c>
      <x:c r="V860" t="n">
        <x:v>22</x:v>
      </x:c>
      <x:c r="W860" t="n">
        <x:v>50</x:v>
      </x:c>
      <x:c r="X860" t="str">
        <x:v>VALUE: [[9d10]] PA 22 PA 50 PC</x:v>
      </x:c>
    </x:row>
    <x:row r="861">
      <x:c r="P861" t="str">
        <x:v>10|Bête|Exceptionnelle</x:v>
      </x:c>
      <x:c r="Q861" t="n">
        <x:v>12600</x:v>
      </x:c>
      <x:c r="R861" t="str">
        <x:v>8d20</x:v>
      </x:c>
      <x:c r="S861" t="str">
        <x:v>PA</x:v>
      </x:c>
      <x:c r="T861" t="n">
        <x:v>0</x:v>
      </x:c>
      <x:c r="U861" t="n">
        <x:v>0</x:v>
      </x:c>
      <x:c r="V861" t="n">
        <x:v>42</x:v>
      </x:c>
      <x:c r="W861" t="n">
        <x:v>0</x:v>
      </x:c>
      <x:c r="X861" t="str">
        <x:v>VALUE: [[8d20]] PA 42 PA</x:v>
      </x:c>
    </x:row>
    <x:row r="862">
      <x:c r="P862" t="str">
        <x:v>10|Aquatique|Commune</x:v>
      </x:c>
      <x:c r="Q862" t="n">
        <x:v>2100</x:v>
      </x:c>
      <x:c r="R862" t="str">
        <x:v>6d4</x:v>
      </x:c>
      <x:c r="S862" t="str">
        <x:v>PA</x:v>
      </x:c>
      <x:c r="T862" t="n">
        <x:v>0</x:v>
      </x:c>
      <x:c r="U862" t="n">
        <x:v>0</x:v>
      </x:c>
      <x:c r="V862" t="n">
        <x:v>6</x:v>
      </x:c>
      <x:c r="W862" t="n">
        <x:v>0</x:v>
      </x:c>
      <x:c r="X862" t="str">
        <x:v>VALUE: [[6d4]] PA 6 PA</x:v>
      </x:c>
    </x:row>
    <x:row r="863">
      <x:c r="P863" t="str">
        <x:v>10|Aquatique|Peu commune</x:v>
      </x:c>
      <x:c r="Q863" t="n">
        <x:v>3150</x:v>
      </x:c>
      <x:c r="R863" t="str">
        <x:v>4d10</x:v>
      </x:c>
      <x:c r="S863" t="str">
        <x:v>PA</x:v>
      </x:c>
      <x:c r="T863" t="n">
        <x:v>0</x:v>
      </x:c>
      <x:c r="U863" t="n">
        <x:v>0</x:v>
      </x:c>
      <x:c r="V863" t="n">
        <x:v>9</x:v>
      </x:c>
      <x:c r="W863" t="n">
        <x:v>50</x:v>
      </x:c>
      <x:c r="X863" t="str">
        <x:v>VALUE: [[4d10]] PA 9 PA 50 PC</x:v>
      </x:c>
    </x:row>
    <x:row r="864">
      <x:c r="P864" t="str">
        <x:v>10|Aquatique|Rare</x:v>
      </x:c>
      <x:c r="Q864" t="n">
        <x:v>5250</x:v>
      </x:c>
      <x:c r="R864" t="str">
        <x:v>8d8</x:v>
      </x:c>
      <x:c r="S864" t="str">
        <x:v>PA</x:v>
      </x:c>
      <x:c r="T864" t="n">
        <x:v>0</x:v>
      </x:c>
      <x:c r="U864" t="n">
        <x:v>0</x:v>
      </x:c>
      <x:c r="V864" t="n">
        <x:v>16</x:v>
      </x:c>
      <x:c r="W864" t="n">
        <x:v>50</x:v>
      </x:c>
      <x:c r="X864" t="str">
        <x:v>VALUE: [[8d8]] PA 16 PA 50 PC</x:v>
      </x:c>
    </x:row>
    <x:row r="865">
      <x:c r="P865" t="str">
        <x:v>10|Aquatique|Précieuse</x:v>
      </x:c>
      <x:c r="Q865" t="n">
        <x:v>8400</x:v>
      </x:c>
      <x:c r="R865" t="str">
        <x:v>9d12</x:v>
      </x:c>
      <x:c r="S865" t="str">
        <x:v>PA</x:v>
      </x:c>
      <x:c r="T865" t="n">
        <x:v>0</x:v>
      </x:c>
      <x:c r="U865" t="n">
        <x:v>0</x:v>
      </x:c>
      <x:c r="V865" t="n">
        <x:v>25</x:v>
      </x:c>
      <x:c r="W865" t="n">
        <x:v>50</x:v>
      </x:c>
      <x:c r="X865" t="str">
        <x:v>VALUE: [[9d12]] PA 25 PA 50 PC</x:v>
      </x:c>
    </x:row>
    <x:row r="866">
      <x:c r="P866" t="str">
        <x:v>10|Aquatique|Exceptionnelle</x:v>
      </x:c>
      <x:c r="Q866" t="n">
        <x:v>14700</x:v>
      </x:c>
      <x:c r="R866" t="str">
        <x:v>10d20</x:v>
      </x:c>
      <x:c r="S866" t="str">
        <x:v>PA</x:v>
      </x:c>
      <x:c r="T866" t="n">
        <x:v>0</x:v>
      </x:c>
      <x:c r="U866" t="n">
        <x:v>0</x:v>
      </x:c>
      <x:c r="V866" t="n">
        <x:v>42</x:v>
      </x:c>
      <x:c r="W866" t="n">
        <x:v>0</x:v>
      </x:c>
      <x:c r="X866" t="str">
        <x:v>VALUE: [[10d20]] PA 42 PA</x:v>
      </x:c>
    </x:row>
    <x:row r="867">
      <x:c r="P867" t="str">
        <x:v>10|Plante|Commune</x:v>
      </x:c>
      <x:c r="Q867" t="n">
        <x:v>2400</x:v>
      </x:c>
      <x:c r="R867" t="str">
        <x:v>3d10</x:v>
      </x:c>
      <x:c r="S867" t="str">
        <x:v>PA</x:v>
      </x:c>
      <x:c r="T867" t="n">
        <x:v>0</x:v>
      </x:c>
      <x:c r="U867" t="n">
        <x:v>0</x:v>
      </x:c>
      <x:c r="V867" t="n">
        <x:v>7</x:v>
      </x:c>
      <x:c r="W867" t="n">
        <x:v>50</x:v>
      </x:c>
      <x:c r="X867" t="str">
        <x:v>VALUE: [[3d10]] PA 7 PA 50 PC</x:v>
      </x:c>
    </x:row>
    <x:row r="868">
      <x:c r="P868" t="str">
        <x:v>10|Plante|Peu commune</x:v>
      </x:c>
      <x:c r="Q868" t="n">
        <x:v>3600</x:v>
      </x:c>
      <x:c r="R868" t="str">
        <x:v>10d4</x:v>
      </x:c>
      <x:c r="S868" t="str">
        <x:v>PA</x:v>
      </x:c>
      <x:c r="T868" t="n">
        <x:v>0</x:v>
      </x:c>
      <x:c r="U868" t="n">
        <x:v>0</x:v>
      </x:c>
      <x:c r="V868" t="n">
        <x:v>11</x:v>
      </x:c>
      <x:c r="W868" t="n">
        <x:v>0</x:v>
      </x:c>
      <x:c r="X868" t="str">
        <x:v>VALUE: [[10d4]] PA 11 PA</x:v>
      </x:c>
    </x:row>
    <x:row r="869">
      <x:c r="P869" t="str">
        <x:v>10|Plante|Rare</x:v>
      </x:c>
      <x:c r="Q869" t="n">
        <x:v>6000</x:v>
      </x:c>
      <x:c r="R869" t="str">
        <x:v>4d20</x:v>
      </x:c>
      <x:c r="S869" t="str">
        <x:v>PA</x:v>
      </x:c>
      <x:c r="T869" t="n">
        <x:v>0</x:v>
      </x:c>
      <x:c r="U869" t="n">
        <x:v>0</x:v>
      </x:c>
      <x:c r="V869" t="n">
        <x:v>18</x:v>
      </x:c>
      <x:c r="W869" t="n">
        <x:v>0</x:v>
      </x:c>
      <x:c r="X869" t="str">
        <x:v>VALUE: [[4d20]] PA 18 PA</x:v>
      </x:c>
    </x:row>
    <x:row r="870">
      <x:c r="P870" t="str">
        <x:v>10|Plante|Précieuse</x:v>
      </x:c>
      <x:c r="Q870" t="n">
        <x:v>9600</x:v>
      </x:c>
      <x:c r="R870" t="str">
        <x:v>10d12</x:v>
      </x:c>
      <x:c r="S870" t="str">
        <x:v>PA</x:v>
      </x:c>
      <x:c r="T870" t="n">
        <x:v>0</x:v>
      </x:c>
      <x:c r="U870" t="n">
        <x:v>0</x:v>
      </x:c>
      <x:c r="V870" t="n">
        <x:v>31</x:v>
      </x:c>
      <x:c r="W870" t="n">
        <x:v>0</x:v>
      </x:c>
      <x:c r="X870" t="str">
        <x:v>VALUE: [[10d12]] PA 31 PA</x:v>
      </x:c>
    </x:row>
    <x:row r="871">
      <x:c r="P871" t="str">
        <x:v>10|Plante|Exceptionnelle</x:v>
      </x:c>
      <x:c r="Q871" t="n">
        <x:v>16800</x:v>
      </x:c>
      <x:c r="R871" t="str">
        <x:v>10d20</x:v>
      </x:c>
      <x:c r="S871" t="str">
        <x:v>PA</x:v>
      </x:c>
      <x:c r="T871" t="n">
        <x:v>0</x:v>
      </x:c>
      <x:c r="U871" t="n">
        <x:v>0</x:v>
      </x:c>
      <x:c r="V871" t="n">
        <x:v>63</x:v>
      </x:c>
      <x:c r="W871" t="n">
        <x:v>0</x:v>
      </x:c>
      <x:c r="X871" t="str">
        <x:v>VALUE: [[10d20]] PA 63 PA</x:v>
      </x:c>
    </x:row>
    <x:row r="872">
      <x:c r="P872" t="str">
        <x:v>10|Humanoïde|Commune</x:v>
      </x:c>
      <x:c r="Q872" t="n">
        <x:v>3000</x:v>
      </x:c>
      <x:c r="R872" t="str">
        <x:v>2d20</x:v>
      </x:c>
      <x:c r="S872" t="str">
        <x:v>PA</x:v>
      </x:c>
      <x:c r="T872" t="n">
        <x:v>0</x:v>
      </x:c>
      <x:c r="U872" t="n">
        <x:v>0</x:v>
      </x:c>
      <x:c r="V872" t="n">
        <x:v>9</x:v>
      </x:c>
      <x:c r="W872" t="n">
        <x:v>0</x:v>
      </x:c>
      <x:c r="X872" t="str">
        <x:v>VALUE: [[2d20]] PA 9 PA</x:v>
      </x:c>
    </x:row>
    <x:row r="873">
      <x:c r="P873" t="str">
        <x:v>10|Humanoïde|Peu commune</x:v>
      </x:c>
      <x:c r="Q873" t="n">
        <x:v>4500</x:v>
      </x:c>
      <x:c r="R873" t="str">
        <x:v>3d20</x:v>
      </x:c>
      <x:c r="S873" t="str">
        <x:v>PA</x:v>
      </x:c>
      <x:c r="T873" t="n">
        <x:v>0</x:v>
      </x:c>
      <x:c r="U873" t="n">
        <x:v>0</x:v>
      </x:c>
      <x:c r="V873" t="n">
        <x:v>13</x:v>
      </x:c>
      <x:c r="W873" t="n">
        <x:v>50</x:v>
      </x:c>
      <x:c r="X873" t="str">
        <x:v>VALUE: [[3d20]] PA 13 PA 50 PC</x:v>
      </x:c>
    </x:row>
    <x:row r="874">
      <x:c r="P874" t="str">
        <x:v>10|Humanoïde|Rare</x:v>
      </x:c>
      <x:c r="Q874" t="n">
        <x:v>7500</x:v>
      </x:c>
      <x:c r="R874" t="str">
        <x:v>5d20</x:v>
      </x:c>
      <x:c r="S874" t="str">
        <x:v>PA</x:v>
      </x:c>
      <x:c r="T874" t="n">
        <x:v>0</x:v>
      </x:c>
      <x:c r="U874" t="n">
        <x:v>0</x:v>
      </x:c>
      <x:c r="V874" t="n">
        <x:v>22</x:v>
      </x:c>
      <x:c r="W874" t="n">
        <x:v>50</x:v>
      </x:c>
      <x:c r="X874" t="str">
        <x:v>VALUE: [[5d20]] PA 22 PA 50 PC</x:v>
      </x:c>
    </x:row>
    <x:row r="875">
      <x:c r="P875" t="str">
        <x:v>10|Humanoïde|Précieuse</x:v>
      </x:c>
      <x:c r="Q875" t="n">
        <x:v>12000</x:v>
      </x:c>
      <x:c r="R875" t="str">
        <x:v>8d20</x:v>
      </x:c>
      <x:c r="S875" t="str">
        <x:v>PA</x:v>
      </x:c>
      <x:c r="T875" t="n">
        <x:v>0</x:v>
      </x:c>
      <x:c r="U875" t="n">
        <x:v>0</x:v>
      </x:c>
      <x:c r="V875" t="n">
        <x:v>36</x:v>
      </x:c>
      <x:c r="W875" t="n">
        <x:v>0</x:v>
      </x:c>
      <x:c r="X875" t="str">
        <x:v>VALUE: [[8d20]] PA 36 PA</x:v>
      </x:c>
    </x:row>
    <x:row r="876">
      <x:c r="P876" t="str">
        <x:v>10|Humanoïde|Exceptionnelle</x:v>
      </x:c>
      <x:c r="Q876" t="n">
        <x:v>21000</x:v>
      </x:c>
      <x:c r="R876" t="str">
        <x:v>10d20</x:v>
      </x:c>
      <x:c r="S876" t="str">
        <x:v>PA</x:v>
      </x:c>
      <x:c r="T876" t="n">
        <x:v>0</x:v>
      </x:c>
      <x:c r="U876" t="n">
        <x:v>1</x:v>
      </x:c>
      <x:c r="V876" t="n">
        <x:v>5</x:v>
      </x:c>
      <x:c r="W876" t="n">
        <x:v>0</x:v>
      </x:c>
      <x:c r="X876" t="str">
        <x:v>VALUE: [[10d20]] PA 1 PO 5 PA</x:v>
      </x:c>
    </x:row>
    <x:row r="877">
      <x:c r="P877" t="str">
        <x:v>10|Mort-vivant|Commune</x:v>
      </x:c>
      <x:c r="Q877" t="n">
        <x:v>3000</x:v>
      </x:c>
      <x:c r="R877" t="str">
        <x:v>2d20</x:v>
      </x:c>
      <x:c r="S877" t="str">
        <x:v>PA</x:v>
      </x:c>
      <x:c r="T877" t="n">
        <x:v>0</x:v>
      </x:c>
      <x:c r="U877" t="n">
        <x:v>0</x:v>
      </x:c>
      <x:c r="V877" t="n">
        <x:v>9</x:v>
      </x:c>
      <x:c r="W877" t="n">
        <x:v>0</x:v>
      </x:c>
      <x:c r="X877" t="str">
        <x:v>VALUE: [[2d20]] PA 9 PA</x:v>
      </x:c>
    </x:row>
    <x:row r="878">
      <x:c r="P878" t="str">
        <x:v>10|Mort-vivant|Peu commune</x:v>
      </x:c>
      <x:c r="Q878" t="n">
        <x:v>4500</x:v>
      </x:c>
      <x:c r="R878" t="str">
        <x:v>3d20</x:v>
      </x:c>
      <x:c r="S878" t="str">
        <x:v>PA</x:v>
      </x:c>
      <x:c r="T878" t="n">
        <x:v>0</x:v>
      </x:c>
      <x:c r="U878" t="n">
        <x:v>0</x:v>
      </x:c>
      <x:c r="V878" t="n">
        <x:v>13</x:v>
      </x:c>
      <x:c r="W878" t="n">
        <x:v>50</x:v>
      </x:c>
      <x:c r="X878" t="str">
        <x:v>VALUE: [[3d20]] PA 13 PA 50 PC</x:v>
      </x:c>
    </x:row>
    <x:row r="879">
      <x:c r="P879" t="str">
        <x:v>10|Mort-vivant|Rare</x:v>
      </x:c>
      <x:c r="Q879" t="n">
        <x:v>7500</x:v>
      </x:c>
      <x:c r="R879" t="str">
        <x:v>5d20</x:v>
      </x:c>
      <x:c r="S879" t="str">
        <x:v>PA</x:v>
      </x:c>
      <x:c r="T879" t="n">
        <x:v>0</x:v>
      </x:c>
      <x:c r="U879" t="n">
        <x:v>0</x:v>
      </x:c>
      <x:c r="V879" t="n">
        <x:v>22</x:v>
      </x:c>
      <x:c r="W879" t="n">
        <x:v>50</x:v>
      </x:c>
      <x:c r="X879" t="str">
        <x:v>VALUE: [[5d20]] PA 22 PA 50 PC</x:v>
      </x:c>
    </x:row>
    <x:row r="880">
      <x:c r="P880" t="str">
        <x:v>10|Mort-vivant|Précieuse</x:v>
      </x:c>
      <x:c r="Q880" t="n">
        <x:v>12000</x:v>
      </x:c>
      <x:c r="R880" t="str">
        <x:v>8d20</x:v>
      </x:c>
      <x:c r="S880" t="str">
        <x:v>PA</x:v>
      </x:c>
      <x:c r="T880" t="n">
        <x:v>0</x:v>
      </x:c>
      <x:c r="U880" t="n">
        <x:v>0</x:v>
      </x:c>
      <x:c r="V880" t="n">
        <x:v>36</x:v>
      </x:c>
      <x:c r="W880" t="n">
        <x:v>0</x:v>
      </x:c>
      <x:c r="X880" t="str">
        <x:v>VALUE: [[8d20]] PA 36 PA</x:v>
      </x:c>
    </x:row>
    <x:row r="881">
      <x:c r="P881" t="str">
        <x:v>10|Mort-vivant|Exceptionnelle</x:v>
      </x:c>
      <x:c r="Q881" t="n">
        <x:v>21000</x:v>
      </x:c>
      <x:c r="R881" t="str">
        <x:v>10d20</x:v>
      </x:c>
      <x:c r="S881" t="str">
        <x:v>PA</x:v>
      </x:c>
      <x:c r="T881" t="n">
        <x:v>0</x:v>
      </x:c>
      <x:c r="U881" t="n">
        <x:v>1</x:v>
      </x:c>
      <x:c r="V881" t="n">
        <x:v>5</x:v>
      </x:c>
      <x:c r="W881" t="n">
        <x:v>0</x:v>
      </x:c>
      <x:c r="X881" t="str">
        <x:v>VALUE: [[10d20]] PA 1 PO 5 PA</x:v>
      </x:c>
    </x:row>
    <x:row r="882">
      <x:c r="P882" t="str">
        <x:v>10|Monstre|Commune</x:v>
      </x:c>
      <x:c r="Q882" t="n">
        <x:v>3000</x:v>
      </x:c>
      <x:c r="R882" t="str">
        <x:v>2d20</x:v>
      </x:c>
      <x:c r="S882" t="str">
        <x:v>PA</x:v>
      </x:c>
      <x:c r="T882" t="n">
        <x:v>0</x:v>
      </x:c>
      <x:c r="U882" t="n">
        <x:v>0</x:v>
      </x:c>
      <x:c r="V882" t="n">
        <x:v>9</x:v>
      </x:c>
      <x:c r="W882" t="n">
        <x:v>0</x:v>
      </x:c>
      <x:c r="X882" t="str">
        <x:v>VALUE: [[2d20]] PA 9 PA</x:v>
      </x:c>
    </x:row>
    <x:row r="883">
      <x:c r="P883" t="str">
        <x:v>10|Monstre|Peu commune</x:v>
      </x:c>
      <x:c r="Q883" t="n">
        <x:v>4500</x:v>
      </x:c>
      <x:c r="R883" t="str">
        <x:v>3d20</x:v>
      </x:c>
      <x:c r="S883" t="str">
        <x:v>PA</x:v>
      </x:c>
      <x:c r="T883" t="n">
        <x:v>0</x:v>
      </x:c>
      <x:c r="U883" t="n">
        <x:v>0</x:v>
      </x:c>
      <x:c r="V883" t="n">
        <x:v>13</x:v>
      </x:c>
      <x:c r="W883" t="n">
        <x:v>50</x:v>
      </x:c>
      <x:c r="X883" t="str">
        <x:v>VALUE: [[3d20]] PA 13 PA 50 PC</x:v>
      </x:c>
    </x:row>
    <x:row r="884">
      <x:c r="P884" t="str">
        <x:v>10|Monstre|Rare</x:v>
      </x:c>
      <x:c r="Q884" t="n">
        <x:v>7500</x:v>
      </x:c>
      <x:c r="R884" t="str">
        <x:v>5d20</x:v>
      </x:c>
      <x:c r="S884" t="str">
        <x:v>PA</x:v>
      </x:c>
      <x:c r="T884" t="n">
        <x:v>0</x:v>
      </x:c>
      <x:c r="U884" t="n">
        <x:v>0</x:v>
      </x:c>
      <x:c r="V884" t="n">
        <x:v>22</x:v>
      </x:c>
      <x:c r="W884" t="n">
        <x:v>50</x:v>
      </x:c>
      <x:c r="X884" t="str">
        <x:v>VALUE: [[5d20]] PA 22 PA 50 PC</x:v>
      </x:c>
    </x:row>
    <x:row r="885">
      <x:c r="P885" t="str">
        <x:v>10|Monstre|Précieuse</x:v>
      </x:c>
      <x:c r="Q885" t="n">
        <x:v>12000</x:v>
      </x:c>
      <x:c r="R885" t="str">
        <x:v>8d20</x:v>
      </x:c>
      <x:c r="S885" t="str">
        <x:v>PA</x:v>
      </x:c>
      <x:c r="T885" t="n">
        <x:v>0</x:v>
      </x:c>
      <x:c r="U885" t="n">
        <x:v>0</x:v>
      </x:c>
      <x:c r="V885" t="n">
        <x:v>36</x:v>
      </x:c>
      <x:c r="W885" t="n">
        <x:v>0</x:v>
      </x:c>
      <x:c r="X885" t="str">
        <x:v>VALUE: [[8d20]] PA 36 PA</x:v>
      </x:c>
    </x:row>
    <x:row r="886">
      <x:c r="P886" t="str">
        <x:v>10|Monstre|Exceptionnelle</x:v>
      </x:c>
      <x:c r="Q886" t="n">
        <x:v>21000</x:v>
      </x:c>
      <x:c r="R886" t="str">
        <x:v>10d20</x:v>
      </x:c>
      <x:c r="S886" t="str">
        <x:v>PA</x:v>
      </x:c>
      <x:c r="T886" t="n">
        <x:v>0</x:v>
      </x:c>
      <x:c r="U886" t="n">
        <x:v>1</x:v>
      </x:c>
      <x:c r="V886" t="n">
        <x:v>5</x:v>
      </x:c>
      <x:c r="W886" t="n">
        <x:v>0</x:v>
      </x:c>
      <x:c r="X886" t="str">
        <x:v>VALUE: [[10d20]] PA 1 PO 5 PA</x:v>
      </x:c>
    </x:row>
    <x:row r="887">
      <x:c r="P887" t="str">
        <x:v>10|Vase|Commune</x:v>
      </x:c>
      <x:c r="Q887" t="n">
        <x:v>3000</x:v>
      </x:c>
      <x:c r="R887" t="str">
        <x:v>2d20</x:v>
      </x:c>
      <x:c r="S887" t="str">
        <x:v>PA</x:v>
      </x:c>
      <x:c r="T887" t="n">
        <x:v>0</x:v>
      </x:c>
      <x:c r="U887" t="n">
        <x:v>0</x:v>
      </x:c>
      <x:c r="V887" t="n">
        <x:v>9</x:v>
      </x:c>
      <x:c r="W887" t="n">
        <x:v>0</x:v>
      </x:c>
      <x:c r="X887" t="str">
        <x:v>VALUE: [[2d20]] PA 9 PA</x:v>
      </x:c>
    </x:row>
    <x:row r="888">
      <x:c r="P888" t="str">
        <x:v>10|Vase|Peu commune</x:v>
      </x:c>
      <x:c r="Q888" t="n">
        <x:v>4500</x:v>
      </x:c>
      <x:c r="R888" t="str">
        <x:v>3d20</x:v>
      </x:c>
      <x:c r="S888" t="str">
        <x:v>PA</x:v>
      </x:c>
      <x:c r="T888" t="n">
        <x:v>0</x:v>
      </x:c>
      <x:c r="U888" t="n">
        <x:v>0</x:v>
      </x:c>
      <x:c r="V888" t="n">
        <x:v>13</x:v>
      </x:c>
      <x:c r="W888" t="n">
        <x:v>50</x:v>
      </x:c>
      <x:c r="X888" t="str">
        <x:v>VALUE: [[3d20]] PA 13 PA 50 PC</x:v>
      </x:c>
    </x:row>
    <x:row r="889">
      <x:c r="P889" t="str">
        <x:v>10|Vase|Rare</x:v>
      </x:c>
      <x:c r="Q889" t="n">
        <x:v>7500</x:v>
      </x:c>
      <x:c r="R889" t="str">
        <x:v>5d20</x:v>
      </x:c>
      <x:c r="S889" t="str">
        <x:v>PA</x:v>
      </x:c>
      <x:c r="T889" t="n">
        <x:v>0</x:v>
      </x:c>
      <x:c r="U889" t="n">
        <x:v>0</x:v>
      </x:c>
      <x:c r="V889" t="n">
        <x:v>22</x:v>
      </x:c>
      <x:c r="W889" t="n">
        <x:v>50</x:v>
      </x:c>
      <x:c r="X889" t="str">
        <x:v>VALUE: [[5d20]] PA 22 PA 50 PC</x:v>
      </x:c>
    </x:row>
    <x:row r="890">
      <x:c r="P890" t="str">
        <x:v>10|Vase|Précieuse</x:v>
      </x:c>
      <x:c r="Q890" t="n">
        <x:v>12000</x:v>
      </x:c>
      <x:c r="R890" t="str">
        <x:v>8d20</x:v>
      </x:c>
      <x:c r="S890" t="str">
        <x:v>PA</x:v>
      </x:c>
      <x:c r="T890" t="n">
        <x:v>0</x:v>
      </x:c>
      <x:c r="U890" t="n">
        <x:v>0</x:v>
      </x:c>
      <x:c r="V890" t="n">
        <x:v>36</x:v>
      </x:c>
      <x:c r="W890" t="n">
        <x:v>0</x:v>
      </x:c>
      <x:c r="X890" t="str">
        <x:v>VALUE: [[8d20]] PA 36 PA</x:v>
      </x:c>
    </x:row>
    <x:row r="891">
      <x:c r="P891" t="str">
        <x:v>10|Vase|Exceptionnelle</x:v>
      </x:c>
      <x:c r="Q891" t="n">
        <x:v>21000</x:v>
      </x:c>
      <x:c r="R891" t="str">
        <x:v>10d20</x:v>
      </x:c>
      <x:c r="S891" t="str">
        <x:v>PA</x:v>
      </x:c>
      <x:c r="T891" t="n">
        <x:v>0</x:v>
      </x:c>
      <x:c r="U891" t="n">
        <x:v>1</x:v>
      </x:c>
      <x:c r="V891" t="n">
        <x:v>5</x:v>
      </x:c>
      <x:c r="W891" t="n">
        <x:v>0</x:v>
      </x:c>
      <x:c r="X891" t="str">
        <x:v>VALUE: [[10d20]] PA 1 PO 5 PA</x:v>
      </x:c>
    </x:row>
    <x:row r="892">
      <x:c r="P892" t="str">
        <x:v>10|Géant|Commune</x:v>
      </x:c>
      <x:c r="Q892" t="n">
        <x:v>3600</x:v>
      </x:c>
      <x:c r="R892" t="str">
        <x:v>10d4</x:v>
      </x:c>
      <x:c r="S892" t="str">
        <x:v>PA</x:v>
      </x:c>
      <x:c r="T892" t="n">
        <x:v>0</x:v>
      </x:c>
      <x:c r="U892" t="n">
        <x:v>0</x:v>
      </x:c>
      <x:c r="V892" t="n">
        <x:v>11</x:v>
      </x:c>
      <x:c r="W892" t="n">
        <x:v>0</x:v>
      </x:c>
      <x:c r="X892" t="str">
        <x:v>VALUE: [[10d4]] PA 11 PA</x:v>
      </x:c>
    </x:row>
    <x:row r="893">
      <x:c r="P893" t="str">
        <x:v>10|Géant|Peu commune</x:v>
      </x:c>
      <x:c r="Q893" t="n">
        <x:v>5400</x:v>
      </x:c>
      <x:c r="R893" t="str">
        <x:v>7d10</x:v>
      </x:c>
      <x:c r="S893" t="str">
        <x:v>PA</x:v>
      </x:c>
      <x:c r="T893" t="n">
        <x:v>0</x:v>
      </x:c>
      <x:c r="U893" t="n">
        <x:v>0</x:v>
      </x:c>
      <x:c r="V893" t="n">
        <x:v>15</x:v>
      </x:c>
      <x:c r="W893" t="n">
        <x:v>50</x:v>
      </x:c>
      <x:c r="X893" t="str">
        <x:v>VALUE: [[7d10]] PA 15 PA 50 PC</x:v>
      </x:c>
    </x:row>
    <x:row r="894">
      <x:c r="P894" t="str">
        <x:v>10|Géant|Rare</x:v>
      </x:c>
      <x:c r="Q894" t="n">
        <x:v>9000</x:v>
      </x:c>
      <x:c r="R894" t="str">
        <x:v>6d20</x:v>
      </x:c>
      <x:c r="S894" t="str">
        <x:v>PA</x:v>
      </x:c>
      <x:c r="T894" t="n">
        <x:v>0</x:v>
      </x:c>
      <x:c r="U894" t="n">
        <x:v>0</x:v>
      </x:c>
      <x:c r="V894" t="n">
        <x:v>27</x:v>
      </x:c>
      <x:c r="W894" t="n">
        <x:v>0</x:v>
      </x:c>
      <x:c r="X894" t="str">
        <x:v>VALUE: [[6d20]] PA 27 PA</x:v>
      </x:c>
    </x:row>
    <x:row r="895">
      <x:c r="P895" t="str">
        <x:v>10|Géant|Précieuse</x:v>
      </x:c>
      <x:c r="Q895" t="n">
        <x:v>14400</x:v>
      </x:c>
      <x:c r="R895" t="str">
        <x:v>10d20</x:v>
      </x:c>
      <x:c r="S895" t="str">
        <x:v>PA</x:v>
      </x:c>
      <x:c r="T895" t="n">
        <x:v>0</x:v>
      </x:c>
      <x:c r="U895" t="n">
        <x:v>0</x:v>
      </x:c>
      <x:c r="V895" t="n">
        <x:v>39</x:v>
      </x:c>
      <x:c r="W895" t="n">
        <x:v>0</x:v>
      </x:c>
      <x:c r="X895" t="str">
        <x:v>VALUE: [[10d20]] PA 39 PA</x:v>
      </x:c>
    </x:row>
    <x:row r="896">
      <x:c r="P896" t="str">
        <x:v>10|Géant|Exceptionnelle</x:v>
      </x:c>
      <x:c r="Q896" t="n">
        <x:v>25200</x:v>
      </x:c>
      <x:c r="R896" t="str">
        <x:v>10d20</x:v>
      </x:c>
      <x:c r="S896" t="str">
        <x:v>PA</x:v>
      </x:c>
      <x:c r="T896" t="n">
        <x:v>0</x:v>
      </x:c>
      <x:c r="U896" t="n">
        <x:v>1</x:v>
      </x:c>
      <x:c r="V896" t="n">
        <x:v>47</x:v>
      </x:c>
      <x:c r="W896" t="n">
        <x:v>0</x:v>
      </x:c>
      <x:c r="X896" t="str">
        <x:v>VALUE: [[10d20]] PA 1 PO 47 PA</x:v>
      </x:c>
    </x:row>
    <x:row r="897">
      <x:c r="P897" t="str">
        <x:v>10|Aberration|Commune</x:v>
      </x:c>
      <x:c r="Q897" t="n">
        <x:v>4500</x:v>
      </x:c>
      <x:c r="R897" t="str">
        <x:v>3d20</x:v>
      </x:c>
      <x:c r="S897" t="str">
        <x:v>PA</x:v>
      </x:c>
      <x:c r="T897" t="n">
        <x:v>0</x:v>
      </x:c>
      <x:c r="U897" t="n">
        <x:v>0</x:v>
      </x:c>
      <x:c r="V897" t="n">
        <x:v>13</x:v>
      </x:c>
      <x:c r="W897" t="n">
        <x:v>50</x:v>
      </x:c>
      <x:c r="X897" t="str">
        <x:v>VALUE: [[3d20]] PA 13 PA 50 PC</x:v>
      </x:c>
    </x:row>
    <x:row r="898">
      <x:c r="P898" t="str">
        <x:v>10|Aberration|Peu commune</x:v>
      </x:c>
      <x:c r="Q898" t="n">
        <x:v>6750</x:v>
      </x:c>
      <x:c r="R898" t="str">
        <x:v>7d12</x:v>
      </x:c>
      <x:c r="S898" t="str">
        <x:v>PA</x:v>
      </x:c>
      <x:c r="T898" t="n">
        <x:v>0</x:v>
      </x:c>
      <x:c r="U898" t="n">
        <x:v>0</x:v>
      </x:c>
      <x:c r="V898" t="n">
        <x:v>22</x:v>
      </x:c>
      <x:c r="W898" t="n">
        <x:v>0</x:v>
      </x:c>
      <x:c r="X898" t="str">
        <x:v>VALUE: [[7d12]] PA 22 PA</x:v>
      </x:c>
    </x:row>
    <x:row r="899">
      <x:c r="P899" t="str">
        <x:v>10|Aberration|Rare</x:v>
      </x:c>
      <x:c r="Q899" t="n">
        <x:v>11250</x:v>
      </x:c>
      <x:c r="R899" t="str">
        <x:v>7d20</x:v>
      </x:c>
      <x:c r="S899" t="str">
        <x:v>PA</x:v>
      </x:c>
      <x:c r="T899" t="n">
        <x:v>0</x:v>
      </x:c>
      <x:c r="U899" t="n">
        <x:v>0</x:v>
      </x:c>
      <x:c r="V899" t="n">
        <x:v>39</x:v>
      </x:c>
      <x:c r="W899" t="n">
        <x:v>0</x:v>
      </x:c>
      <x:c r="X899" t="str">
        <x:v>VALUE: [[7d20]] PA 39 PA</x:v>
      </x:c>
    </x:row>
    <x:row r="900">
      <x:c r="P900" t="str">
        <x:v>10|Aberration|Précieuse</x:v>
      </x:c>
      <x:c r="Q900" t="n">
        <x:v>18000</x:v>
      </x:c>
      <x:c r="R900" t="str">
        <x:v>10d20</x:v>
      </x:c>
      <x:c r="S900" t="str">
        <x:v>PA</x:v>
      </x:c>
      <x:c r="T900" t="n">
        <x:v>0</x:v>
      </x:c>
      <x:c r="U900" t="n">
        <x:v>0</x:v>
      </x:c>
      <x:c r="V900" t="n">
        <x:v>75</x:v>
      </x:c>
      <x:c r="W900" t="n">
        <x:v>0</x:v>
      </x:c>
      <x:c r="X900" t="str">
        <x:v>VALUE: [[10d20]] PA 75 PA</x:v>
      </x:c>
    </x:row>
    <x:row r="901">
      <x:c r="P901" t="str">
        <x:v>10|Aberration|Exceptionnelle</x:v>
      </x:c>
      <x:c r="Q901" t="n">
        <x:v>31500</x:v>
      </x:c>
      <x:c r="R901" t="str">
        <x:v>1d4</x:v>
      </x:c>
      <x:c r="S901" t="str">
        <x:v>PO</x:v>
      </x:c>
      <x:c r="T901" t="n">
        <x:v>0</x:v>
      </x:c>
      <x:c r="U901" t="n">
        <x:v>0</x:v>
      </x:c>
      <x:c r="V901" t="n">
        <x:v>65</x:v>
      </x:c>
      <x:c r="W901" t="n">
        <x:v>0</x:v>
      </x:c>
      <x:c r="X901" t="str">
        <x:v>VALUE: [[1d4]] PO 65 PA</x:v>
      </x:c>
    </x:row>
    <x:row r="902">
      <x:c r="P902" t="str">
        <x:v>10|Fée|Commune</x:v>
      </x:c>
      <x:c r="Q902" t="n">
        <x:v>5400</x:v>
      </x:c>
      <x:c r="R902" t="str">
        <x:v>7d10</x:v>
      </x:c>
      <x:c r="S902" t="str">
        <x:v>PA</x:v>
      </x:c>
      <x:c r="T902" t="n">
        <x:v>0</x:v>
      </x:c>
      <x:c r="U902" t="n">
        <x:v>0</x:v>
      </x:c>
      <x:c r="V902" t="n">
        <x:v>15</x:v>
      </x:c>
      <x:c r="W902" t="n">
        <x:v>50</x:v>
      </x:c>
      <x:c r="X902" t="str">
        <x:v>VALUE: [[7d10]] PA 15 PA 50 PC</x:v>
      </x:c>
    </x:row>
    <x:row r="903">
      <x:c r="P903" t="str">
        <x:v>10|Fée|Peu commune</x:v>
      </x:c>
      <x:c r="Q903" t="n">
        <x:v>8100</x:v>
      </x:c>
      <x:c r="R903" t="str">
        <x:v>10d10</x:v>
      </x:c>
      <x:c r="S903" t="str">
        <x:v>PA</x:v>
      </x:c>
      <x:c r="T903" t="n">
        <x:v>0</x:v>
      </x:c>
      <x:c r="U903" t="n">
        <x:v>0</x:v>
      </x:c>
      <x:c r="V903" t="n">
        <x:v>26</x:v>
      </x:c>
      <x:c r="W903" t="n">
        <x:v>0</x:v>
      </x:c>
      <x:c r="X903" t="str">
        <x:v>VALUE: [[10d10]] PA 26 PA</x:v>
      </x:c>
    </x:row>
    <x:row r="904">
      <x:c r="P904" t="str">
        <x:v>10|Fée|Rare</x:v>
      </x:c>
      <x:c r="Q904" t="n">
        <x:v>13500</x:v>
      </x:c>
      <x:c r="R904" t="str">
        <x:v>9d20</x:v>
      </x:c>
      <x:c r="S904" t="str">
        <x:v>PA</x:v>
      </x:c>
      <x:c r="T904" t="n">
        <x:v>0</x:v>
      </x:c>
      <x:c r="U904" t="n">
        <x:v>0</x:v>
      </x:c>
      <x:c r="V904" t="n">
        <x:v>40</x:v>
      </x:c>
      <x:c r="W904" t="n">
        <x:v>50</x:v>
      </x:c>
      <x:c r="X904" t="str">
        <x:v>VALUE: [[9d20]] PA 40 PA 50 PC</x:v>
      </x:c>
    </x:row>
    <x:row r="905">
      <x:c r="P905" t="str">
        <x:v>10|Fée|Précieuse</x:v>
      </x:c>
      <x:c r="Q905" t="n">
        <x:v>21600</x:v>
      </x:c>
      <x:c r="R905" t="str">
        <x:v>10d20</x:v>
      </x:c>
      <x:c r="S905" t="str">
        <x:v>PA</x:v>
      </x:c>
      <x:c r="T905" t="n">
        <x:v>0</x:v>
      </x:c>
      <x:c r="U905" t="n">
        <x:v>1</x:v>
      </x:c>
      <x:c r="V905" t="n">
        <x:v>11</x:v>
      </x:c>
      <x:c r="W905" t="n">
        <x:v>0</x:v>
      </x:c>
      <x:c r="X905" t="str">
        <x:v>VALUE: [[10d20]] PA 1 PO 11 PA</x:v>
      </x:c>
    </x:row>
    <x:row r="906">
      <x:c r="P906" t="str">
        <x:v>10|Fée|Exceptionnelle</x:v>
      </x:c>
      <x:c r="Q906" t="n">
        <x:v>37800</x:v>
      </x:c>
      <x:c r="R906" t="str">
        <x:v>1d4</x:v>
      </x:c>
      <x:c r="S906" t="str">
        <x:v>PO</x:v>
      </x:c>
      <x:c r="T906" t="n">
        <x:v>0</x:v>
      </x:c>
      <x:c r="U906" t="n">
        <x:v>1</x:v>
      </x:c>
      <x:c r="V906" t="n">
        <x:v>28</x:v>
      </x:c>
      <x:c r="W906" t="n">
        <x:v>0</x:v>
      </x:c>
      <x:c r="X906" t="str">
        <x:v>VALUE: [[1d4]] PO 1 PO 28 PA</x:v>
      </x:c>
    </x:row>
    <x:row r="907">
      <x:c r="P907" t="str">
        <x:v>10|Démon|Commune</x:v>
      </x:c>
      <x:c r="Q907" t="n">
        <x:v>6000</x:v>
      </x:c>
      <x:c r="R907" t="str">
        <x:v>4d20</x:v>
      </x:c>
      <x:c r="S907" t="str">
        <x:v>PA</x:v>
      </x:c>
      <x:c r="T907" t="n">
        <x:v>0</x:v>
      </x:c>
      <x:c r="U907" t="n">
        <x:v>0</x:v>
      </x:c>
      <x:c r="V907" t="n">
        <x:v>18</x:v>
      </x:c>
      <x:c r="W907" t="n">
        <x:v>0</x:v>
      </x:c>
      <x:c r="X907" t="str">
        <x:v>VALUE: [[4d20]] PA 18 PA</x:v>
      </x:c>
    </x:row>
    <x:row r="908">
      <x:c r="P908" t="str">
        <x:v>10|Démon|Peu commune</x:v>
      </x:c>
      <x:c r="Q908" t="n">
        <x:v>9000</x:v>
      </x:c>
      <x:c r="R908" t="str">
        <x:v>6d20</x:v>
      </x:c>
      <x:c r="S908" t="str">
        <x:v>PA</x:v>
      </x:c>
      <x:c r="T908" t="n">
        <x:v>0</x:v>
      </x:c>
      <x:c r="U908" t="n">
        <x:v>0</x:v>
      </x:c>
      <x:c r="V908" t="n">
        <x:v>27</x:v>
      </x:c>
      <x:c r="W908" t="n">
        <x:v>0</x:v>
      </x:c>
      <x:c r="X908" t="str">
        <x:v>VALUE: [[6d20]] PA 27 PA</x:v>
      </x:c>
    </x:row>
    <x:row r="909">
      <x:c r="P909" t="str">
        <x:v>10|Démon|Rare</x:v>
      </x:c>
      <x:c r="Q909" t="n">
        <x:v>15000</x:v>
      </x:c>
      <x:c r="R909" t="str">
        <x:v>10d20</x:v>
      </x:c>
      <x:c r="S909" t="str">
        <x:v>PA</x:v>
      </x:c>
      <x:c r="T909" t="n">
        <x:v>0</x:v>
      </x:c>
      <x:c r="U909" t="n">
        <x:v>0</x:v>
      </x:c>
      <x:c r="V909" t="n">
        <x:v>45</x:v>
      </x:c>
      <x:c r="W909" t="n">
        <x:v>0</x:v>
      </x:c>
      <x:c r="X909" t="str">
        <x:v>VALUE: [[10d20]] PA 45 PA</x:v>
      </x:c>
    </x:row>
    <x:row r="910">
      <x:c r="P910" t="str">
        <x:v>10|Démon|Précieuse</x:v>
      </x:c>
      <x:c r="Q910" t="n">
        <x:v>24000</x:v>
      </x:c>
      <x:c r="R910" t="str">
        <x:v>10d20</x:v>
      </x:c>
      <x:c r="S910" t="str">
        <x:v>PA</x:v>
      </x:c>
      <x:c r="T910" t="n">
        <x:v>0</x:v>
      </x:c>
      <x:c r="U910" t="n">
        <x:v>1</x:v>
      </x:c>
      <x:c r="V910" t="n">
        <x:v>35</x:v>
      </x:c>
      <x:c r="W910" t="n">
        <x:v>0</x:v>
      </x:c>
      <x:c r="X910" t="str">
        <x:v>VALUE: [[10d20]] PA 1 PO 35 PA</x:v>
      </x:c>
    </x:row>
    <x:row r="911">
      <x:c r="P911" t="str">
        <x:v>10|Démon|Exceptionnelle</x:v>
      </x:c>
      <x:c r="Q911" t="n">
        <x:v>42000</x:v>
      </x:c>
      <x:c r="R911" t="str">
        <x:v>1d4</x:v>
      </x:c>
      <x:c r="S911" t="str">
        <x:v>PO</x:v>
      </x:c>
      <x:c r="T911" t="n">
        <x:v>0</x:v>
      </x:c>
      <x:c r="U911" t="n">
        <x:v>1</x:v>
      </x:c>
      <x:c r="V911" t="n">
        <x:v>70</x:v>
      </x:c>
      <x:c r="W911" t="n">
        <x:v>0</x:v>
      </x:c>
      <x:c r="X911" t="str">
        <x:v>VALUE: [[1d4]] PO 1 PO 70 PA</x:v>
      </x:c>
    </x:row>
    <x:row r="912">
      <x:c r="P912" t="str">
        <x:v>10|Artificiel|Commune</x:v>
      </x:c>
      <x:c r="Q912" t="n">
        <x:v>6000</x:v>
      </x:c>
      <x:c r="R912" t="str">
        <x:v>4d20</x:v>
      </x:c>
      <x:c r="S912" t="str">
        <x:v>PA</x:v>
      </x:c>
      <x:c r="T912" t="n">
        <x:v>0</x:v>
      </x:c>
      <x:c r="U912" t="n">
        <x:v>0</x:v>
      </x:c>
      <x:c r="V912" t="n">
        <x:v>18</x:v>
      </x:c>
      <x:c r="W912" t="n">
        <x:v>0</x:v>
      </x:c>
      <x:c r="X912" t="str">
        <x:v>VALUE: [[4d20]] PA 18 PA</x:v>
      </x:c>
    </x:row>
    <x:row r="913">
      <x:c r="P913" t="str">
        <x:v>10|Artificiel|Peu commune</x:v>
      </x:c>
      <x:c r="Q913" t="n">
        <x:v>9000</x:v>
      </x:c>
      <x:c r="R913" t="str">
        <x:v>6d20</x:v>
      </x:c>
      <x:c r="S913" t="str">
        <x:v>PA</x:v>
      </x:c>
      <x:c r="T913" t="n">
        <x:v>0</x:v>
      </x:c>
      <x:c r="U913" t="n">
        <x:v>0</x:v>
      </x:c>
      <x:c r="V913" t="n">
        <x:v>27</x:v>
      </x:c>
      <x:c r="W913" t="n">
        <x:v>0</x:v>
      </x:c>
      <x:c r="X913" t="str">
        <x:v>VALUE: [[6d20]] PA 27 PA</x:v>
      </x:c>
    </x:row>
    <x:row r="914">
      <x:c r="P914" t="str">
        <x:v>10|Artificiel|Rare</x:v>
      </x:c>
      <x:c r="Q914" t="n">
        <x:v>15000</x:v>
      </x:c>
      <x:c r="R914" t="str">
        <x:v>10d20</x:v>
      </x:c>
      <x:c r="S914" t="str">
        <x:v>PA</x:v>
      </x:c>
      <x:c r="T914" t="n">
        <x:v>0</x:v>
      </x:c>
      <x:c r="U914" t="n">
        <x:v>0</x:v>
      </x:c>
      <x:c r="V914" t="n">
        <x:v>45</x:v>
      </x:c>
      <x:c r="W914" t="n">
        <x:v>0</x:v>
      </x:c>
      <x:c r="X914" t="str">
        <x:v>VALUE: [[10d20]] PA 45 PA</x:v>
      </x:c>
    </x:row>
    <x:row r="915">
      <x:c r="P915" t="str">
        <x:v>10|Artificiel|Précieuse</x:v>
      </x:c>
      <x:c r="Q915" t="n">
        <x:v>24000</x:v>
      </x:c>
      <x:c r="R915" t="str">
        <x:v>10d20</x:v>
      </x:c>
      <x:c r="S915" t="str">
        <x:v>PA</x:v>
      </x:c>
      <x:c r="T915" t="n">
        <x:v>0</x:v>
      </x:c>
      <x:c r="U915" t="n">
        <x:v>1</x:v>
      </x:c>
      <x:c r="V915" t="n">
        <x:v>35</x:v>
      </x:c>
      <x:c r="W915" t="n">
        <x:v>0</x:v>
      </x:c>
      <x:c r="X915" t="str">
        <x:v>VALUE: [[10d20]] PA 1 PO 35 PA</x:v>
      </x:c>
    </x:row>
    <x:row r="916">
      <x:c r="P916" t="str">
        <x:v>10|Artificiel|Exceptionnelle</x:v>
      </x:c>
      <x:c r="Q916" t="n">
        <x:v>42000</x:v>
      </x:c>
      <x:c r="R916" t="str">
        <x:v>1d4</x:v>
      </x:c>
      <x:c r="S916" t="str">
        <x:v>PO</x:v>
      </x:c>
      <x:c r="T916" t="n">
        <x:v>0</x:v>
      </x:c>
      <x:c r="U916" t="n">
        <x:v>1</x:v>
      </x:c>
      <x:c r="V916" t="n">
        <x:v>70</x:v>
      </x:c>
      <x:c r="W916" t="n">
        <x:v>0</x:v>
      </x:c>
      <x:c r="X916" t="str">
        <x:v>VALUE: [[1d4]] PO 1 PO 70 PA</x:v>
      </x:c>
    </x:row>
    <x:row r="917">
      <x:c r="P917" t="str">
        <x:v>10|Élémentaire|Commune</x:v>
      </x:c>
      <x:c r="Q917" t="n">
        <x:v>7500</x:v>
      </x:c>
      <x:c r="R917" t="str">
        <x:v>5d20</x:v>
      </x:c>
      <x:c r="S917" t="str">
        <x:v>PA</x:v>
      </x:c>
      <x:c r="T917" t="n">
        <x:v>0</x:v>
      </x:c>
      <x:c r="U917" t="n">
        <x:v>0</x:v>
      </x:c>
      <x:c r="V917" t="n">
        <x:v>22</x:v>
      </x:c>
      <x:c r="W917" t="n">
        <x:v>50</x:v>
      </x:c>
      <x:c r="X917" t="str">
        <x:v>VALUE: [[5d20]] PA 22 PA 50 PC</x:v>
      </x:c>
    </x:row>
    <x:row r="918">
      <x:c r="P918" t="str">
        <x:v>10|Élémentaire|Peu commune</x:v>
      </x:c>
      <x:c r="Q918" t="n">
        <x:v>11250</x:v>
      </x:c>
      <x:c r="R918" t="str">
        <x:v>7d20</x:v>
      </x:c>
      <x:c r="S918" t="str">
        <x:v>PA</x:v>
      </x:c>
      <x:c r="T918" t="n">
        <x:v>0</x:v>
      </x:c>
      <x:c r="U918" t="n">
        <x:v>0</x:v>
      </x:c>
      <x:c r="V918" t="n">
        <x:v>39</x:v>
      </x:c>
      <x:c r="W918" t="n">
        <x:v>0</x:v>
      </x:c>
      <x:c r="X918" t="str">
        <x:v>VALUE: [[7d20]] PA 39 PA</x:v>
      </x:c>
    </x:row>
    <x:row r="919">
      <x:c r="P919" t="str">
        <x:v>10|Élémentaire|Rare</x:v>
      </x:c>
      <x:c r="Q919" t="n">
        <x:v>18750</x:v>
      </x:c>
      <x:c r="R919" t="str">
        <x:v>10d20</x:v>
      </x:c>
      <x:c r="S919" t="str">
        <x:v>PA</x:v>
      </x:c>
      <x:c r="T919" t="n">
        <x:v>0</x:v>
      </x:c>
      <x:c r="U919" t="n">
        <x:v>0</x:v>
      </x:c>
      <x:c r="V919" t="n">
        <x:v>82</x:v>
      </x:c>
      <x:c r="W919" t="n">
        <x:v>50</x:v>
      </x:c>
      <x:c r="X919" t="str">
        <x:v>VALUE: [[10d20]] PA 82 PA 50 PC</x:v>
      </x:c>
    </x:row>
    <x:row r="920">
      <x:c r="P920" t="str">
        <x:v>10|Élémentaire|Précieuse</x:v>
      </x:c>
      <x:c r="Q920" t="n">
        <x:v>30000</x:v>
      </x:c>
      <x:c r="R920" t="str">
        <x:v>1d4</x:v>
      </x:c>
      <x:c r="S920" t="str">
        <x:v>PO</x:v>
      </x:c>
      <x:c r="T920" t="n">
        <x:v>0</x:v>
      </x:c>
      <x:c r="U920" t="n">
        <x:v>0</x:v>
      </x:c>
      <x:c r="V920" t="n">
        <x:v>50</x:v>
      </x:c>
      <x:c r="W920" t="n">
        <x:v>0</x:v>
      </x:c>
      <x:c r="X920" t="str">
        <x:v>VALUE: [[1d4]] PO 50 PA</x:v>
      </x:c>
    </x:row>
    <x:row r="921">
      <x:c r="P921" t="str">
        <x:v>10|Élémentaire|Exceptionnelle</x:v>
      </x:c>
      <x:c r="Q921" t="n">
        <x:v>52500</x:v>
      </x:c>
      <x:c r="R921" t="str">
        <x:v>1d6</x:v>
      </x:c>
      <x:c r="S921" t="str">
        <x:v>PO</x:v>
      </x:c>
      <x:c r="T921" t="n">
        <x:v>0</x:v>
      </x:c>
      <x:c r="U921" t="n">
        <x:v>1</x:v>
      </x:c>
      <x:c r="V921" t="n">
        <x:v>75</x:v>
      </x:c>
      <x:c r="W921" t="n">
        <x:v>0</x:v>
      </x:c>
      <x:c r="X921" t="str">
        <x:v>VALUE: [[1d6]] PO 1 PO 75 PA</x:v>
      </x:c>
    </x:row>
    <x:row r="922">
      <x:c r="P922" t="str">
        <x:v>10|Esprit|Commune</x:v>
      </x:c>
      <x:c r="Q922" t="n">
        <x:v>7500</x:v>
      </x:c>
      <x:c r="R922" t="str">
        <x:v>5d20</x:v>
      </x:c>
      <x:c r="S922" t="str">
        <x:v>PA</x:v>
      </x:c>
      <x:c r="T922" t="n">
        <x:v>0</x:v>
      </x:c>
      <x:c r="U922" t="n">
        <x:v>0</x:v>
      </x:c>
      <x:c r="V922" t="n">
        <x:v>22</x:v>
      </x:c>
      <x:c r="W922" t="n">
        <x:v>50</x:v>
      </x:c>
      <x:c r="X922" t="str">
        <x:v>VALUE: [[5d20]] PA 22 PA 50 PC</x:v>
      </x:c>
    </x:row>
    <x:row r="923">
      <x:c r="P923" t="str">
        <x:v>10|Esprit|Peu commune</x:v>
      </x:c>
      <x:c r="Q923" t="n">
        <x:v>11250</x:v>
      </x:c>
      <x:c r="R923" t="str">
        <x:v>7d20</x:v>
      </x:c>
      <x:c r="S923" t="str">
        <x:v>PA</x:v>
      </x:c>
      <x:c r="T923" t="n">
        <x:v>0</x:v>
      </x:c>
      <x:c r="U923" t="n">
        <x:v>0</x:v>
      </x:c>
      <x:c r="V923" t="n">
        <x:v>39</x:v>
      </x:c>
      <x:c r="W923" t="n">
        <x:v>0</x:v>
      </x:c>
      <x:c r="X923" t="str">
        <x:v>VALUE: [[7d20]] PA 39 PA</x:v>
      </x:c>
    </x:row>
    <x:row r="924">
      <x:c r="P924" t="str">
        <x:v>10|Esprit|Rare</x:v>
      </x:c>
      <x:c r="Q924" t="n">
        <x:v>18750</x:v>
      </x:c>
      <x:c r="R924" t="str">
        <x:v>10d20</x:v>
      </x:c>
      <x:c r="S924" t="str">
        <x:v>PA</x:v>
      </x:c>
      <x:c r="T924" t="n">
        <x:v>0</x:v>
      </x:c>
      <x:c r="U924" t="n">
        <x:v>0</x:v>
      </x:c>
      <x:c r="V924" t="n">
        <x:v>82</x:v>
      </x:c>
      <x:c r="W924" t="n">
        <x:v>50</x:v>
      </x:c>
      <x:c r="X924" t="str">
        <x:v>VALUE: [[10d20]] PA 82 PA 50 PC</x:v>
      </x:c>
    </x:row>
    <x:row r="925">
      <x:c r="P925" t="str">
        <x:v>10|Esprit|Précieuse</x:v>
      </x:c>
      <x:c r="Q925" t="n">
        <x:v>30000</x:v>
      </x:c>
      <x:c r="R925" t="str">
        <x:v>1d4</x:v>
      </x:c>
      <x:c r="S925" t="str">
        <x:v>PO</x:v>
      </x:c>
      <x:c r="T925" t="n">
        <x:v>0</x:v>
      </x:c>
      <x:c r="U925" t="n">
        <x:v>0</x:v>
      </x:c>
      <x:c r="V925" t="n">
        <x:v>50</x:v>
      </x:c>
      <x:c r="W925" t="n">
        <x:v>0</x:v>
      </x:c>
      <x:c r="X925" t="str">
        <x:v>VALUE: [[1d4]] PO 50 PA</x:v>
      </x:c>
    </x:row>
    <x:row r="926">
      <x:c r="P926" t="str">
        <x:v>10|Esprit|Exceptionnelle</x:v>
      </x:c>
      <x:c r="Q926" t="n">
        <x:v>52500</x:v>
      </x:c>
      <x:c r="R926" t="str">
        <x:v>1d6</x:v>
      </x:c>
      <x:c r="S926" t="str">
        <x:v>PO</x:v>
      </x:c>
      <x:c r="T926" t="n">
        <x:v>0</x:v>
      </x:c>
      <x:c r="U926" t="n">
        <x:v>1</x:v>
      </x:c>
      <x:c r="V926" t="n">
        <x:v>75</x:v>
      </x:c>
      <x:c r="W926" t="n">
        <x:v>0</x:v>
      </x:c>
      <x:c r="X926" t="str">
        <x:v>VALUE: [[1d6]] PO 1 PO 75 PA</x:v>
      </x:c>
    </x:row>
    <x:row r="927">
      <x:c r="P927" t="str">
        <x:v>10|Céleste|Commune</x:v>
      </x:c>
      <x:c r="Q927" t="n">
        <x:v>9000</x:v>
      </x:c>
      <x:c r="R927" t="str">
        <x:v>6d20</x:v>
      </x:c>
      <x:c r="S927" t="str">
        <x:v>PA</x:v>
      </x:c>
      <x:c r="T927" t="n">
        <x:v>0</x:v>
      </x:c>
      <x:c r="U927" t="n">
        <x:v>0</x:v>
      </x:c>
      <x:c r="V927" t="n">
        <x:v>27</x:v>
      </x:c>
      <x:c r="W927" t="n">
        <x:v>0</x:v>
      </x:c>
      <x:c r="X927" t="str">
        <x:v>VALUE: [[6d20]] PA 27 PA</x:v>
      </x:c>
    </x:row>
    <x:row r="928">
      <x:c r="P928" t="str">
        <x:v>10|Céleste|Peu commune</x:v>
      </x:c>
      <x:c r="Q928" t="n">
        <x:v>13500</x:v>
      </x:c>
      <x:c r="R928" t="str">
        <x:v>9d20</x:v>
      </x:c>
      <x:c r="S928" t="str">
        <x:v>PA</x:v>
      </x:c>
      <x:c r="T928" t="n">
        <x:v>0</x:v>
      </x:c>
      <x:c r="U928" t="n">
        <x:v>0</x:v>
      </x:c>
      <x:c r="V928" t="n">
        <x:v>40</x:v>
      </x:c>
      <x:c r="W928" t="n">
        <x:v>50</x:v>
      </x:c>
      <x:c r="X928" t="str">
        <x:v>VALUE: [[9d20]] PA 40 PA 50 PC</x:v>
      </x:c>
    </x:row>
    <x:row r="929">
      <x:c r="P929" t="str">
        <x:v>10|Céleste|Rare</x:v>
      </x:c>
      <x:c r="Q929" t="n">
        <x:v>22500</x:v>
      </x:c>
      <x:c r="R929" t="str">
        <x:v>10d20</x:v>
      </x:c>
      <x:c r="S929" t="str">
        <x:v>PA</x:v>
      </x:c>
      <x:c r="T929" t="n">
        <x:v>0</x:v>
      </x:c>
      <x:c r="U929" t="n">
        <x:v>1</x:v>
      </x:c>
      <x:c r="V929" t="n">
        <x:v>20</x:v>
      </x:c>
      <x:c r="W929" t="n">
        <x:v>0</x:v>
      </x:c>
      <x:c r="X929" t="str">
        <x:v>VALUE: [[10d20]] PA 1 PO 20 PA</x:v>
      </x:c>
    </x:row>
    <x:row r="930">
      <x:c r="P930" t="str">
        <x:v>10|Céleste|Précieuse</x:v>
      </x:c>
      <x:c r="Q930" t="n">
        <x:v>36000</x:v>
      </x:c>
      <x:c r="R930" t="str">
        <x:v>1d4</x:v>
      </x:c>
      <x:c r="S930" t="str">
        <x:v>PO</x:v>
      </x:c>
      <x:c r="T930" t="n">
        <x:v>0</x:v>
      </x:c>
      <x:c r="U930" t="n">
        <x:v>1</x:v>
      </x:c>
      <x:c r="V930" t="n">
        <x:v>10</x:v>
      </x:c>
      <x:c r="W930" t="n">
        <x:v>0</x:v>
      </x:c>
      <x:c r="X930" t="str">
        <x:v>VALUE: [[1d4]] PO 1 PO 10 PA</x:v>
      </x:c>
    </x:row>
    <x:row r="931">
      <x:c r="P931" t="str">
        <x:v>10|Céleste|Exceptionnelle</x:v>
      </x:c>
      <x:c r="Q931" t="n">
        <x:v>63000</x:v>
      </x:c>
      <x:c r="R931" t="str">
        <x:v>1d8</x:v>
      </x:c>
      <x:c r="S931" t="str">
        <x:v>PO</x:v>
      </x:c>
      <x:c r="T931" t="n">
        <x:v>0</x:v>
      </x:c>
      <x:c r="U931" t="n">
        <x:v>1</x:v>
      </x:c>
      <x:c r="V931" t="n">
        <x:v>80</x:v>
      </x:c>
      <x:c r="W931" t="n">
        <x:v>0</x:v>
      </x:c>
      <x:c r="X931" t="str">
        <x:v>VALUE: [[1d8]] PO 1 PO 80 PA</x:v>
      </x:c>
    </x:row>
    <x:row r="932">
      <x:c r="P932" t="str">
        <x:v>10|Dragon|Commune</x:v>
      </x:c>
      <x:c r="Q932" t="n">
        <x:v>15000</x:v>
      </x:c>
      <x:c r="R932" t="str">
        <x:v>10d20</x:v>
      </x:c>
      <x:c r="S932" t="str">
        <x:v>PA</x:v>
      </x:c>
      <x:c r="T932" t="n">
        <x:v>0</x:v>
      </x:c>
      <x:c r="U932" t="n">
        <x:v>0</x:v>
      </x:c>
      <x:c r="V932" t="n">
        <x:v>45</x:v>
      </x:c>
      <x:c r="W932" t="n">
        <x:v>0</x:v>
      </x:c>
      <x:c r="X932" t="str">
        <x:v>VALUE: [[10d20]] PA 45 PA</x:v>
      </x:c>
    </x:row>
    <x:row r="933">
      <x:c r="P933" t="str">
        <x:v>10|Dragon|Peu commune</x:v>
      </x:c>
      <x:c r="Q933" t="n">
        <x:v>22500</x:v>
      </x:c>
      <x:c r="R933" t="str">
        <x:v>10d20</x:v>
      </x:c>
      <x:c r="S933" t="str">
        <x:v>PA</x:v>
      </x:c>
      <x:c r="T933" t="n">
        <x:v>0</x:v>
      </x:c>
      <x:c r="U933" t="n">
        <x:v>1</x:v>
      </x:c>
      <x:c r="V933" t="n">
        <x:v>20</x:v>
      </x:c>
      <x:c r="W933" t="n">
        <x:v>0</x:v>
      </x:c>
      <x:c r="X933" t="str">
        <x:v>VALUE: [[10d20]] PA 1 PO 20 PA</x:v>
      </x:c>
    </x:row>
    <x:row r="934">
      <x:c r="P934" t="str">
        <x:v>10|Dragon|Rare</x:v>
      </x:c>
      <x:c r="Q934" t="n">
        <x:v>37500</x:v>
      </x:c>
      <x:c r="R934" t="str">
        <x:v>1d4</x:v>
      </x:c>
      <x:c r="S934" t="str">
        <x:v>PO</x:v>
      </x:c>
      <x:c r="T934" t="n">
        <x:v>0</x:v>
      </x:c>
      <x:c r="U934" t="n">
        <x:v>1</x:v>
      </x:c>
      <x:c r="V934" t="n">
        <x:v>25</x:v>
      </x:c>
      <x:c r="W934" t="n">
        <x:v>0</x:v>
      </x:c>
      <x:c r="X934" t="str">
        <x:v>VALUE: [[1d4]] PO 1 PO 25 PA</x:v>
      </x:c>
    </x:row>
    <x:row r="935">
      <x:c r="P935" t="str">
        <x:v>10|Dragon|Précieuse</x:v>
      </x:c>
      <x:c r="Q935" t="n">
        <x:v>60000</x:v>
      </x:c>
      <x:c r="R935" t="str">
        <x:v>1d8</x:v>
      </x:c>
      <x:c r="S935" t="str">
        <x:v>PO</x:v>
      </x:c>
      <x:c r="T935" t="n">
        <x:v>0</x:v>
      </x:c>
      <x:c r="U935" t="n">
        <x:v>1</x:v>
      </x:c>
      <x:c r="V935" t="n">
        <x:v>50</x:v>
      </x:c>
      <x:c r="W935" t="n">
        <x:v>0</x:v>
      </x:c>
      <x:c r="X935" t="str">
        <x:v>VALUE: [[1d8]] PO 1 PO 50 PA</x:v>
      </x:c>
    </x:row>
    <x:row r="936">
      <x:c r="P936" t="str">
        <x:v>10|Dragon|Exceptionnelle</x:v>
      </x:c>
      <x:c r="Q936" t="n">
        <x:v>105000</x:v>
      </x:c>
      <x:c r="R936" t="str">
        <x:v>3d4</x:v>
      </x:c>
      <x:c r="S936" t="str">
        <x:v>PO</x:v>
      </x:c>
      <x:c r="T936" t="n">
        <x:v>0</x:v>
      </x:c>
      <x:c r="U936" t="n">
        <x:v>3</x:v>
      </x:c>
      <x:c r="V936" t="n">
        <x:v>0</x:v>
      </x:c>
      <x:c r="W936" t="n">
        <x:v>0</x:v>
      </x:c>
      <x:c r="X936" t="str">
        <x:v>VALUE: [[3d4]] PO 3 PO</x:v>
      </x:c>
    </x:row>
    <x:row r="937">
      <x:c r="P937" t="str">
        <x:v>11|Vermine|Commune</x:v>
      </x:c>
      <x:c r="Q937" t="n">
        <x:v>1925</x:v>
      </x:c>
      <x:c r="R937" t="str">
        <x:v>3d8</x:v>
      </x:c>
      <x:c r="S937" t="str">
        <x:v>PA</x:v>
      </x:c>
      <x:c r="T937" t="n">
        <x:v>0</x:v>
      </x:c>
      <x:c r="U937" t="n">
        <x:v>0</x:v>
      </x:c>
      <x:c r="V937" t="n">
        <x:v>5</x:v>
      </x:c>
      <x:c r="W937" t="n">
        <x:v>75</x:v>
      </x:c>
      <x:c r="X937" t="str">
        <x:v>VALUE: [[3d8]] PA 5 PA 75 PC</x:v>
      </x:c>
    </x:row>
    <x:row r="938">
      <x:c r="P938" t="str">
        <x:v>11|Vermine|Peu commune</x:v>
      </x:c>
      <x:c r="Q938" t="n">
        <x:v>2887</x:v>
      </x:c>
      <x:c r="R938" t="str">
        <x:v>8d4</x:v>
      </x:c>
      <x:c r="S938" t="str">
        <x:v>PA</x:v>
      </x:c>
      <x:c r="T938" t="n">
        <x:v>0</x:v>
      </x:c>
      <x:c r="U938" t="n">
        <x:v>0</x:v>
      </x:c>
      <x:c r="V938" t="n">
        <x:v>8</x:v>
      </x:c>
      <x:c r="W938" t="n">
        <x:v>87</x:v>
      </x:c>
      <x:c r="X938" t="str">
        <x:v>VALUE: [[8d4]] PA 8 PA 87 PC</x:v>
      </x:c>
    </x:row>
    <x:row r="939">
      <x:c r="P939" t="str">
        <x:v>11|Vermine|Rare</x:v>
      </x:c>
      <x:c r="Q939" t="n">
        <x:v>4812</x:v>
      </x:c>
      <x:c r="R939" t="str">
        <x:v>6d10</x:v>
      </x:c>
      <x:c r="S939" t="str">
        <x:v>PA</x:v>
      </x:c>
      <x:c r="T939" t="n">
        <x:v>0</x:v>
      </x:c>
      <x:c r="U939" t="n">
        <x:v>0</x:v>
      </x:c>
      <x:c r="V939" t="n">
        <x:v>15</x:v>
      </x:c>
      <x:c r="W939" t="n">
        <x:v>12</x:v>
      </x:c>
      <x:c r="X939" t="str">
        <x:v>VALUE: [[6d10]] PA 15 PA 12 PC</x:v>
      </x:c>
    </x:row>
    <x:row r="940">
      <x:c r="P940" t="str">
        <x:v>11|Vermine|Précieuse</x:v>
      </x:c>
      <x:c r="Q940" t="n">
        <x:v>7700</x:v>
      </x:c>
      <x:c r="R940" t="str">
        <x:v>10d10</x:v>
      </x:c>
      <x:c r="S940" t="str">
        <x:v>PA</x:v>
      </x:c>
      <x:c r="T940" t="n">
        <x:v>0</x:v>
      </x:c>
      <x:c r="U940" t="n">
        <x:v>0</x:v>
      </x:c>
      <x:c r="V940" t="n">
        <x:v>22</x:v>
      </x:c>
      <x:c r="W940" t="n">
        <x:v>0</x:v>
      </x:c>
      <x:c r="X940" t="str">
        <x:v>VALUE: [[10d10]] PA 22 PA</x:v>
      </x:c>
    </x:row>
    <x:row r="941">
      <x:c r="P941" t="str">
        <x:v>11|Vermine|Exceptionnelle</x:v>
      </x:c>
      <x:c r="Q941" t="n">
        <x:v>13475</x:v>
      </x:c>
      <x:c r="R941" t="str">
        <x:v>9d20</x:v>
      </x:c>
      <x:c r="S941" t="str">
        <x:v>PA</x:v>
      </x:c>
      <x:c r="T941" t="n">
        <x:v>0</x:v>
      </x:c>
      <x:c r="U941" t="n">
        <x:v>0</x:v>
      </x:c>
      <x:c r="V941" t="n">
        <x:v>40</x:v>
      </x:c>
      <x:c r="W941" t="n">
        <x:v>25</x:v>
      </x:c>
      <x:c r="X941" t="str">
        <x:v>VALUE: [[9d20]] PA 40 PA 25 PC</x:v>
      </x:c>
    </x:row>
    <x:row r="942">
      <x:c r="P942" t="str">
        <x:v>11|Bête|Commune</x:v>
      </x:c>
      <x:c r="Q942" t="n">
        <x:v>3300</x:v>
      </x:c>
      <x:c r="R942" t="str">
        <x:v>5d8</x:v>
      </x:c>
      <x:c r="S942" t="str">
        <x:v>PA</x:v>
      </x:c>
      <x:c r="T942" t="n">
        <x:v>0</x:v>
      </x:c>
      <x:c r="U942" t="n">
        <x:v>0</x:v>
      </x:c>
      <x:c r="V942" t="n">
        <x:v>10</x:v>
      </x:c>
      <x:c r="W942" t="n">
        <x:v>50</x:v>
      </x:c>
      <x:c r="X942" t="str">
        <x:v>VALUE: [[5d8]] PA 10 PA 50 PC</x:v>
      </x:c>
    </x:row>
    <x:row r="943">
      <x:c r="P943" t="str">
        <x:v>11|Bête|Peu commune</x:v>
      </x:c>
      <x:c r="Q943" t="n">
        <x:v>4950</x:v>
      </x:c>
      <x:c r="R943" t="str">
        <x:v>10d6</x:v>
      </x:c>
      <x:c r="S943" t="str">
        <x:v>PA</x:v>
      </x:c>
      <x:c r="T943" t="n">
        <x:v>0</x:v>
      </x:c>
      <x:c r="U943" t="n">
        <x:v>0</x:v>
      </x:c>
      <x:c r="V943" t="n">
        <x:v>14</x:v>
      </x:c>
      <x:c r="W943" t="n">
        <x:v>50</x:v>
      </x:c>
      <x:c r="X943" t="str">
        <x:v>VALUE: [[10d6]] PA 14 PA 50 PC</x:v>
      </x:c>
    </x:row>
    <x:row r="944">
      <x:c r="P944" t="str">
        <x:v>11|Bête|Rare</x:v>
      </x:c>
      <x:c r="Q944" t="n">
        <x:v>8250</x:v>
      </x:c>
      <x:c r="R944" t="str">
        <x:v>9d12</x:v>
      </x:c>
      <x:c r="S944" t="str">
        <x:v>PA</x:v>
      </x:c>
      <x:c r="T944" t="n">
        <x:v>0</x:v>
      </x:c>
      <x:c r="U944" t="n">
        <x:v>0</x:v>
      </x:c>
      <x:c r="V944" t="n">
        <x:v>24</x:v>
      </x:c>
      <x:c r="W944" t="n">
        <x:v>0</x:v>
      </x:c>
      <x:c r="X944" t="str">
        <x:v>VALUE: [[9d12]] PA 24 PA</x:v>
      </x:c>
    </x:row>
    <x:row r="945">
      <x:c r="P945" t="str">
        <x:v>11|Bête|Précieuse</x:v>
      </x:c>
      <x:c r="Q945" t="n">
        <x:v>13200</x:v>
      </x:c>
      <x:c r="R945" t="str">
        <x:v>9d20</x:v>
      </x:c>
      <x:c r="S945" t="str">
        <x:v>PA</x:v>
      </x:c>
      <x:c r="T945" t="n">
        <x:v>0</x:v>
      </x:c>
      <x:c r="U945" t="n">
        <x:v>0</x:v>
      </x:c>
      <x:c r="V945" t="n">
        <x:v>37</x:v>
      </x:c>
      <x:c r="W945" t="n">
        <x:v>50</x:v>
      </x:c>
      <x:c r="X945" t="str">
        <x:v>VALUE: [[9d20]] PA 37 PA 50 PC</x:v>
      </x:c>
    </x:row>
    <x:row r="946">
      <x:c r="P946" t="str">
        <x:v>11|Bête|Exceptionnelle</x:v>
      </x:c>
      <x:c r="Q946" t="n">
        <x:v>23100</x:v>
      </x:c>
      <x:c r="R946" t="str">
        <x:v>10d20</x:v>
      </x:c>
      <x:c r="S946" t="str">
        <x:v>PA</x:v>
      </x:c>
      <x:c r="T946" t="n">
        <x:v>0</x:v>
      </x:c>
      <x:c r="U946" t="n">
        <x:v>1</x:v>
      </x:c>
      <x:c r="V946" t="n">
        <x:v>26</x:v>
      </x:c>
      <x:c r="W946" t="n">
        <x:v>0</x:v>
      </x:c>
      <x:c r="X946" t="str">
        <x:v>VALUE: [[10d20]] PA 1 PO 26 PA</x:v>
      </x:c>
    </x:row>
    <x:row r="947">
      <x:c r="P947" t="str">
        <x:v>11|Aquatique|Commune</x:v>
      </x:c>
      <x:c r="Q947" t="n">
        <x:v>3850</x:v>
      </x:c>
      <x:c r="R947" t="str">
        <x:v>6d8</x:v>
      </x:c>
      <x:c r="S947" t="str">
        <x:v>PA</x:v>
      </x:c>
      <x:c r="T947" t="n">
        <x:v>0</x:v>
      </x:c>
      <x:c r="U947" t="n">
        <x:v>0</x:v>
      </x:c>
      <x:c r="V947" t="n">
        <x:v>11</x:v>
      </x:c>
      <x:c r="W947" t="n">
        <x:v>50</x:v>
      </x:c>
      <x:c r="X947" t="str">
        <x:v>VALUE: [[6d8]] PA 11 PA 50 PC</x:v>
      </x:c>
    </x:row>
    <x:row r="948">
      <x:c r="P948" t="str">
        <x:v>11|Aquatique|Peu commune</x:v>
      </x:c>
      <x:c r="Q948" t="n">
        <x:v>5775</x:v>
      </x:c>
      <x:c r="R948" t="str">
        <x:v>9d8</x:v>
      </x:c>
      <x:c r="S948" t="str">
        <x:v>PA</x:v>
      </x:c>
      <x:c r="T948" t="n">
        <x:v>0</x:v>
      </x:c>
      <x:c r="U948" t="n">
        <x:v>0</x:v>
      </x:c>
      <x:c r="V948" t="n">
        <x:v>17</x:v>
      </x:c>
      <x:c r="W948" t="n">
        <x:v>25</x:v>
      </x:c>
      <x:c r="X948" t="str">
        <x:v>VALUE: [[9d8]] PA 17 PA 25 PC</x:v>
      </x:c>
    </x:row>
    <x:row r="949">
      <x:c r="P949" t="str">
        <x:v>11|Aquatique|Rare</x:v>
      </x:c>
      <x:c r="Q949" t="n">
        <x:v>9625</x:v>
      </x:c>
      <x:c r="R949" t="str">
        <x:v>10d12</x:v>
      </x:c>
      <x:c r="S949" t="str">
        <x:v>PA</x:v>
      </x:c>
      <x:c r="T949" t="n">
        <x:v>0</x:v>
      </x:c>
      <x:c r="U949" t="n">
        <x:v>0</x:v>
      </x:c>
      <x:c r="V949" t="n">
        <x:v>31</x:v>
      </x:c>
      <x:c r="W949" t="n">
        <x:v>25</x:v>
      </x:c>
      <x:c r="X949" t="str">
        <x:v>VALUE: [[10d12]] PA 31 PA 25 PC</x:v>
      </x:c>
    </x:row>
    <x:row r="950">
      <x:c r="P950" t="str">
        <x:v>11|Aquatique|Précieuse</x:v>
      </x:c>
      <x:c r="Q950" t="n">
        <x:v>15400</x:v>
      </x:c>
      <x:c r="R950" t="str">
        <x:v>10d20</x:v>
      </x:c>
      <x:c r="S950" t="str">
        <x:v>PA</x:v>
      </x:c>
      <x:c r="T950" t="n">
        <x:v>0</x:v>
      </x:c>
      <x:c r="U950" t="n">
        <x:v>0</x:v>
      </x:c>
      <x:c r="V950" t="n">
        <x:v>49</x:v>
      </x:c>
      <x:c r="W950" t="n">
        <x:v>0</x:v>
      </x:c>
      <x:c r="X950" t="str">
        <x:v>VALUE: [[10d20]] PA 49 PA</x:v>
      </x:c>
    </x:row>
    <x:row r="951">
      <x:c r="P951" t="str">
        <x:v>11|Aquatique|Exceptionnelle</x:v>
      </x:c>
      <x:c r="Q951" t="n">
        <x:v>26950</x:v>
      </x:c>
      <x:c r="R951" t="str">
        <x:v>1d4</x:v>
      </x:c>
      <x:c r="S951" t="str">
        <x:v>PO</x:v>
      </x:c>
      <x:c r="T951" t="n">
        <x:v>0</x:v>
      </x:c>
      <x:c r="U951" t="n">
        <x:v>0</x:v>
      </x:c>
      <x:c r="V951" t="n">
        <x:v>19</x:v>
      </x:c>
      <x:c r="W951" t="n">
        <x:v>50</x:v>
      </x:c>
      <x:c r="X951" t="str">
        <x:v>VALUE: [[1d4]] PO 19 PA 50 PC</x:v>
      </x:c>
    </x:row>
    <x:row r="952">
      <x:c r="P952" t="str">
        <x:v>11|Plante|Commune</x:v>
      </x:c>
      <x:c r="Q952" t="n">
        <x:v>4400</x:v>
      </x:c>
      <x:c r="R952" t="str">
        <x:v>3d20</x:v>
      </x:c>
      <x:c r="S952" t="str">
        <x:v>PA</x:v>
      </x:c>
      <x:c r="T952" t="n">
        <x:v>0</x:v>
      </x:c>
      <x:c r="U952" t="n">
        <x:v>0</x:v>
      </x:c>
      <x:c r="V952" t="n">
        <x:v>12</x:v>
      </x:c>
      <x:c r="W952" t="n">
        <x:v>50</x:v>
      </x:c>
      <x:c r="X952" t="str">
        <x:v>VALUE: [[3d20]] PA 12 PA 50 PC</x:v>
      </x:c>
    </x:row>
    <x:row r="953">
      <x:c r="P953" t="str">
        <x:v>11|Plante|Peu commune</x:v>
      </x:c>
      <x:c r="Q953" t="n">
        <x:v>6600</x:v>
      </x:c>
      <x:c r="R953" t="str">
        <x:v>7d12</x:v>
      </x:c>
      <x:c r="S953" t="str">
        <x:v>PA</x:v>
      </x:c>
      <x:c r="T953" t="n">
        <x:v>0</x:v>
      </x:c>
      <x:c r="U953" t="n">
        <x:v>0</x:v>
      </x:c>
      <x:c r="V953" t="n">
        <x:v>20</x:v>
      </x:c>
      <x:c r="W953" t="n">
        <x:v>50</x:v>
      </x:c>
      <x:c r="X953" t="str">
        <x:v>VALUE: [[7d12]] PA 20 PA 50 PC</x:v>
      </x:c>
    </x:row>
    <x:row r="954">
      <x:c r="P954" t="str">
        <x:v>11|Plante|Rare</x:v>
      </x:c>
      <x:c r="Q954" t="n">
        <x:v>11000</x:v>
      </x:c>
      <x:c r="R954" t="str">
        <x:v>7d20</x:v>
      </x:c>
      <x:c r="S954" t="str">
        <x:v>PA</x:v>
      </x:c>
      <x:c r="T954" t="n">
        <x:v>0</x:v>
      </x:c>
      <x:c r="U954" t="n">
        <x:v>0</x:v>
      </x:c>
      <x:c r="V954" t="n">
        <x:v>36</x:v>
      </x:c>
      <x:c r="W954" t="n">
        <x:v>50</x:v>
      </x:c>
      <x:c r="X954" t="str">
        <x:v>VALUE: [[7d20]] PA 36 PA 50 PC</x:v>
      </x:c>
    </x:row>
    <x:row r="955">
      <x:c r="P955" t="str">
        <x:v>11|Plante|Précieuse</x:v>
      </x:c>
      <x:c r="Q955" t="n">
        <x:v>17600</x:v>
      </x:c>
      <x:c r="R955" t="str">
        <x:v>10d20</x:v>
      </x:c>
      <x:c r="S955" t="str">
        <x:v>PA</x:v>
      </x:c>
      <x:c r="T955" t="n">
        <x:v>0</x:v>
      </x:c>
      <x:c r="U955" t="n">
        <x:v>0</x:v>
      </x:c>
      <x:c r="V955" t="n">
        <x:v>71</x:v>
      </x:c>
      <x:c r="W955" t="n">
        <x:v>0</x:v>
      </x:c>
      <x:c r="X955" t="str">
        <x:v>VALUE: [[10d20]] PA 71 PA</x:v>
      </x:c>
    </x:row>
    <x:row r="956">
      <x:c r="P956" t="str">
        <x:v>11|Plante|Exceptionnelle</x:v>
      </x:c>
      <x:c r="Q956" t="n">
        <x:v>30800</x:v>
      </x:c>
      <x:c r="R956" t="str">
        <x:v>1d4</x:v>
      </x:c>
      <x:c r="S956" t="str">
        <x:v>PO</x:v>
      </x:c>
      <x:c r="T956" t="n">
        <x:v>0</x:v>
      </x:c>
      <x:c r="U956" t="n">
        <x:v>0</x:v>
      </x:c>
      <x:c r="V956" t="n">
        <x:v>58</x:v>
      </x:c>
      <x:c r="W956" t="n">
        <x:v>0</x:v>
      </x:c>
      <x:c r="X956" t="str">
        <x:v>VALUE: [[1d4]] PO 58 PA</x:v>
      </x:c>
    </x:row>
    <x:row r="957">
      <x:c r="P957" t="str">
        <x:v>11|Humanoïde|Commune</x:v>
      </x:c>
      <x:c r="Q957" t="n">
        <x:v>5500</x:v>
      </x:c>
      <x:c r="R957" t="str">
        <x:v>7d10</x:v>
      </x:c>
      <x:c r="S957" t="str">
        <x:v>PA</x:v>
      </x:c>
      <x:c r="T957" t="n">
        <x:v>0</x:v>
      </x:c>
      <x:c r="U957" t="n">
        <x:v>0</x:v>
      </x:c>
      <x:c r="V957" t="n">
        <x:v>16</x:v>
      </x:c>
      <x:c r="W957" t="n">
        <x:v>50</x:v>
      </x:c>
      <x:c r="X957" t="str">
        <x:v>VALUE: [[7d10]] PA 16 PA 50 PC</x:v>
      </x:c>
    </x:row>
    <x:row r="958">
      <x:c r="P958" t="str">
        <x:v>11|Humanoïde|Peu commune</x:v>
      </x:c>
      <x:c r="Q958" t="n">
        <x:v>8250</x:v>
      </x:c>
      <x:c r="R958" t="str">
        <x:v>9d12</x:v>
      </x:c>
      <x:c r="S958" t="str">
        <x:v>PA</x:v>
      </x:c>
      <x:c r="T958" t="n">
        <x:v>0</x:v>
      </x:c>
      <x:c r="U958" t="n">
        <x:v>0</x:v>
      </x:c>
      <x:c r="V958" t="n">
        <x:v>24</x:v>
      </x:c>
      <x:c r="W958" t="n">
        <x:v>0</x:v>
      </x:c>
      <x:c r="X958" t="str">
        <x:v>VALUE: [[9d12]] PA 24 PA</x:v>
      </x:c>
    </x:row>
    <x:row r="959">
      <x:c r="P959" t="str">
        <x:v>11|Humanoïde|Rare</x:v>
      </x:c>
      <x:c r="Q959" t="n">
        <x:v>13750</x:v>
      </x:c>
      <x:c r="R959" t="str">
        <x:v>9d20</x:v>
      </x:c>
      <x:c r="S959" t="str">
        <x:v>PA</x:v>
      </x:c>
      <x:c r="T959" t="n">
        <x:v>0</x:v>
      </x:c>
      <x:c r="U959" t="n">
        <x:v>0</x:v>
      </x:c>
      <x:c r="V959" t="n">
        <x:v>43</x:v>
      </x:c>
      <x:c r="W959" t="n">
        <x:v>0</x:v>
      </x:c>
      <x:c r="X959" t="str">
        <x:v>VALUE: [[9d20]] PA 43 PA</x:v>
      </x:c>
    </x:row>
    <x:row r="960">
      <x:c r="P960" t="str">
        <x:v>11|Humanoïde|Précieuse</x:v>
      </x:c>
      <x:c r="Q960" t="n">
        <x:v>22000</x:v>
      </x:c>
      <x:c r="R960" t="str">
        <x:v>10d20</x:v>
      </x:c>
      <x:c r="S960" t="str">
        <x:v>PA</x:v>
      </x:c>
      <x:c r="T960" t="n">
        <x:v>0</x:v>
      </x:c>
      <x:c r="U960" t="n">
        <x:v>1</x:v>
      </x:c>
      <x:c r="V960" t="n">
        <x:v>15</x:v>
      </x:c>
      <x:c r="W960" t="n">
        <x:v>0</x:v>
      </x:c>
      <x:c r="X960" t="str">
        <x:v>VALUE: [[10d20]] PA 1 PO 15 PA</x:v>
      </x:c>
    </x:row>
    <x:row r="961">
      <x:c r="P961" t="str">
        <x:v>11|Humanoïde|Exceptionnelle</x:v>
      </x:c>
      <x:c r="Q961" t="n">
        <x:v>38500</x:v>
      </x:c>
      <x:c r="R961" t="str">
        <x:v>1d4</x:v>
      </x:c>
      <x:c r="S961" t="str">
        <x:v>PO</x:v>
      </x:c>
      <x:c r="T961" t="n">
        <x:v>0</x:v>
      </x:c>
      <x:c r="U961" t="n">
        <x:v>1</x:v>
      </x:c>
      <x:c r="V961" t="n">
        <x:v>35</x:v>
      </x:c>
      <x:c r="W961" t="n">
        <x:v>0</x:v>
      </x:c>
      <x:c r="X961" t="str">
        <x:v>VALUE: [[1d4]] PO 1 PO 35 PA</x:v>
      </x:c>
    </x:row>
    <x:row r="962">
      <x:c r="P962" t="str">
        <x:v>11|Mort-vivant|Commune</x:v>
      </x:c>
      <x:c r="Q962" t="n">
        <x:v>5500</x:v>
      </x:c>
      <x:c r="R962" t="str">
        <x:v>7d10</x:v>
      </x:c>
      <x:c r="S962" t="str">
        <x:v>PA</x:v>
      </x:c>
      <x:c r="T962" t="n">
        <x:v>0</x:v>
      </x:c>
      <x:c r="U962" t="n">
        <x:v>0</x:v>
      </x:c>
      <x:c r="V962" t="n">
        <x:v>16</x:v>
      </x:c>
      <x:c r="W962" t="n">
        <x:v>50</x:v>
      </x:c>
      <x:c r="X962" t="str">
        <x:v>VALUE: [[7d10]] PA 16 PA 50 PC</x:v>
      </x:c>
    </x:row>
    <x:row r="963">
      <x:c r="P963" t="str">
        <x:v>11|Mort-vivant|Peu commune</x:v>
      </x:c>
      <x:c r="Q963" t="n">
        <x:v>8250</x:v>
      </x:c>
      <x:c r="R963" t="str">
        <x:v>9d12</x:v>
      </x:c>
      <x:c r="S963" t="str">
        <x:v>PA</x:v>
      </x:c>
      <x:c r="T963" t="n">
        <x:v>0</x:v>
      </x:c>
      <x:c r="U963" t="n">
        <x:v>0</x:v>
      </x:c>
      <x:c r="V963" t="n">
        <x:v>24</x:v>
      </x:c>
      <x:c r="W963" t="n">
        <x:v>0</x:v>
      </x:c>
      <x:c r="X963" t="str">
        <x:v>VALUE: [[9d12]] PA 24 PA</x:v>
      </x:c>
    </x:row>
    <x:row r="964">
      <x:c r="P964" t="str">
        <x:v>11|Mort-vivant|Rare</x:v>
      </x:c>
      <x:c r="Q964" t="n">
        <x:v>13750</x:v>
      </x:c>
      <x:c r="R964" t="str">
        <x:v>9d20</x:v>
      </x:c>
      <x:c r="S964" t="str">
        <x:v>PA</x:v>
      </x:c>
      <x:c r="T964" t="n">
        <x:v>0</x:v>
      </x:c>
      <x:c r="U964" t="n">
        <x:v>0</x:v>
      </x:c>
      <x:c r="V964" t="n">
        <x:v>43</x:v>
      </x:c>
      <x:c r="W964" t="n">
        <x:v>0</x:v>
      </x:c>
      <x:c r="X964" t="str">
        <x:v>VALUE: [[9d20]] PA 43 PA</x:v>
      </x:c>
    </x:row>
    <x:row r="965">
      <x:c r="P965" t="str">
        <x:v>11|Mort-vivant|Précieuse</x:v>
      </x:c>
      <x:c r="Q965" t="n">
        <x:v>22000</x:v>
      </x:c>
      <x:c r="R965" t="str">
        <x:v>10d20</x:v>
      </x:c>
      <x:c r="S965" t="str">
        <x:v>PA</x:v>
      </x:c>
      <x:c r="T965" t="n">
        <x:v>0</x:v>
      </x:c>
      <x:c r="U965" t="n">
        <x:v>1</x:v>
      </x:c>
      <x:c r="V965" t="n">
        <x:v>15</x:v>
      </x:c>
      <x:c r="W965" t="n">
        <x:v>0</x:v>
      </x:c>
      <x:c r="X965" t="str">
        <x:v>VALUE: [[10d20]] PA 1 PO 15 PA</x:v>
      </x:c>
    </x:row>
    <x:row r="966">
      <x:c r="P966" t="str">
        <x:v>11|Mort-vivant|Exceptionnelle</x:v>
      </x:c>
      <x:c r="Q966" t="n">
        <x:v>38500</x:v>
      </x:c>
      <x:c r="R966" t="str">
        <x:v>1d4</x:v>
      </x:c>
      <x:c r="S966" t="str">
        <x:v>PO</x:v>
      </x:c>
      <x:c r="T966" t="n">
        <x:v>0</x:v>
      </x:c>
      <x:c r="U966" t="n">
        <x:v>1</x:v>
      </x:c>
      <x:c r="V966" t="n">
        <x:v>35</x:v>
      </x:c>
      <x:c r="W966" t="n">
        <x:v>0</x:v>
      </x:c>
      <x:c r="X966" t="str">
        <x:v>VALUE: [[1d4]] PO 1 PO 35 PA</x:v>
      </x:c>
    </x:row>
    <x:row r="967">
      <x:c r="P967" t="str">
        <x:v>11|Monstre|Commune</x:v>
      </x:c>
      <x:c r="Q967" t="n">
        <x:v>5500</x:v>
      </x:c>
      <x:c r="R967" t="str">
        <x:v>7d10</x:v>
      </x:c>
      <x:c r="S967" t="str">
        <x:v>PA</x:v>
      </x:c>
      <x:c r="T967" t="n">
        <x:v>0</x:v>
      </x:c>
      <x:c r="U967" t="n">
        <x:v>0</x:v>
      </x:c>
      <x:c r="V967" t="n">
        <x:v>16</x:v>
      </x:c>
      <x:c r="W967" t="n">
        <x:v>50</x:v>
      </x:c>
      <x:c r="X967" t="str">
        <x:v>VALUE: [[7d10]] PA 16 PA 50 PC</x:v>
      </x:c>
    </x:row>
    <x:row r="968">
      <x:c r="P968" t="str">
        <x:v>11|Monstre|Peu commune</x:v>
      </x:c>
      <x:c r="Q968" t="n">
        <x:v>8250</x:v>
      </x:c>
      <x:c r="R968" t="str">
        <x:v>9d12</x:v>
      </x:c>
      <x:c r="S968" t="str">
        <x:v>PA</x:v>
      </x:c>
      <x:c r="T968" t="n">
        <x:v>0</x:v>
      </x:c>
      <x:c r="U968" t="n">
        <x:v>0</x:v>
      </x:c>
      <x:c r="V968" t="n">
        <x:v>24</x:v>
      </x:c>
      <x:c r="W968" t="n">
        <x:v>0</x:v>
      </x:c>
      <x:c r="X968" t="str">
        <x:v>VALUE: [[9d12]] PA 24 PA</x:v>
      </x:c>
    </x:row>
    <x:row r="969">
      <x:c r="P969" t="str">
        <x:v>11|Monstre|Rare</x:v>
      </x:c>
      <x:c r="Q969" t="n">
        <x:v>13750</x:v>
      </x:c>
      <x:c r="R969" t="str">
        <x:v>9d20</x:v>
      </x:c>
      <x:c r="S969" t="str">
        <x:v>PA</x:v>
      </x:c>
      <x:c r="T969" t="n">
        <x:v>0</x:v>
      </x:c>
      <x:c r="U969" t="n">
        <x:v>0</x:v>
      </x:c>
      <x:c r="V969" t="n">
        <x:v>43</x:v>
      </x:c>
      <x:c r="W969" t="n">
        <x:v>0</x:v>
      </x:c>
      <x:c r="X969" t="str">
        <x:v>VALUE: [[9d20]] PA 43 PA</x:v>
      </x:c>
    </x:row>
    <x:row r="970">
      <x:c r="P970" t="str">
        <x:v>11|Monstre|Précieuse</x:v>
      </x:c>
      <x:c r="Q970" t="n">
        <x:v>22000</x:v>
      </x:c>
      <x:c r="R970" t="str">
        <x:v>10d20</x:v>
      </x:c>
      <x:c r="S970" t="str">
        <x:v>PA</x:v>
      </x:c>
      <x:c r="T970" t="n">
        <x:v>0</x:v>
      </x:c>
      <x:c r="U970" t="n">
        <x:v>1</x:v>
      </x:c>
      <x:c r="V970" t="n">
        <x:v>15</x:v>
      </x:c>
      <x:c r="W970" t="n">
        <x:v>0</x:v>
      </x:c>
      <x:c r="X970" t="str">
        <x:v>VALUE: [[10d20]] PA 1 PO 15 PA</x:v>
      </x:c>
    </x:row>
    <x:row r="971">
      <x:c r="P971" t="str">
        <x:v>11|Monstre|Exceptionnelle</x:v>
      </x:c>
      <x:c r="Q971" t="n">
        <x:v>38500</x:v>
      </x:c>
      <x:c r="R971" t="str">
        <x:v>1d4</x:v>
      </x:c>
      <x:c r="S971" t="str">
        <x:v>PO</x:v>
      </x:c>
      <x:c r="T971" t="n">
        <x:v>0</x:v>
      </x:c>
      <x:c r="U971" t="n">
        <x:v>1</x:v>
      </x:c>
      <x:c r="V971" t="n">
        <x:v>35</x:v>
      </x:c>
      <x:c r="W971" t="n">
        <x:v>0</x:v>
      </x:c>
      <x:c r="X971" t="str">
        <x:v>VALUE: [[1d4]] PO 1 PO 35 PA</x:v>
      </x:c>
    </x:row>
    <x:row r="972">
      <x:c r="P972" t="str">
        <x:v>11|Vase|Commune</x:v>
      </x:c>
      <x:c r="Q972" t="n">
        <x:v>5500</x:v>
      </x:c>
      <x:c r="R972" t="str">
        <x:v>7d10</x:v>
      </x:c>
      <x:c r="S972" t="str">
        <x:v>PA</x:v>
      </x:c>
      <x:c r="T972" t="n">
        <x:v>0</x:v>
      </x:c>
      <x:c r="U972" t="n">
        <x:v>0</x:v>
      </x:c>
      <x:c r="V972" t="n">
        <x:v>16</x:v>
      </x:c>
      <x:c r="W972" t="n">
        <x:v>50</x:v>
      </x:c>
      <x:c r="X972" t="str">
        <x:v>VALUE: [[7d10]] PA 16 PA 50 PC</x:v>
      </x:c>
    </x:row>
    <x:row r="973">
      <x:c r="P973" t="str">
        <x:v>11|Vase|Peu commune</x:v>
      </x:c>
      <x:c r="Q973" t="n">
        <x:v>8250</x:v>
      </x:c>
      <x:c r="R973" t="str">
        <x:v>9d12</x:v>
      </x:c>
      <x:c r="S973" t="str">
        <x:v>PA</x:v>
      </x:c>
      <x:c r="T973" t="n">
        <x:v>0</x:v>
      </x:c>
      <x:c r="U973" t="n">
        <x:v>0</x:v>
      </x:c>
      <x:c r="V973" t="n">
        <x:v>24</x:v>
      </x:c>
      <x:c r="W973" t="n">
        <x:v>0</x:v>
      </x:c>
      <x:c r="X973" t="str">
        <x:v>VALUE: [[9d12]] PA 24 PA</x:v>
      </x:c>
    </x:row>
    <x:row r="974">
      <x:c r="P974" t="str">
        <x:v>11|Vase|Rare</x:v>
      </x:c>
      <x:c r="Q974" t="n">
        <x:v>13750</x:v>
      </x:c>
      <x:c r="R974" t="str">
        <x:v>9d20</x:v>
      </x:c>
      <x:c r="S974" t="str">
        <x:v>PA</x:v>
      </x:c>
      <x:c r="T974" t="n">
        <x:v>0</x:v>
      </x:c>
      <x:c r="U974" t="n">
        <x:v>0</x:v>
      </x:c>
      <x:c r="V974" t="n">
        <x:v>43</x:v>
      </x:c>
      <x:c r="W974" t="n">
        <x:v>0</x:v>
      </x:c>
      <x:c r="X974" t="str">
        <x:v>VALUE: [[9d20]] PA 43 PA</x:v>
      </x:c>
    </x:row>
    <x:row r="975">
      <x:c r="P975" t="str">
        <x:v>11|Vase|Précieuse</x:v>
      </x:c>
      <x:c r="Q975" t="n">
        <x:v>22000</x:v>
      </x:c>
      <x:c r="R975" t="str">
        <x:v>10d20</x:v>
      </x:c>
      <x:c r="S975" t="str">
        <x:v>PA</x:v>
      </x:c>
      <x:c r="T975" t="n">
        <x:v>0</x:v>
      </x:c>
      <x:c r="U975" t="n">
        <x:v>1</x:v>
      </x:c>
      <x:c r="V975" t="n">
        <x:v>15</x:v>
      </x:c>
      <x:c r="W975" t="n">
        <x:v>0</x:v>
      </x:c>
      <x:c r="X975" t="str">
        <x:v>VALUE: [[10d20]] PA 1 PO 15 PA</x:v>
      </x:c>
    </x:row>
    <x:row r="976">
      <x:c r="P976" t="str">
        <x:v>11|Vase|Exceptionnelle</x:v>
      </x:c>
      <x:c r="Q976" t="n">
        <x:v>38500</x:v>
      </x:c>
      <x:c r="R976" t="str">
        <x:v>1d4</x:v>
      </x:c>
      <x:c r="S976" t="str">
        <x:v>PO</x:v>
      </x:c>
      <x:c r="T976" t="n">
        <x:v>0</x:v>
      </x:c>
      <x:c r="U976" t="n">
        <x:v>1</x:v>
      </x:c>
      <x:c r="V976" t="n">
        <x:v>35</x:v>
      </x:c>
      <x:c r="W976" t="n">
        <x:v>0</x:v>
      </x:c>
      <x:c r="X976" t="str">
        <x:v>VALUE: [[1d4]] PO 1 PO 35 PA</x:v>
      </x:c>
    </x:row>
    <x:row r="977">
      <x:c r="P977" t="str">
        <x:v>11|Géant|Commune</x:v>
      </x:c>
      <x:c r="Q977" t="n">
        <x:v>6600</x:v>
      </x:c>
      <x:c r="R977" t="str">
        <x:v>7d12</x:v>
      </x:c>
      <x:c r="S977" t="str">
        <x:v>PA</x:v>
      </x:c>
      <x:c r="T977" t="n">
        <x:v>0</x:v>
      </x:c>
      <x:c r="U977" t="n">
        <x:v>0</x:v>
      </x:c>
      <x:c r="V977" t="n">
        <x:v>20</x:v>
      </x:c>
      <x:c r="W977" t="n">
        <x:v>50</x:v>
      </x:c>
      <x:c r="X977" t="str">
        <x:v>VALUE: [[7d12]] PA 20 PA 50 PC</x:v>
      </x:c>
    </x:row>
    <x:row r="978">
      <x:c r="P978" t="str">
        <x:v>11|Géant|Peu commune</x:v>
      </x:c>
      <x:c r="Q978" t="n">
        <x:v>9900</x:v>
      </x:c>
      <x:c r="R978" t="str">
        <x:v>7d20</x:v>
      </x:c>
      <x:c r="S978" t="str">
        <x:v>PA</x:v>
      </x:c>
      <x:c r="T978" t="n">
        <x:v>0</x:v>
      </x:c>
      <x:c r="U978" t="n">
        <x:v>0</x:v>
      </x:c>
      <x:c r="V978" t="n">
        <x:v>25</x:v>
      </x:c>
      <x:c r="W978" t="n">
        <x:v>50</x:v>
      </x:c>
      <x:c r="X978" t="str">
        <x:v>VALUE: [[7d20]] PA 25 PA 50 PC</x:v>
      </x:c>
    </x:row>
    <x:row r="979">
      <x:c r="P979" t="str">
        <x:v>11|Géant|Rare</x:v>
      </x:c>
      <x:c r="Q979" t="n">
        <x:v>16500</x:v>
      </x:c>
      <x:c r="R979" t="str">
        <x:v>10d20</x:v>
      </x:c>
      <x:c r="S979" t="str">
        <x:v>PA</x:v>
      </x:c>
      <x:c r="T979" t="n">
        <x:v>0</x:v>
      </x:c>
      <x:c r="U979" t="n">
        <x:v>0</x:v>
      </x:c>
      <x:c r="V979" t="n">
        <x:v>60</x:v>
      </x:c>
      <x:c r="W979" t="n">
        <x:v>0</x:v>
      </x:c>
      <x:c r="X979" t="str">
        <x:v>VALUE: [[10d20]] PA 60 PA</x:v>
      </x:c>
    </x:row>
    <x:row r="980">
      <x:c r="P980" t="str">
        <x:v>11|Géant|Précieuse</x:v>
      </x:c>
      <x:c r="Q980" t="n">
        <x:v>26400</x:v>
      </x:c>
      <x:c r="R980" t="str">
        <x:v>1d4</x:v>
      </x:c>
      <x:c r="S980" t="str">
        <x:v>PO</x:v>
      </x:c>
      <x:c r="T980" t="n">
        <x:v>0</x:v>
      </x:c>
      <x:c r="U980" t="n">
        <x:v>0</x:v>
      </x:c>
      <x:c r="V980" t="n">
        <x:v>14</x:v>
      </x:c>
      <x:c r="W980" t="n">
        <x:v>0</x:v>
      </x:c>
      <x:c r="X980" t="str">
        <x:v>VALUE: [[1d4]] PO 14 PA</x:v>
      </x:c>
    </x:row>
    <x:row r="981">
      <x:c r="P981" t="str">
        <x:v>11|Géant|Exceptionnelle</x:v>
      </x:c>
      <x:c r="Q981" t="n">
        <x:v>46200</x:v>
      </x:c>
      <x:c r="R981" t="str">
        <x:v>1d6</x:v>
      </x:c>
      <x:c r="S981" t="str">
        <x:v>PO</x:v>
      </x:c>
      <x:c r="T981" t="n">
        <x:v>0</x:v>
      </x:c>
      <x:c r="U981" t="n">
        <x:v>1</x:v>
      </x:c>
      <x:c r="V981" t="n">
        <x:v>12</x:v>
      </x:c>
      <x:c r="W981" t="n">
        <x:v>0</x:v>
      </x:c>
      <x:c r="X981" t="str">
        <x:v>VALUE: [[1d6]] PO 1 PO 12 PA</x:v>
      </x:c>
    </x:row>
    <x:row r="982">
      <x:c r="P982" t="str">
        <x:v>11|Aberration|Commune</x:v>
      </x:c>
      <x:c r="Q982" t="n">
        <x:v>8250</x:v>
      </x:c>
      <x:c r="R982" t="str">
        <x:v>9d12</x:v>
      </x:c>
      <x:c r="S982" t="str">
        <x:v>PA</x:v>
      </x:c>
      <x:c r="T982" t="n">
        <x:v>0</x:v>
      </x:c>
      <x:c r="U982" t="n">
        <x:v>0</x:v>
      </x:c>
      <x:c r="V982" t="n">
        <x:v>24</x:v>
      </x:c>
      <x:c r="W982" t="n">
        <x:v>0</x:v>
      </x:c>
      <x:c r="X982" t="str">
        <x:v>VALUE: [[9d12]] PA 24 PA</x:v>
      </x:c>
    </x:row>
    <x:row r="983">
      <x:c r="P983" t="str">
        <x:v>11|Aberration|Peu commune</x:v>
      </x:c>
      <x:c r="Q983" t="n">
        <x:v>12375</x:v>
      </x:c>
      <x:c r="R983" t="str">
        <x:v>8d20</x:v>
      </x:c>
      <x:c r="S983" t="str">
        <x:v>PA</x:v>
      </x:c>
      <x:c r="T983" t="n">
        <x:v>0</x:v>
      </x:c>
      <x:c r="U983" t="n">
        <x:v>0</x:v>
      </x:c>
      <x:c r="V983" t="n">
        <x:v>39</x:v>
      </x:c>
      <x:c r="W983" t="n">
        <x:v>75</x:v>
      </x:c>
      <x:c r="X983" t="str">
        <x:v>VALUE: [[8d20]] PA 39 PA 75 PC</x:v>
      </x:c>
    </x:row>
    <x:row r="984">
      <x:c r="P984" t="str">
        <x:v>11|Aberration|Rare</x:v>
      </x:c>
      <x:c r="Q984" t="n">
        <x:v>20625</x:v>
      </x:c>
      <x:c r="R984" t="str">
        <x:v>10d20</x:v>
      </x:c>
      <x:c r="S984" t="str">
        <x:v>PA</x:v>
      </x:c>
      <x:c r="T984" t="n">
        <x:v>0</x:v>
      </x:c>
      <x:c r="U984" t="n">
        <x:v>1</x:v>
      </x:c>
      <x:c r="V984" t="n">
        <x:v>1</x:v>
      </x:c>
      <x:c r="W984" t="n">
        <x:v>25</x:v>
      </x:c>
      <x:c r="X984" t="str">
        <x:v>VALUE: [[10d20]] PA 1 PO 1 PA 25 PC</x:v>
      </x:c>
    </x:row>
    <x:row r="985">
      <x:c r="P985" t="str">
        <x:v>11|Aberration|Précieuse</x:v>
      </x:c>
      <x:c r="Q985" t="n">
        <x:v>33000</x:v>
      </x:c>
      <x:c r="R985" t="str">
        <x:v>1d4</x:v>
      </x:c>
      <x:c r="S985" t="str">
        <x:v>PO</x:v>
      </x:c>
      <x:c r="T985" t="n">
        <x:v>0</x:v>
      </x:c>
      <x:c r="U985" t="n">
        <x:v>0</x:v>
      </x:c>
      <x:c r="V985" t="n">
        <x:v>80</x:v>
      </x:c>
      <x:c r="W985" t="n">
        <x:v>0</x:v>
      </x:c>
      <x:c r="X985" t="str">
        <x:v>VALUE: [[1d4]] PO 80 PA</x:v>
      </x:c>
    </x:row>
    <x:row r="986">
      <x:c r="P986" t="str">
        <x:v>11|Aberration|Exceptionnelle</x:v>
      </x:c>
      <x:c r="Q986" t="n">
        <x:v>57750</x:v>
      </x:c>
      <x:c r="R986" t="str">
        <x:v>1d8</x:v>
      </x:c>
      <x:c r="S986" t="str">
        <x:v>PO</x:v>
      </x:c>
      <x:c r="T986" t="n">
        <x:v>0</x:v>
      </x:c>
      <x:c r="U986" t="n">
        <x:v>1</x:v>
      </x:c>
      <x:c r="V986" t="n">
        <x:v>27</x:v>
      </x:c>
      <x:c r="W986" t="n">
        <x:v>50</x:v>
      </x:c>
      <x:c r="X986" t="str">
        <x:v>VALUE: [[1d8]] PO 1 PO 27 PA 50 PC</x:v>
      </x:c>
    </x:row>
    <x:row r="987">
      <x:c r="P987" t="str">
        <x:v>11|Fée|Commune</x:v>
      </x:c>
      <x:c r="Q987" t="n">
        <x:v>9900</x:v>
      </x:c>
      <x:c r="R987" t="str">
        <x:v>7d20</x:v>
      </x:c>
      <x:c r="S987" t="str">
        <x:v>PA</x:v>
      </x:c>
      <x:c r="T987" t="n">
        <x:v>0</x:v>
      </x:c>
      <x:c r="U987" t="n">
        <x:v>0</x:v>
      </x:c>
      <x:c r="V987" t="n">
        <x:v>25</x:v>
      </x:c>
      <x:c r="W987" t="n">
        <x:v>50</x:v>
      </x:c>
      <x:c r="X987" t="str">
        <x:v>VALUE: [[7d20]] PA 25 PA 50 PC</x:v>
      </x:c>
    </x:row>
    <x:row r="988">
      <x:c r="P988" t="str">
        <x:v>11|Fée|Peu commune</x:v>
      </x:c>
      <x:c r="Q988" t="n">
        <x:v>14850</x:v>
      </x:c>
      <x:c r="R988" t="str">
        <x:v>10d20</x:v>
      </x:c>
      <x:c r="S988" t="str">
        <x:v>PA</x:v>
      </x:c>
      <x:c r="T988" t="n">
        <x:v>0</x:v>
      </x:c>
      <x:c r="U988" t="n">
        <x:v>0</x:v>
      </x:c>
      <x:c r="V988" t="n">
        <x:v>43</x:v>
      </x:c>
      <x:c r="W988" t="n">
        <x:v>50</x:v>
      </x:c>
      <x:c r="X988" t="str">
        <x:v>VALUE: [[10d20]] PA 43 PA 50 PC</x:v>
      </x:c>
    </x:row>
    <x:row r="989">
      <x:c r="P989" t="str">
        <x:v>11|Fée|Rare</x:v>
      </x:c>
      <x:c r="Q989" t="n">
        <x:v>24750</x:v>
      </x:c>
      <x:c r="R989" t="str">
        <x:v>10d20</x:v>
      </x:c>
      <x:c r="S989" t="str">
        <x:v>PA</x:v>
      </x:c>
      <x:c r="T989" t="n">
        <x:v>0</x:v>
      </x:c>
      <x:c r="U989" t="n">
        <x:v>1</x:v>
      </x:c>
      <x:c r="V989" t="n">
        <x:v>42</x:v>
      </x:c>
      <x:c r="W989" t="n">
        <x:v>50</x:v>
      </x:c>
      <x:c r="X989" t="str">
        <x:v>VALUE: [[10d20]] PA 1 PO 42 PA 50 PC</x:v>
      </x:c>
    </x:row>
    <x:row r="990">
      <x:c r="P990" t="str">
        <x:v>11|Fée|Précieuse</x:v>
      </x:c>
      <x:c r="Q990" t="n">
        <x:v>39600</x:v>
      </x:c>
      <x:c r="R990" t="str">
        <x:v>1d4</x:v>
      </x:c>
      <x:c r="S990" t="str">
        <x:v>PO</x:v>
      </x:c>
      <x:c r="T990" t="n">
        <x:v>0</x:v>
      </x:c>
      <x:c r="U990" t="n">
        <x:v>1</x:v>
      </x:c>
      <x:c r="V990" t="n">
        <x:v>46</x:v>
      </x:c>
      <x:c r="W990" t="n">
        <x:v>0</x:v>
      </x:c>
      <x:c r="X990" t="str">
        <x:v>VALUE: [[1d4]] PO 1 PO 46 PA</x:v>
      </x:c>
    </x:row>
    <x:row r="991">
      <x:c r="P991" t="str">
        <x:v>11|Fée|Exceptionnelle</x:v>
      </x:c>
      <x:c r="Q991" t="n">
        <x:v>69300</x:v>
      </x:c>
      <x:c r="R991" t="str">
        <x:v>2d4</x:v>
      </x:c>
      <x:c r="S991" t="str">
        <x:v>PO</x:v>
      </x:c>
      <x:c r="T991" t="n">
        <x:v>0</x:v>
      </x:c>
      <x:c r="U991" t="n">
        <x:v>1</x:v>
      </x:c>
      <x:c r="V991" t="n">
        <x:v>93</x:v>
      </x:c>
      <x:c r="W991" t="n">
        <x:v>0</x:v>
      </x:c>
      <x:c r="X991" t="str">
        <x:v>VALUE: [[2d4]] PO 1 PO 93 PA</x:v>
      </x:c>
    </x:row>
    <x:row r="992">
      <x:c r="P992" t="str">
        <x:v>11|Démon|Commune</x:v>
      </x:c>
      <x:c r="Q992" t="n">
        <x:v>11000</x:v>
      </x:c>
      <x:c r="R992" t="str">
        <x:v>7d20</x:v>
      </x:c>
      <x:c r="S992" t="str">
        <x:v>PA</x:v>
      </x:c>
      <x:c r="T992" t="n">
        <x:v>0</x:v>
      </x:c>
      <x:c r="U992" t="n">
        <x:v>0</x:v>
      </x:c>
      <x:c r="V992" t="n">
        <x:v>36</x:v>
      </x:c>
      <x:c r="W992" t="n">
        <x:v>50</x:v>
      </x:c>
      <x:c r="X992" t="str">
        <x:v>VALUE: [[7d20]] PA 36 PA 50 PC</x:v>
      </x:c>
    </x:row>
    <x:row r="993">
      <x:c r="P993" t="str">
        <x:v>11|Démon|Peu commune</x:v>
      </x:c>
      <x:c r="Q993" t="n">
        <x:v>16500</x:v>
      </x:c>
      <x:c r="R993" t="str">
        <x:v>10d20</x:v>
      </x:c>
      <x:c r="S993" t="str">
        <x:v>PA</x:v>
      </x:c>
      <x:c r="T993" t="n">
        <x:v>0</x:v>
      </x:c>
      <x:c r="U993" t="n">
        <x:v>0</x:v>
      </x:c>
      <x:c r="V993" t="n">
        <x:v>60</x:v>
      </x:c>
      <x:c r="W993" t="n">
        <x:v>0</x:v>
      </x:c>
      <x:c r="X993" t="str">
        <x:v>VALUE: [[10d20]] PA 60 PA</x:v>
      </x:c>
    </x:row>
    <x:row r="994">
      <x:c r="P994" t="str">
        <x:v>11|Démon|Rare</x:v>
      </x:c>
      <x:c r="Q994" t="n">
        <x:v>27500</x:v>
      </x:c>
      <x:c r="R994" t="str">
        <x:v>1d4</x:v>
      </x:c>
      <x:c r="S994" t="str">
        <x:v>PO</x:v>
      </x:c>
      <x:c r="T994" t="n">
        <x:v>0</x:v>
      </x:c>
      <x:c r="U994" t="n">
        <x:v>0</x:v>
      </x:c>
      <x:c r="V994" t="n">
        <x:v>25</x:v>
      </x:c>
      <x:c r="W994" t="n">
        <x:v>0</x:v>
      </x:c>
      <x:c r="X994" t="str">
        <x:v>VALUE: [[1d4]] PO 25 PA</x:v>
      </x:c>
    </x:row>
    <x:row r="995">
      <x:c r="P995" t="str">
        <x:v>11|Démon|Précieuse</x:v>
      </x:c>
      <x:c r="Q995" t="n">
        <x:v>44000</x:v>
      </x:c>
      <x:c r="R995" t="str">
        <x:v>1d6</x:v>
      </x:c>
      <x:c r="S995" t="str">
        <x:v>PO</x:v>
      </x:c>
      <x:c r="T995" t="n">
        <x:v>0</x:v>
      </x:c>
      <x:c r="U995" t="n">
        <x:v>0</x:v>
      </x:c>
      <x:c r="V995" t="n">
        <x:v>90</x:v>
      </x:c>
      <x:c r="W995" t="n">
        <x:v>0</x:v>
      </x:c>
      <x:c r="X995" t="str">
        <x:v>VALUE: [[1d6]] PO 90 PA</x:v>
      </x:c>
    </x:row>
    <x:row r="996">
      <x:c r="P996" t="str">
        <x:v>11|Démon|Exceptionnelle</x:v>
      </x:c>
      <x:c r="Q996" t="n">
        <x:v>77000</x:v>
      </x:c>
      <x:c r="R996" t="str">
        <x:v>1d10</x:v>
      </x:c>
      <x:c r="S996" t="str">
        <x:v>PO</x:v>
      </x:c>
      <x:c r="T996" t="n">
        <x:v>0</x:v>
      </x:c>
      <x:c r="U996" t="n">
        <x:v>2</x:v>
      </x:c>
      <x:c r="V996" t="n">
        <x:v>20</x:v>
      </x:c>
      <x:c r="W996" t="n">
        <x:v>0</x:v>
      </x:c>
      <x:c r="X996" t="str">
        <x:v>VALUE: [[1d10]] PO 2 PO 20 PA</x:v>
      </x:c>
    </x:row>
    <x:row r="997">
      <x:c r="P997" t="str">
        <x:v>11|Artificiel|Commune</x:v>
      </x:c>
      <x:c r="Q997" t="n">
        <x:v>11000</x:v>
      </x:c>
      <x:c r="R997" t="str">
        <x:v>7d20</x:v>
      </x:c>
      <x:c r="S997" t="str">
        <x:v>PA</x:v>
      </x:c>
      <x:c r="T997" t="n">
        <x:v>0</x:v>
      </x:c>
      <x:c r="U997" t="n">
        <x:v>0</x:v>
      </x:c>
      <x:c r="V997" t="n">
        <x:v>36</x:v>
      </x:c>
      <x:c r="W997" t="n">
        <x:v>50</x:v>
      </x:c>
      <x:c r="X997" t="str">
        <x:v>VALUE: [[7d20]] PA 36 PA 50 PC</x:v>
      </x:c>
    </x:row>
    <x:row r="998">
      <x:c r="P998" t="str">
        <x:v>11|Artificiel|Peu commune</x:v>
      </x:c>
      <x:c r="Q998" t="n">
        <x:v>16500</x:v>
      </x:c>
      <x:c r="R998" t="str">
        <x:v>10d20</x:v>
      </x:c>
      <x:c r="S998" t="str">
        <x:v>PA</x:v>
      </x:c>
      <x:c r="T998" t="n">
        <x:v>0</x:v>
      </x:c>
      <x:c r="U998" t="n">
        <x:v>0</x:v>
      </x:c>
      <x:c r="V998" t="n">
        <x:v>60</x:v>
      </x:c>
      <x:c r="W998" t="n">
        <x:v>0</x:v>
      </x:c>
      <x:c r="X998" t="str">
        <x:v>VALUE: [[10d20]] PA 60 PA</x:v>
      </x:c>
    </x:row>
    <x:row r="999">
      <x:c r="P999" t="str">
        <x:v>11|Artificiel|Rare</x:v>
      </x:c>
      <x:c r="Q999" t="n">
        <x:v>27500</x:v>
      </x:c>
      <x:c r="R999" t="str">
        <x:v>1d4</x:v>
      </x:c>
      <x:c r="S999" t="str">
        <x:v>PO</x:v>
      </x:c>
      <x:c r="T999" t="n">
        <x:v>0</x:v>
      </x:c>
      <x:c r="U999" t="n">
        <x:v>0</x:v>
      </x:c>
      <x:c r="V999" t="n">
        <x:v>25</x:v>
      </x:c>
      <x:c r="W999" t="n">
        <x:v>0</x:v>
      </x:c>
      <x:c r="X999" t="str">
        <x:v>VALUE: [[1d4]] PO 25 PA</x:v>
      </x:c>
    </x:row>
    <x:row r="1000">
      <x:c r="P1000" t="str">
        <x:v>11|Artificiel|Précieuse</x:v>
      </x:c>
      <x:c r="Q1000" t="n">
        <x:v>44000</x:v>
      </x:c>
      <x:c r="R1000" t="str">
        <x:v>1d6</x:v>
      </x:c>
      <x:c r="S1000" t="str">
        <x:v>PO</x:v>
      </x:c>
      <x:c r="T1000" t="n">
        <x:v>0</x:v>
      </x:c>
      <x:c r="U1000" t="n">
        <x:v>0</x:v>
      </x:c>
      <x:c r="V1000" t="n">
        <x:v>90</x:v>
      </x:c>
      <x:c r="W1000" t="n">
        <x:v>0</x:v>
      </x:c>
      <x:c r="X1000" t="str">
        <x:v>VALUE: [[1d6]] PO 90 PA</x:v>
      </x:c>
    </x:row>
    <x:row r="1001">
      <x:c r="P1001" t="str">
        <x:v>11|Artificiel|Exceptionnelle</x:v>
      </x:c>
      <x:c r="Q1001" t="n">
        <x:v>77000</x:v>
      </x:c>
      <x:c r="R1001" t="str">
        <x:v>1d10</x:v>
      </x:c>
      <x:c r="S1001" t="str">
        <x:v>PO</x:v>
      </x:c>
      <x:c r="T1001" t="n">
        <x:v>0</x:v>
      </x:c>
      <x:c r="U1001" t="n">
        <x:v>2</x:v>
      </x:c>
      <x:c r="V1001" t="n">
        <x:v>20</x:v>
      </x:c>
      <x:c r="W1001" t="n">
        <x:v>0</x:v>
      </x:c>
      <x:c r="X1001" t="str">
        <x:v>VALUE: [[1d10]] PO 2 PO 20 PA</x:v>
      </x:c>
    </x:row>
    <x:row r="1002">
      <x:c r="P1002" t="str">
        <x:v>11|Élémentaire|Commune</x:v>
      </x:c>
      <x:c r="Q1002" t="n">
        <x:v>13750</x:v>
      </x:c>
      <x:c r="R1002" t="str">
        <x:v>9d20</x:v>
      </x:c>
      <x:c r="S1002" t="str">
        <x:v>PA</x:v>
      </x:c>
      <x:c r="T1002" t="n">
        <x:v>0</x:v>
      </x:c>
      <x:c r="U1002" t="n">
        <x:v>0</x:v>
      </x:c>
      <x:c r="V1002" t="n">
        <x:v>43</x:v>
      </x:c>
      <x:c r="W1002" t="n">
        <x:v>0</x:v>
      </x:c>
      <x:c r="X1002" t="str">
        <x:v>VALUE: [[9d20]] PA 43 PA</x:v>
      </x:c>
    </x:row>
    <x:row r="1003">
      <x:c r="P1003" t="str">
        <x:v>11|Élémentaire|Peu commune</x:v>
      </x:c>
      <x:c r="Q1003" t="n">
        <x:v>20625</x:v>
      </x:c>
      <x:c r="R1003" t="str">
        <x:v>10d20</x:v>
      </x:c>
      <x:c r="S1003" t="str">
        <x:v>PA</x:v>
      </x:c>
      <x:c r="T1003" t="n">
        <x:v>0</x:v>
      </x:c>
      <x:c r="U1003" t="n">
        <x:v>1</x:v>
      </x:c>
      <x:c r="V1003" t="n">
        <x:v>1</x:v>
      </x:c>
      <x:c r="W1003" t="n">
        <x:v>25</x:v>
      </x:c>
      <x:c r="X1003" t="str">
        <x:v>VALUE: [[10d20]] PA 1 PO 1 PA 25 PC</x:v>
      </x:c>
    </x:row>
    <x:row r="1004">
      <x:c r="P1004" t="str">
        <x:v>11|Élémentaire|Rare</x:v>
      </x:c>
      <x:c r="Q1004" t="n">
        <x:v>34375</x:v>
      </x:c>
      <x:c r="R1004" t="str">
        <x:v>1d4</x:v>
      </x:c>
      <x:c r="S1004" t="str">
        <x:v>PO</x:v>
      </x:c>
      <x:c r="T1004" t="n">
        <x:v>0</x:v>
      </x:c>
      <x:c r="U1004" t="n">
        <x:v>0</x:v>
      </x:c>
      <x:c r="V1004" t="n">
        <x:v>93</x:v>
      </x:c>
      <x:c r="W1004" t="n">
        <x:v>75</x:v>
      </x:c>
      <x:c r="X1004" t="str">
        <x:v>VALUE: [[1d4]] PO 93 PA 75 PC</x:v>
      </x:c>
    </x:row>
    <x:row r="1005">
      <x:c r="P1005" t="str">
        <x:v>11|Élémentaire|Précieuse</x:v>
      </x:c>
      <x:c r="Q1005" t="n">
        <x:v>55000</x:v>
      </x:c>
      <x:c r="R1005" t="str">
        <x:v>1d6</x:v>
      </x:c>
      <x:c r="S1005" t="str">
        <x:v>PO</x:v>
      </x:c>
      <x:c r="T1005" t="n">
        <x:v>0</x:v>
      </x:c>
      <x:c r="U1005" t="n">
        <x:v>2</x:v>
      </x:c>
      <x:c r="V1005" t="n">
        <x:v>0</x:v>
      </x:c>
      <x:c r="W1005" t="n">
        <x:v>0</x:v>
      </x:c>
      <x:c r="X1005" t="str">
        <x:v>VALUE: [[1d6]] PO 2 PO</x:v>
      </x:c>
    </x:row>
    <x:row r="1006">
      <x:c r="P1006" t="str">
        <x:v>11|Élémentaire|Exceptionnelle</x:v>
      </x:c>
      <x:c r="Q1006" t="n">
        <x:v>96250</x:v>
      </x:c>
      <x:c r="R1006" t="str">
        <x:v>1d12</x:v>
      </x:c>
      <x:c r="S1006" t="str">
        <x:v>PO</x:v>
      </x:c>
      <x:c r="T1006" t="n">
        <x:v>0</x:v>
      </x:c>
      <x:c r="U1006" t="n">
        <x:v>3</x:v>
      </x:c>
      <x:c r="V1006" t="n">
        <x:v>12</x:v>
      </x:c>
      <x:c r="W1006" t="n">
        <x:v>50</x:v>
      </x:c>
      <x:c r="X1006" t="str">
        <x:v>VALUE: [[1d12]] PO 3 PO 12 PA 50 PC</x:v>
      </x:c>
    </x:row>
    <x:row r="1007">
      <x:c r="P1007" t="str">
        <x:v>11|Esprit|Commune</x:v>
      </x:c>
      <x:c r="Q1007" t="n">
        <x:v>13750</x:v>
      </x:c>
      <x:c r="R1007" t="str">
        <x:v>9d20</x:v>
      </x:c>
      <x:c r="S1007" t="str">
        <x:v>PA</x:v>
      </x:c>
      <x:c r="T1007" t="n">
        <x:v>0</x:v>
      </x:c>
      <x:c r="U1007" t="n">
        <x:v>0</x:v>
      </x:c>
      <x:c r="V1007" t="n">
        <x:v>43</x:v>
      </x:c>
      <x:c r="W1007" t="n">
        <x:v>0</x:v>
      </x:c>
      <x:c r="X1007" t="str">
        <x:v>VALUE: [[9d20]] PA 43 PA</x:v>
      </x:c>
    </x:row>
    <x:row r="1008">
      <x:c r="P1008" t="str">
        <x:v>11|Esprit|Peu commune</x:v>
      </x:c>
      <x:c r="Q1008" t="n">
        <x:v>20625</x:v>
      </x:c>
      <x:c r="R1008" t="str">
        <x:v>10d20</x:v>
      </x:c>
      <x:c r="S1008" t="str">
        <x:v>PA</x:v>
      </x:c>
      <x:c r="T1008" t="n">
        <x:v>0</x:v>
      </x:c>
      <x:c r="U1008" t="n">
        <x:v>1</x:v>
      </x:c>
      <x:c r="V1008" t="n">
        <x:v>1</x:v>
      </x:c>
      <x:c r="W1008" t="n">
        <x:v>25</x:v>
      </x:c>
      <x:c r="X1008" t="str">
        <x:v>VALUE: [[10d20]] PA 1 PO 1 PA 25 PC</x:v>
      </x:c>
    </x:row>
    <x:row r="1009">
      <x:c r="P1009" t="str">
        <x:v>11|Esprit|Rare</x:v>
      </x:c>
      <x:c r="Q1009" t="n">
        <x:v>34375</x:v>
      </x:c>
      <x:c r="R1009" t="str">
        <x:v>1d4</x:v>
      </x:c>
      <x:c r="S1009" t="str">
        <x:v>PO</x:v>
      </x:c>
      <x:c r="T1009" t="n">
        <x:v>0</x:v>
      </x:c>
      <x:c r="U1009" t="n">
        <x:v>0</x:v>
      </x:c>
      <x:c r="V1009" t="n">
        <x:v>93</x:v>
      </x:c>
      <x:c r="W1009" t="n">
        <x:v>75</x:v>
      </x:c>
      <x:c r="X1009" t="str">
        <x:v>VALUE: [[1d4]] PO 93 PA 75 PC</x:v>
      </x:c>
    </x:row>
    <x:row r="1010">
      <x:c r="P1010" t="str">
        <x:v>11|Esprit|Précieuse</x:v>
      </x:c>
      <x:c r="Q1010" t="n">
        <x:v>55000</x:v>
      </x:c>
      <x:c r="R1010" t="str">
        <x:v>1d6</x:v>
      </x:c>
      <x:c r="S1010" t="str">
        <x:v>PO</x:v>
      </x:c>
      <x:c r="T1010" t="n">
        <x:v>0</x:v>
      </x:c>
      <x:c r="U1010" t="n">
        <x:v>2</x:v>
      </x:c>
      <x:c r="V1010" t="n">
        <x:v>0</x:v>
      </x:c>
      <x:c r="W1010" t="n">
        <x:v>0</x:v>
      </x:c>
      <x:c r="X1010" t="str">
        <x:v>VALUE: [[1d6]] PO 2 PO</x:v>
      </x:c>
    </x:row>
    <x:row r="1011">
      <x:c r="P1011" t="str">
        <x:v>11|Esprit|Exceptionnelle</x:v>
      </x:c>
      <x:c r="Q1011" t="n">
        <x:v>96250</x:v>
      </x:c>
      <x:c r="R1011" t="str">
        <x:v>1d12</x:v>
      </x:c>
      <x:c r="S1011" t="str">
        <x:v>PO</x:v>
      </x:c>
      <x:c r="T1011" t="n">
        <x:v>0</x:v>
      </x:c>
      <x:c r="U1011" t="n">
        <x:v>3</x:v>
      </x:c>
      <x:c r="V1011" t="n">
        <x:v>12</x:v>
      </x:c>
      <x:c r="W1011" t="n">
        <x:v>50</x:v>
      </x:c>
      <x:c r="X1011" t="str">
        <x:v>VALUE: [[1d12]] PO 3 PO 12 PA 50 PC</x:v>
      </x:c>
    </x:row>
    <x:row r="1012">
      <x:c r="P1012" t="str">
        <x:v>11|Céleste|Commune</x:v>
      </x:c>
      <x:c r="Q1012" t="n">
        <x:v>16500</x:v>
      </x:c>
      <x:c r="R1012" t="str">
        <x:v>10d20</x:v>
      </x:c>
      <x:c r="S1012" t="str">
        <x:v>PA</x:v>
      </x:c>
      <x:c r="T1012" t="n">
        <x:v>0</x:v>
      </x:c>
      <x:c r="U1012" t="n">
        <x:v>0</x:v>
      </x:c>
      <x:c r="V1012" t="n">
        <x:v>60</x:v>
      </x:c>
      <x:c r="W1012" t="n">
        <x:v>0</x:v>
      </x:c>
      <x:c r="X1012" t="str">
        <x:v>VALUE: [[10d20]] PA 60 PA</x:v>
      </x:c>
    </x:row>
    <x:row r="1013">
      <x:c r="P1013" t="str">
        <x:v>11|Céleste|Peu commune</x:v>
      </x:c>
      <x:c r="Q1013" t="n">
        <x:v>24750</x:v>
      </x:c>
      <x:c r="R1013" t="str">
        <x:v>10d20</x:v>
      </x:c>
      <x:c r="S1013" t="str">
        <x:v>PA</x:v>
      </x:c>
      <x:c r="T1013" t="n">
        <x:v>0</x:v>
      </x:c>
      <x:c r="U1013" t="n">
        <x:v>1</x:v>
      </x:c>
      <x:c r="V1013" t="n">
        <x:v>42</x:v>
      </x:c>
      <x:c r="W1013" t="n">
        <x:v>50</x:v>
      </x:c>
      <x:c r="X1013" t="str">
        <x:v>VALUE: [[10d20]] PA 1 PO 42 PA 50 PC</x:v>
      </x:c>
    </x:row>
    <x:row r="1014">
      <x:c r="P1014" t="str">
        <x:v>11|Céleste|Rare</x:v>
      </x:c>
      <x:c r="Q1014" t="n">
        <x:v>41250</x:v>
      </x:c>
      <x:c r="R1014" t="str">
        <x:v>1d4</x:v>
      </x:c>
      <x:c r="S1014" t="str">
        <x:v>PO</x:v>
      </x:c>
      <x:c r="T1014" t="n">
        <x:v>0</x:v>
      </x:c>
      <x:c r="U1014" t="n">
        <x:v>1</x:v>
      </x:c>
      <x:c r="V1014" t="n">
        <x:v>62</x:v>
      </x:c>
      <x:c r="W1014" t="n">
        <x:v>50</x:v>
      </x:c>
      <x:c r="X1014" t="str">
        <x:v>VALUE: [[1d4]] PO 1 PO 62 PA 50 PC</x:v>
      </x:c>
    </x:row>
    <x:row r="1015">
      <x:c r="P1015" t="str">
        <x:v>11|Céleste|Précieuse</x:v>
      </x:c>
      <x:c r="Q1015" t="n">
        <x:v>66000</x:v>
      </x:c>
      <x:c r="R1015" t="str">
        <x:v>1d8</x:v>
      </x:c>
      <x:c r="S1015" t="str">
        <x:v>PO</x:v>
      </x:c>
      <x:c r="T1015" t="n">
        <x:v>0</x:v>
      </x:c>
      <x:c r="U1015" t="n">
        <x:v>2</x:v>
      </x:c>
      <x:c r="V1015" t="n">
        <x:v>10</x:v>
      </x:c>
      <x:c r="W1015" t="n">
        <x:v>0</x:v>
      </x:c>
      <x:c r="X1015" t="str">
        <x:v>VALUE: [[1d8]] PO 2 PO 10 PA</x:v>
      </x:c>
    </x:row>
    <x:row r="1016">
      <x:c r="P1016" t="str">
        <x:v>11|Céleste|Exceptionnelle</x:v>
      </x:c>
      <x:c r="Q1016" t="n">
        <x:v>115500</x:v>
      </x:c>
      <x:c r="R1016" t="str">
        <x:v>3d4</x:v>
      </x:c>
      <x:c r="S1016" t="str">
        <x:v>PO</x:v>
      </x:c>
      <x:c r="T1016" t="n">
        <x:v>0</x:v>
      </x:c>
      <x:c r="U1016" t="n">
        <x:v>4</x:v>
      </x:c>
      <x:c r="V1016" t="n">
        <x:v>5</x:v>
      </x:c>
      <x:c r="W1016" t="n">
        <x:v>0</x:v>
      </x:c>
      <x:c r="X1016" t="str">
        <x:v>VALUE: [[3d4]] PO 4 PO 5 PA</x:v>
      </x:c>
    </x:row>
    <x:row r="1017">
      <x:c r="P1017" t="str">
        <x:v>11|Dragon|Commune</x:v>
      </x:c>
      <x:c r="Q1017" t="n">
        <x:v>27500</x:v>
      </x:c>
      <x:c r="R1017" t="str">
        <x:v>1d4</x:v>
      </x:c>
      <x:c r="S1017" t="str">
        <x:v>PO</x:v>
      </x:c>
      <x:c r="T1017" t="n">
        <x:v>0</x:v>
      </x:c>
      <x:c r="U1017" t="n">
        <x:v>0</x:v>
      </x:c>
      <x:c r="V1017" t="n">
        <x:v>25</x:v>
      </x:c>
      <x:c r="W1017" t="n">
        <x:v>0</x:v>
      </x:c>
      <x:c r="X1017" t="str">
        <x:v>VALUE: [[1d4]] PO 25 PA</x:v>
      </x:c>
    </x:row>
    <x:row r="1018">
      <x:c r="P1018" t="str">
        <x:v>11|Dragon|Peu commune</x:v>
      </x:c>
      <x:c r="Q1018" t="n">
        <x:v>41250</x:v>
      </x:c>
      <x:c r="R1018" t="str">
        <x:v>1d4</x:v>
      </x:c>
      <x:c r="S1018" t="str">
        <x:v>PO</x:v>
      </x:c>
      <x:c r="T1018" t="n">
        <x:v>0</x:v>
      </x:c>
      <x:c r="U1018" t="n">
        <x:v>1</x:v>
      </x:c>
      <x:c r="V1018" t="n">
        <x:v>62</x:v>
      </x:c>
      <x:c r="W1018" t="n">
        <x:v>50</x:v>
      </x:c>
      <x:c r="X1018" t="str">
        <x:v>VALUE: [[1d4]] PO 1 PO 62 PA 50 PC</x:v>
      </x:c>
    </x:row>
    <x:row r="1019">
      <x:c r="P1019" t="str">
        <x:v>11|Dragon|Rare</x:v>
      </x:c>
      <x:c r="Q1019" t="n">
        <x:v>68750</x:v>
      </x:c>
      <x:c r="R1019" t="str">
        <x:v>2d4</x:v>
      </x:c>
      <x:c r="S1019" t="str">
        <x:v>PO</x:v>
      </x:c>
      <x:c r="T1019" t="n">
        <x:v>0</x:v>
      </x:c>
      <x:c r="U1019" t="n">
        <x:v>1</x:v>
      </x:c>
      <x:c r="V1019" t="n">
        <x:v>87</x:v>
      </x:c>
      <x:c r="W1019" t="n">
        <x:v>50</x:v>
      </x:c>
      <x:c r="X1019" t="str">
        <x:v>VALUE: [[2d4]] PO 1 PO 87 PA 50 PC</x:v>
      </x:c>
    </x:row>
    <x:row r="1020">
      <x:c r="P1020" t="str">
        <x:v>11|Dragon|Précieuse</x:v>
      </x:c>
      <x:c r="Q1020" t="n">
        <x:v>110000</x:v>
      </x:c>
      <x:c r="R1020" t="str">
        <x:v>3d4</x:v>
      </x:c>
      <x:c r="S1020" t="str">
        <x:v>PO</x:v>
      </x:c>
      <x:c r="T1020" t="n">
        <x:v>0</x:v>
      </x:c>
      <x:c r="U1020" t="n">
        <x:v>3</x:v>
      </x:c>
      <x:c r="V1020" t="n">
        <x:v>50</x:v>
      </x:c>
      <x:c r="W1020" t="n">
        <x:v>0</x:v>
      </x:c>
      <x:c r="X1020" t="str">
        <x:v>VALUE: [[3d4]] PO 3 PO 50 PA</x:v>
      </x:c>
    </x:row>
    <x:row r="1021">
      <x:c r="P1021" t="str">
        <x:v>11|Dragon|Exceptionnelle</x:v>
      </x:c>
      <x:c r="Q1021" t="n">
        <x:v>192500</x:v>
      </x:c>
      <x:c r="R1021" t="str">
        <x:v>3d8</x:v>
      </x:c>
      <x:c r="S1021" t="str">
        <x:v>PO</x:v>
      </x:c>
      <x:c r="T1021" t="n">
        <x:v>0</x:v>
      </x:c>
      <x:c r="U1021" t="n">
        <x:v>5</x:v>
      </x:c>
      <x:c r="V1021" t="n">
        <x:v>75</x:v>
      </x:c>
      <x:c r="W1021" t="n">
        <x:v>0</x:v>
      </x:c>
      <x:c r="X1021" t="str">
        <x:v>VALUE: [[3d8]] PO 5 PO 75 PA</x:v>
      </x:c>
    </x:row>
    <x:row r="1022">
      <x:c r="P1022" t="str">
        <x:v>12|Vermine|Commune</x:v>
      </x:c>
      <x:c r="Q1022" t="n">
        <x:v>3500</x:v>
      </x:c>
      <x:c r="R1022" t="str">
        <x:v>7d6</x:v>
      </x:c>
      <x:c r="S1022" t="str">
        <x:v>PA</x:v>
      </x:c>
      <x:c r="T1022" t="n">
        <x:v>0</x:v>
      </x:c>
      <x:c r="U1022" t="n">
        <x:v>0</x:v>
      </x:c>
      <x:c r="V1022" t="n">
        <x:v>10</x:v>
      </x:c>
      <x:c r="W1022" t="n">
        <x:v>50</x:v>
      </x:c>
      <x:c r="X1022" t="str">
        <x:v>VALUE: [[7d6]] PA 10 PA 50 PC</x:v>
      </x:c>
    </x:row>
    <x:row r="1023">
      <x:c r="P1023" t="str">
        <x:v>12|Vermine|Peu commune</x:v>
      </x:c>
      <x:c r="Q1023" t="n">
        <x:v>5250</x:v>
      </x:c>
      <x:c r="R1023" t="str">
        <x:v>8d8</x:v>
      </x:c>
      <x:c r="S1023" t="str">
        <x:v>PA</x:v>
      </x:c>
      <x:c r="T1023" t="n">
        <x:v>0</x:v>
      </x:c>
      <x:c r="U1023" t="n">
        <x:v>0</x:v>
      </x:c>
      <x:c r="V1023" t="n">
        <x:v>16</x:v>
      </x:c>
      <x:c r="W1023" t="n">
        <x:v>50</x:v>
      </x:c>
      <x:c r="X1023" t="str">
        <x:v>VALUE: [[8d8]] PA 16 PA 50 PC</x:v>
      </x:c>
    </x:row>
    <x:row r="1024">
      <x:c r="P1024" t="str">
        <x:v>12|Vermine|Rare</x:v>
      </x:c>
      <x:c r="Q1024" t="n">
        <x:v>8750</x:v>
      </x:c>
      <x:c r="R1024" t="str">
        <x:v>6d20</x:v>
      </x:c>
      <x:c r="S1024" t="str">
        <x:v>PA</x:v>
      </x:c>
      <x:c r="T1024" t="n">
        <x:v>0</x:v>
      </x:c>
      <x:c r="U1024" t="n">
        <x:v>0</x:v>
      </x:c>
      <x:c r="V1024" t="n">
        <x:v>24</x:v>
      </x:c>
      <x:c r="W1024" t="n">
        <x:v>50</x:v>
      </x:c>
      <x:c r="X1024" t="str">
        <x:v>VALUE: [[6d20]] PA 24 PA 50 PC</x:v>
      </x:c>
    </x:row>
    <x:row r="1025">
      <x:c r="P1025" t="str">
        <x:v>12|Vermine|Précieuse</x:v>
      </x:c>
      <x:c r="Q1025" t="n">
        <x:v>14000</x:v>
      </x:c>
      <x:c r="R1025" t="str">
        <x:v>9d20</x:v>
      </x:c>
      <x:c r="S1025" t="str">
        <x:v>PA</x:v>
      </x:c>
      <x:c r="T1025" t="n">
        <x:v>0</x:v>
      </x:c>
      <x:c r="U1025" t="n">
        <x:v>0</x:v>
      </x:c>
      <x:c r="V1025" t="n">
        <x:v>45</x:v>
      </x:c>
      <x:c r="W1025" t="n">
        <x:v>50</x:v>
      </x:c>
      <x:c r="X1025" t="str">
        <x:v>VALUE: [[9d20]] PA 45 PA 50 PC</x:v>
      </x:c>
    </x:row>
    <x:row r="1026">
      <x:c r="P1026" t="str">
        <x:v>12|Vermine|Exceptionnelle</x:v>
      </x:c>
      <x:c r="Q1026" t="n">
        <x:v>24500</x:v>
      </x:c>
      <x:c r="R1026" t="str">
        <x:v>10d20</x:v>
      </x:c>
      <x:c r="S1026" t="str">
        <x:v>PA</x:v>
      </x:c>
      <x:c r="T1026" t="n">
        <x:v>0</x:v>
      </x:c>
      <x:c r="U1026" t="n">
        <x:v>1</x:v>
      </x:c>
      <x:c r="V1026" t="n">
        <x:v>40</x:v>
      </x:c>
      <x:c r="W1026" t="n">
        <x:v>0</x:v>
      </x:c>
      <x:c r="X1026" t="str">
        <x:v>VALUE: [[10d20]] PA 1 PO 40 PA</x:v>
      </x:c>
    </x:row>
    <x:row r="1027">
      <x:c r="P1027" t="str">
        <x:v>12|Bête|Commune</x:v>
      </x:c>
      <x:c r="Q1027" t="n">
        <x:v>6000</x:v>
      </x:c>
      <x:c r="R1027" t="str">
        <x:v>4d20</x:v>
      </x:c>
      <x:c r="S1027" t="str">
        <x:v>PA</x:v>
      </x:c>
      <x:c r="T1027" t="n">
        <x:v>0</x:v>
      </x:c>
      <x:c r="U1027" t="n">
        <x:v>0</x:v>
      </x:c>
      <x:c r="V1027" t="n">
        <x:v>18</x:v>
      </x:c>
      <x:c r="W1027" t="n">
        <x:v>0</x:v>
      </x:c>
      <x:c r="X1027" t="str">
        <x:v>VALUE: [[4d20]] PA 18 PA</x:v>
      </x:c>
    </x:row>
    <x:row r="1028">
      <x:c r="P1028" t="str">
        <x:v>12|Bête|Peu commune</x:v>
      </x:c>
      <x:c r="Q1028" t="n">
        <x:v>9000</x:v>
      </x:c>
      <x:c r="R1028" t="str">
        <x:v>6d20</x:v>
      </x:c>
      <x:c r="S1028" t="str">
        <x:v>PA</x:v>
      </x:c>
      <x:c r="T1028" t="n">
        <x:v>0</x:v>
      </x:c>
      <x:c r="U1028" t="n">
        <x:v>0</x:v>
      </x:c>
      <x:c r="V1028" t="n">
        <x:v>27</x:v>
      </x:c>
      <x:c r="W1028" t="n">
        <x:v>0</x:v>
      </x:c>
      <x:c r="X1028" t="str">
        <x:v>VALUE: [[6d20]] PA 27 PA</x:v>
      </x:c>
    </x:row>
    <x:row r="1029">
      <x:c r="P1029" t="str">
        <x:v>12|Bête|Rare</x:v>
      </x:c>
      <x:c r="Q1029" t="n">
        <x:v>15000</x:v>
      </x:c>
      <x:c r="R1029" t="str">
        <x:v>10d20</x:v>
      </x:c>
      <x:c r="S1029" t="str">
        <x:v>PA</x:v>
      </x:c>
      <x:c r="T1029" t="n">
        <x:v>0</x:v>
      </x:c>
      <x:c r="U1029" t="n">
        <x:v>0</x:v>
      </x:c>
      <x:c r="V1029" t="n">
        <x:v>45</x:v>
      </x:c>
      <x:c r="W1029" t="n">
        <x:v>0</x:v>
      </x:c>
      <x:c r="X1029" t="str">
        <x:v>VALUE: [[10d20]] PA 45 PA</x:v>
      </x:c>
    </x:row>
    <x:row r="1030">
      <x:c r="P1030" t="str">
        <x:v>12|Bête|Précieuse</x:v>
      </x:c>
      <x:c r="Q1030" t="n">
        <x:v>24000</x:v>
      </x:c>
      <x:c r="R1030" t="str">
        <x:v>10d20</x:v>
      </x:c>
      <x:c r="S1030" t="str">
        <x:v>PA</x:v>
      </x:c>
      <x:c r="T1030" t="n">
        <x:v>0</x:v>
      </x:c>
      <x:c r="U1030" t="n">
        <x:v>1</x:v>
      </x:c>
      <x:c r="V1030" t="n">
        <x:v>35</x:v>
      </x:c>
      <x:c r="W1030" t="n">
        <x:v>0</x:v>
      </x:c>
      <x:c r="X1030" t="str">
        <x:v>VALUE: [[10d20]] PA 1 PO 35 PA</x:v>
      </x:c>
    </x:row>
    <x:row r="1031">
      <x:c r="P1031" t="str">
        <x:v>12|Bête|Exceptionnelle</x:v>
      </x:c>
      <x:c r="Q1031" t="n">
        <x:v>42000</x:v>
      </x:c>
      <x:c r="R1031" t="str">
        <x:v>1d4</x:v>
      </x:c>
      <x:c r="S1031" t="str">
        <x:v>PO</x:v>
      </x:c>
      <x:c r="T1031" t="n">
        <x:v>0</x:v>
      </x:c>
      <x:c r="U1031" t="n">
        <x:v>1</x:v>
      </x:c>
      <x:c r="V1031" t="n">
        <x:v>70</x:v>
      </x:c>
      <x:c r="W1031" t="n">
        <x:v>0</x:v>
      </x:c>
      <x:c r="X1031" t="str">
        <x:v>VALUE: [[1d4]] PO 1 PO 70 PA</x:v>
      </x:c>
    </x:row>
    <x:row r="1032">
      <x:c r="P1032" t="str">
        <x:v>12|Aquatique|Commune</x:v>
      </x:c>
      <x:c r="Q1032" t="n">
        <x:v>7000</x:v>
      </x:c>
      <x:c r="R1032" t="str">
        <x:v>9d10</x:v>
      </x:c>
      <x:c r="S1032" t="str">
        <x:v>PA</x:v>
      </x:c>
      <x:c r="T1032" t="n">
        <x:v>0</x:v>
      </x:c>
      <x:c r="U1032" t="n">
        <x:v>0</x:v>
      </x:c>
      <x:c r="V1032" t="n">
        <x:v>20</x:v>
      </x:c>
      <x:c r="W1032" t="n">
        <x:v>50</x:v>
      </x:c>
      <x:c r="X1032" t="str">
        <x:v>VALUE: [[9d10]] PA 20 PA 50 PC</x:v>
      </x:c>
    </x:row>
    <x:row r="1033">
      <x:c r="P1033" t="str">
        <x:v>12|Aquatique|Peu commune</x:v>
      </x:c>
      <x:c r="Q1033" t="n">
        <x:v>10500</x:v>
      </x:c>
      <x:c r="R1033" t="str">
        <x:v>7d20</x:v>
      </x:c>
      <x:c r="S1033" t="str">
        <x:v>PA</x:v>
      </x:c>
      <x:c r="T1033" t="n">
        <x:v>0</x:v>
      </x:c>
      <x:c r="U1033" t="n">
        <x:v>0</x:v>
      </x:c>
      <x:c r="V1033" t="n">
        <x:v>31</x:v>
      </x:c>
      <x:c r="W1033" t="n">
        <x:v>50</x:v>
      </x:c>
      <x:c r="X1033" t="str">
        <x:v>VALUE: [[7d20]] PA 31 PA 50 PC</x:v>
      </x:c>
    </x:row>
    <x:row r="1034">
      <x:c r="P1034" t="str">
        <x:v>12|Aquatique|Rare</x:v>
      </x:c>
      <x:c r="Q1034" t="n">
        <x:v>17500</x:v>
      </x:c>
      <x:c r="R1034" t="str">
        <x:v>10d20</x:v>
      </x:c>
      <x:c r="S1034" t="str">
        <x:v>PA</x:v>
      </x:c>
      <x:c r="T1034" t="n">
        <x:v>0</x:v>
      </x:c>
      <x:c r="U1034" t="n">
        <x:v>0</x:v>
      </x:c>
      <x:c r="V1034" t="n">
        <x:v>70</x:v>
      </x:c>
      <x:c r="W1034" t="n">
        <x:v>0</x:v>
      </x:c>
      <x:c r="X1034" t="str">
        <x:v>VALUE: [[10d20]] PA 70 PA</x:v>
      </x:c>
    </x:row>
    <x:row r="1035">
      <x:c r="P1035" t="str">
        <x:v>12|Aquatique|Précieuse</x:v>
      </x:c>
      <x:c r="Q1035" t="n">
        <x:v>28000</x:v>
      </x:c>
      <x:c r="R1035" t="str">
        <x:v>1d4</x:v>
      </x:c>
      <x:c r="S1035" t="str">
        <x:v>PO</x:v>
      </x:c>
      <x:c r="T1035" t="n">
        <x:v>0</x:v>
      </x:c>
      <x:c r="U1035" t="n">
        <x:v>0</x:v>
      </x:c>
      <x:c r="V1035" t="n">
        <x:v>30</x:v>
      </x:c>
      <x:c r="W1035" t="n">
        <x:v>0</x:v>
      </x:c>
      <x:c r="X1035" t="str">
        <x:v>VALUE: [[1d4]] PO 30 PA</x:v>
      </x:c>
    </x:row>
    <x:row r="1036">
      <x:c r="P1036" t="str">
        <x:v>12|Aquatique|Exceptionnelle</x:v>
      </x:c>
      <x:c r="Q1036" t="n">
        <x:v>49000</x:v>
      </x:c>
      <x:c r="R1036" t="str">
        <x:v>1d6</x:v>
      </x:c>
      <x:c r="S1036" t="str">
        <x:v>PO</x:v>
      </x:c>
      <x:c r="T1036" t="n">
        <x:v>0</x:v>
      </x:c>
      <x:c r="U1036" t="n">
        <x:v>1</x:v>
      </x:c>
      <x:c r="V1036" t="n">
        <x:v>40</x:v>
      </x:c>
      <x:c r="W1036" t="n">
        <x:v>0</x:v>
      </x:c>
      <x:c r="X1036" t="str">
        <x:v>VALUE: [[1d6]] PO 1 PO 40 PA</x:v>
      </x:c>
    </x:row>
    <x:row r="1037">
      <x:c r="P1037" t="str">
        <x:v>12|Plante|Commune</x:v>
      </x:c>
      <x:c r="Q1037" t="n">
        <x:v>8000</x:v>
      </x:c>
      <x:c r="R1037" t="str">
        <x:v>10d10</x:v>
      </x:c>
      <x:c r="S1037" t="str">
        <x:v>PA</x:v>
      </x:c>
      <x:c r="T1037" t="n">
        <x:v>0</x:v>
      </x:c>
      <x:c r="U1037" t="n">
        <x:v>0</x:v>
      </x:c>
      <x:c r="V1037" t="n">
        <x:v>25</x:v>
      </x:c>
      <x:c r="W1037" t="n">
        <x:v>0</x:v>
      </x:c>
      <x:c r="X1037" t="str">
        <x:v>VALUE: [[10d10]] PA 25 PA</x:v>
      </x:c>
    </x:row>
    <x:row r="1038">
      <x:c r="P1038" t="str">
        <x:v>12|Plante|Peu commune</x:v>
      </x:c>
      <x:c r="Q1038" t="n">
        <x:v>12000</x:v>
      </x:c>
      <x:c r="R1038" t="str">
        <x:v>8d20</x:v>
      </x:c>
      <x:c r="S1038" t="str">
        <x:v>PA</x:v>
      </x:c>
      <x:c r="T1038" t="n">
        <x:v>0</x:v>
      </x:c>
      <x:c r="U1038" t="n">
        <x:v>0</x:v>
      </x:c>
      <x:c r="V1038" t="n">
        <x:v>36</x:v>
      </x:c>
      <x:c r="W1038" t="n">
        <x:v>0</x:v>
      </x:c>
      <x:c r="X1038" t="str">
        <x:v>VALUE: [[8d20]] PA 36 PA</x:v>
      </x:c>
    </x:row>
    <x:row r="1039">
      <x:c r="P1039" t="str">
        <x:v>12|Plante|Rare</x:v>
      </x:c>
      <x:c r="Q1039" t="n">
        <x:v>20000</x:v>
      </x:c>
      <x:c r="R1039" t="str">
        <x:v>10d20</x:v>
      </x:c>
      <x:c r="S1039" t="str">
        <x:v>PA</x:v>
      </x:c>
      <x:c r="T1039" t="n">
        <x:v>0</x:v>
      </x:c>
      <x:c r="U1039" t="n">
        <x:v>0</x:v>
      </x:c>
      <x:c r="V1039" t="n">
        <x:v>95</x:v>
      </x:c>
      <x:c r="W1039" t="n">
        <x:v>0</x:v>
      </x:c>
      <x:c r="X1039" t="str">
        <x:v>VALUE: [[10d20]] PA 95 PA</x:v>
      </x:c>
    </x:row>
    <x:row r="1040">
      <x:c r="P1040" t="str">
        <x:v>12|Plante|Précieuse</x:v>
      </x:c>
      <x:c r="Q1040" t="n">
        <x:v>32000</x:v>
      </x:c>
      <x:c r="R1040" t="str">
        <x:v>1d4</x:v>
      </x:c>
      <x:c r="S1040" t="str">
        <x:v>PO</x:v>
      </x:c>
      <x:c r="T1040" t="n">
        <x:v>0</x:v>
      </x:c>
      <x:c r="U1040" t="n">
        <x:v>0</x:v>
      </x:c>
      <x:c r="V1040" t="n">
        <x:v>70</x:v>
      </x:c>
      <x:c r="W1040" t="n">
        <x:v>0</x:v>
      </x:c>
      <x:c r="X1040" t="str">
        <x:v>VALUE: [[1d4]] PO 70 PA</x:v>
      </x:c>
    </x:row>
    <x:row r="1041">
      <x:c r="P1041" t="str">
        <x:v>12|Plante|Exceptionnelle</x:v>
      </x:c>
      <x:c r="Q1041" t="n">
        <x:v>56000</x:v>
      </x:c>
      <x:c r="R1041" t="str">
        <x:v>1d6</x:v>
      </x:c>
      <x:c r="S1041" t="str">
        <x:v>PO</x:v>
      </x:c>
      <x:c r="T1041" t="n">
        <x:v>0</x:v>
      </x:c>
      <x:c r="U1041" t="n">
        <x:v>2</x:v>
      </x:c>
      <x:c r="V1041" t="n">
        <x:v>10</x:v>
      </x:c>
      <x:c r="W1041" t="n">
        <x:v>0</x:v>
      </x:c>
      <x:c r="X1041" t="str">
        <x:v>VALUE: [[1d6]] PO 2 PO 10 PA</x:v>
      </x:c>
    </x:row>
    <x:row r="1042">
      <x:c r="P1042" t="str">
        <x:v>12|Humanoïde|Commune</x:v>
      </x:c>
      <x:c r="Q1042" t="n">
        <x:v>10000</x:v>
      </x:c>
      <x:c r="R1042" t="str">
        <x:v>7d20</x:v>
      </x:c>
      <x:c r="S1042" t="str">
        <x:v>PA</x:v>
      </x:c>
      <x:c r="T1042" t="n">
        <x:v>0</x:v>
      </x:c>
      <x:c r="U1042" t="n">
        <x:v>0</x:v>
      </x:c>
      <x:c r="V1042" t="n">
        <x:v>26</x:v>
      </x:c>
      <x:c r="W1042" t="n">
        <x:v>50</x:v>
      </x:c>
      <x:c r="X1042" t="str">
        <x:v>VALUE: [[7d20]] PA 26 PA 50 PC</x:v>
      </x:c>
    </x:row>
    <x:row r="1043">
      <x:c r="P1043" t="str">
        <x:v>12|Humanoïde|Peu commune</x:v>
      </x:c>
      <x:c r="Q1043" t="n">
        <x:v>15000</x:v>
      </x:c>
      <x:c r="R1043" t="str">
        <x:v>10d20</x:v>
      </x:c>
      <x:c r="S1043" t="str">
        <x:v>PA</x:v>
      </x:c>
      <x:c r="T1043" t="n">
        <x:v>0</x:v>
      </x:c>
      <x:c r="U1043" t="n">
        <x:v>0</x:v>
      </x:c>
      <x:c r="V1043" t="n">
        <x:v>45</x:v>
      </x:c>
      <x:c r="W1043" t="n">
        <x:v>0</x:v>
      </x:c>
      <x:c r="X1043" t="str">
        <x:v>VALUE: [[10d20]] PA 45 PA</x:v>
      </x:c>
    </x:row>
    <x:row r="1044">
      <x:c r="P1044" t="str">
        <x:v>12|Humanoïde|Rare</x:v>
      </x:c>
      <x:c r="Q1044" t="n">
        <x:v>25000</x:v>
      </x:c>
      <x:c r="R1044" t="str">
        <x:v>10d20</x:v>
      </x:c>
      <x:c r="S1044" t="str">
        <x:v>PA</x:v>
      </x:c>
      <x:c r="T1044" t="n">
        <x:v>0</x:v>
      </x:c>
      <x:c r="U1044" t="n">
        <x:v>1</x:v>
      </x:c>
      <x:c r="V1044" t="n">
        <x:v>45</x:v>
      </x:c>
      <x:c r="W1044" t="n">
        <x:v>0</x:v>
      </x:c>
      <x:c r="X1044" t="str">
        <x:v>VALUE: [[10d20]] PA 1 PO 45 PA</x:v>
      </x:c>
    </x:row>
    <x:row r="1045">
      <x:c r="P1045" t="str">
        <x:v>12|Humanoïde|Précieuse</x:v>
      </x:c>
      <x:c r="Q1045" t="n">
        <x:v>40000</x:v>
      </x:c>
      <x:c r="R1045" t="str">
        <x:v>1d4</x:v>
      </x:c>
      <x:c r="S1045" t="str">
        <x:v>PO</x:v>
      </x:c>
      <x:c r="T1045" t="n">
        <x:v>0</x:v>
      </x:c>
      <x:c r="U1045" t="n">
        <x:v>1</x:v>
      </x:c>
      <x:c r="V1045" t="n">
        <x:v>50</x:v>
      </x:c>
      <x:c r="W1045" t="n">
        <x:v>0</x:v>
      </x:c>
      <x:c r="X1045" t="str">
        <x:v>VALUE: [[1d4]] PO 1 PO 50 PA</x:v>
      </x:c>
    </x:row>
    <x:row r="1046">
      <x:c r="P1046" t="str">
        <x:v>12|Humanoïde|Exceptionnelle</x:v>
      </x:c>
      <x:c r="Q1046" t="n">
        <x:v>70000</x:v>
      </x:c>
      <x:c r="R1046" t="str">
        <x:v>2d4</x:v>
      </x:c>
      <x:c r="S1046" t="str">
        <x:v>PO</x:v>
      </x:c>
      <x:c r="T1046" t="n">
        <x:v>0</x:v>
      </x:c>
      <x:c r="U1046" t="n">
        <x:v>2</x:v>
      </x:c>
      <x:c r="V1046" t="n">
        <x:v>0</x:v>
      </x:c>
      <x:c r="W1046" t="n">
        <x:v>0</x:v>
      </x:c>
      <x:c r="X1046" t="str">
        <x:v>VALUE: [[2d4]] PO 2 PO</x:v>
      </x:c>
    </x:row>
    <x:row r="1047">
      <x:c r="P1047" t="str">
        <x:v>12|Mort-vivant|Commune</x:v>
      </x:c>
      <x:c r="Q1047" t="n">
        <x:v>10000</x:v>
      </x:c>
      <x:c r="R1047" t="str">
        <x:v>7d20</x:v>
      </x:c>
      <x:c r="S1047" t="str">
        <x:v>PA</x:v>
      </x:c>
      <x:c r="T1047" t="n">
        <x:v>0</x:v>
      </x:c>
      <x:c r="U1047" t="n">
        <x:v>0</x:v>
      </x:c>
      <x:c r="V1047" t="n">
        <x:v>26</x:v>
      </x:c>
      <x:c r="W1047" t="n">
        <x:v>50</x:v>
      </x:c>
      <x:c r="X1047" t="str">
        <x:v>VALUE: [[7d20]] PA 26 PA 50 PC</x:v>
      </x:c>
    </x:row>
    <x:row r="1048">
      <x:c r="P1048" t="str">
        <x:v>12|Mort-vivant|Peu commune</x:v>
      </x:c>
      <x:c r="Q1048" t="n">
        <x:v>15000</x:v>
      </x:c>
      <x:c r="R1048" t="str">
        <x:v>10d20</x:v>
      </x:c>
      <x:c r="S1048" t="str">
        <x:v>PA</x:v>
      </x:c>
      <x:c r="T1048" t="n">
        <x:v>0</x:v>
      </x:c>
      <x:c r="U1048" t="n">
        <x:v>0</x:v>
      </x:c>
      <x:c r="V1048" t="n">
        <x:v>45</x:v>
      </x:c>
      <x:c r="W1048" t="n">
        <x:v>0</x:v>
      </x:c>
      <x:c r="X1048" t="str">
        <x:v>VALUE: [[10d20]] PA 45 PA</x:v>
      </x:c>
    </x:row>
    <x:row r="1049">
      <x:c r="P1049" t="str">
        <x:v>12|Mort-vivant|Rare</x:v>
      </x:c>
      <x:c r="Q1049" t="n">
        <x:v>25000</x:v>
      </x:c>
      <x:c r="R1049" t="str">
        <x:v>10d20</x:v>
      </x:c>
      <x:c r="S1049" t="str">
        <x:v>PA</x:v>
      </x:c>
      <x:c r="T1049" t="n">
        <x:v>0</x:v>
      </x:c>
      <x:c r="U1049" t="n">
        <x:v>1</x:v>
      </x:c>
      <x:c r="V1049" t="n">
        <x:v>45</x:v>
      </x:c>
      <x:c r="W1049" t="n">
        <x:v>0</x:v>
      </x:c>
      <x:c r="X1049" t="str">
        <x:v>VALUE: [[10d20]] PA 1 PO 45 PA</x:v>
      </x:c>
    </x:row>
    <x:row r="1050">
      <x:c r="P1050" t="str">
        <x:v>12|Mort-vivant|Précieuse</x:v>
      </x:c>
      <x:c r="Q1050" t="n">
        <x:v>40000</x:v>
      </x:c>
      <x:c r="R1050" t="str">
        <x:v>1d4</x:v>
      </x:c>
      <x:c r="S1050" t="str">
        <x:v>PO</x:v>
      </x:c>
      <x:c r="T1050" t="n">
        <x:v>0</x:v>
      </x:c>
      <x:c r="U1050" t="n">
        <x:v>1</x:v>
      </x:c>
      <x:c r="V1050" t="n">
        <x:v>50</x:v>
      </x:c>
      <x:c r="W1050" t="n">
        <x:v>0</x:v>
      </x:c>
      <x:c r="X1050" t="str">
        <x:v>VALUE: [[1d4]] PO 1 PO 50 PA</x:v>
      </x:c>
    </x:row>
    <x:row r="1051">
      <x:c r="P1051" t="str">
        <x:v>12|Mort-vivant|Exceptionnelle</x:v>
      </x:c>
      <x:c r="Q1051" t="n">
        <x:v>70000</x:v>
      </x:c>
      <x:c r="R1051" t="str">
        <x:v>2d4</x:v>
      </x:c>
      <x:c r="S1051" t="str">
        <x:v>PO</x:v>
      </x:c>
      <x:c r="T1051" t="n">
        <x:v>0</x:v>
      </x:c>
      <x:c r="U1051" t="n">
        <x:v>2</x:v>
      </x:c>
      <x:c r="V1051" t="n">
        <x:v>0</x:v>
      </x:c>
      <x:c r="W1051" t="n">
        <x:v>0</x:v>
      </x:c>
      <x:c r="X1051" t="str">
        <x:v>VALUE: [[2d4]] PO 2 PO</x:v>
      </x:c>
    </x:row>
    <x:row r="1052">
      <x:c r="P1052" t="str">
        <x:v>12|Monstre|Commune</x:v>
      </x:c>
      <x:c r="Q1052" t="n">
        <x:v>10000</x:v>
      </x:c>
      <x:c r="R1052" t="str">
        <x:v>7d20</x:v>
      </x:c>
      <x:c r="S1052" t="str">
        <x:v>PA</x:v>
      </x:c>
      <x:c r="T1052" t="n">
        <x:v>0</x:v>
      </x:c>
      <x:c r="U1052" t="n">
        <x:v>0</x:v>
      </x:c>
      <x:c r="V1052" t="n">
        <x:v>26</x:v>
      </x:c>
      <x:c r="W1052" t="n">
        <x:v>50</x:v>
      </x:c>
      <x:c r="X1052" t="str">
        <x:v>VALUE: [[7d20]] PA 26 PA 50 PC</x:v>
      </x:c>
    </x:row>
    <x:row r="1053">
      <x:c r="P1053" t="str">
        <x:v>12|Monstre|Peu commune</x:v>
      </x:c>
      <x:c r="Q1053" t="n">
        <x:v>15000</x:v>
      </x:c>
      <x:c r="R1053" t="str">
        <x:v>10d20</x:v>
      </x:c>
      <x:c r="S1053" t="str">
        <x:v>PA</x:v>
      </x:c>
      <x:c r="T1053" t="n">
        <x:v>0</x:v>
      </x:c>
      <x:c r="U1053" t="n">
        <x:v>0</x:v>
      </x:c>
      <x:c r="V1053" t="n">
        <x:v>45</x:v>
      </x:c>
      <x:c r="W1053" t="n">
        <x:v>0</x:v>
      </x:c>
      <x:c r="X1053" t="str">
        <x:v>VALUE: [[10d20]] PA 45 PA</x:v>
      </x:c>
    </x:row>
    <x:row r="1054">
      <x:c r="P1054" t="str">
        <x:v>12|Monstre|Rare</x:v>
      </x:c>
      <x:c r="Q1054" t="n">
        <x:v>25000</x:v>
      </x:c>
      <x:c r="R1054" t="str">
        <x:v>10d20</x:v>
      </x:c>
      <x:c r="S1054" t="str">
        <x:v>PA</x:v>
      </x:c>
      <x:c r="T1054" t="n">
        <x:v>0</x:v>
      </x:c>
      <x:c r="U1054" t="n">
        <x:v>1</x:v>
      </x:c>
      <x:c r="V1054" t="n">
        <x:v>45</x:v>
      </x:c>
      <x:c r="W1054" t="n">
        <x:v>0</x:v>
      </x:c>
      <x:c r="X1054" t="str">
        <x:v>VALUE: [[10d20]] PA 1 PO 45 PA</x:v>
      </x:c>
    </x:row>
    <x:row r="1055">
      <x:c r="P1055" t="str">
        <x:v>12|Monstre|Précieuse</x:v>
      </x:c>
      <x:c r="Q1055" t="n">
        <x:v>40000</x:v>
      </x:c>
      <x:c r="R1055" t="str">
        <x:v>1d4</x:v>
      </x:c>
      <x:c r="S1055" t="str">
        <x:v>PO</x:v>
      </x:c>
      <x:c r="T1055" t="n">
        <x:v>0</x:v>
      </x:c>
      <x:c r="U1055" t="n">
        <x:v>1</x:v>
      </x:c>
      <x:c r="V1055" t="n">
        <x:v>50</x:v>
      </x:c>
      <x:c r="W1055" t="n">
        <x:v>0</x:v>
      </x:c>
      <x:c r="X1055" t="str">
        <x:v>VALUE: [[1d4]] PO 1 PO 50 PA</x:v>
      </x:c>
    </x:row>
    <x:row r="1056">
      <x:c r="P1056" t="str">
        <x:v>12|Monstre|Exceptionnelle</x:v>
      </x:c>
      <x:c r="Q1056" t="n">
        <x:v>70000</x:v>
      </x:c>
      <x:c r="R1056" t="str">
        <x:v>2d4</x:v>
      </x:c>
      <x:c r="S1056" t="str">
        <x:v>PO</x:v>
      </x:c>
      <x:c r="T1056" t="n">
        <x:v>0</x:v>
      </x:c>
      <x:c r="U1056" t="n">
        <x:v>2</x:v>
      </x:c>
      <x:c r="V1056" t="n">
        <x:v>0</x:v>
      </x:c>
      <x:c r="W1056" t="n">
        <x:v>0</x:v>
      </x:c>
      <x:c r="X1056" t="str">
        <x:v>VALUE: [[2d4]] PO 2 PO</x:v>
      </x:c>
    </x:row>
    <x:row r="1057">
      <x:c r="P1057" t="str">
        <x:v>12|Vase|Commune</x:v>
      </x:c>
      <x:c r="Q1057" t="n">
        <x:v>10000</x:v>
      </x:c>
      <x:c r="R1057" t="str">
        <x:v>7d20</x:v>
      </x:c>
      <x:c r="S1057" t="str">
        <x:v>PA</x:v>
      </x:c>
      <x:c r="T1057" t="n">
        <x:v>0</x:v>
      </x:c>
      <x:c r="U1057" t="n">
        <x:v>0</x:v>
      </x:c>
      <x:c r="V1057" t="n">
        <x:v>26</x:v>
      </x:c>
      <x:c r="W1057" t="n">
        <x:v>50</x:v>
      </x:c>
      <x:c r="X1057" t="str">
        <x:v>VALUE: [[7d20]] PA 26 PA 50 PC</x:v>
      </x:c>
    </x:row>
    <x:row r="1058">
      <x:c r="P1058" t="str">
        <x:v>12|Vase|Peu commune</x:v>
      </x:c>
      <x:c r="Q1058" t="n">
        <x:v>15000</x:v>
      </x:c>
      <x:c r="R1058" t="str">
        <x:v>10d20</x:v>
      </x:c>
      <x:c r="S1058" t="str">
        <x:v>PA</x:v>
      </x:c>
      <x:c r="T1058" t="n">
        <x:v>0</x:v>
      </x:c>
      <x:c r="U1058" t="n">
        <x:v>0</x:v>
      </x:c>
      <x:c r="V1058" t="n">
        <x:v>45</x:v>
      </x:c>
      <x:c r="W1058" t="n">
        <x:v>0</x:v>
      </x:c>
      <x:c r="X1058" t="str">
        <x:v>VALUE: [[10d20]] PA 45 PA</x:v>
      </x:c>
    </x:row>
    <x:row r="1059">
      <x:c r="P1059" t="str">
        <x:v>12|Vase|Rare</x:v>
      </x:c>
      <x:c r="Q1059" t="n">
        <x:v>25000</x:v>
      </x:c>
      <x:c r="R1059" t="str">
        <x:v>10d20</x:v>
      </x:c>
      <x:c r="S1059" t="str">
        <x:v>PA</x:v>
      </x:c>
      <x:c r="T1059" t="n">
        <x:v>0</x:v>
      </x:c>
      <x:c r="U1059" t="n">
        <x:v>1</x:v>
      </x:c>
      <x:c r="V1059" t="n">
        <x:v>45</x:v>
      </x:c>
      <x:c r="W1059" t="n">
        <x:v>0</x:v>
      </x:c>
      <x:c r="X1059" t="str">
        <x:v>VALUE: [[10d20]] PA 1 PO 45 PA</x:v>
      </x:c>
    </x:row>
    <x:row r="1060">
      <x:c r="P1060" t="str">
        <x:v>12|Vase|Précieuse</x:v>
      </x:c>
      <x:c r="Q1060" t="n">
        <x:v>40000</x:v>
      </x:c>
      <x:c r="R1060" t="str">
        <x:v>1d4</x:v>
      </x:c>
      <x:c r="S1060" t="str">
        <x:v>PO</x:v>
      </x:c>
      <x:c r="T1060" t="n">
        <x:v>0</x:v>
      </x:c>
      <x:c r="U1060" t="n">
        <x:v>1</x:v>
      </x:c>
      <x:c r="V1060" t="n">
        <x:v>50</x:v>
      </x:c>
      <x:c r="W1060" t="n">
        <x:v>0</x:v>
      </x:c>
      <x:c r="X1060" t="str">
        <x:v>VALUE: [[1d4]] PO 1 PO 50 PA</x:v>
      </x:c>
    </x:row>
    <x:row r="1061">
      <x:c r="P1061" t="str">
        <x:v>12|Vase|Exceptionnelle</x:v>
      </x:c>
      <x:c r="Q1061" t="n">
        <x:v>70000</x:v>
      </x:c>
      <x:c r="R1061" t="str">
        <x:v>2d4</x:v>
      </x:c>
      <x:c r="S1061" t="str">
        <x:v>PO</x:v>
      </x:c>
      <x:c r="T1061" t="n">
        <x:v>0</x:v>
      </x:c>
      <x:c r="U1061" t="n">
        <x:v>2</x:v>
      </x:c>
      <x:c r="V1061" t="n">
        <x:v>0</x:v>
      </x:c>
      <x:c r="W1061" t="n">
        <x:v>0</x:v>
      </x:c>
      <x:c r="X1061" t="str">
        <x:v>VALUE: [[2d4]] PO 2 PO</x:v>
      </x:c>
    </x:row>
    <x:row r="1062">
      <x:c r="P1062" t="str">
        <x:v>12|Géant|Commune</x:v>
      </x:c>
      <x:c r="Q1062" t="n">
        <x:v>12000</x:v>
      </x:c>
      <x:c r="R1062" t="str">
        <x:v>8d20</x:v>
      </x:c>
      <x:c r="S1062" t="str">
        <x:v>PA</x:v>
      </x:c>
      <x:c r="T1062" t="n">
        <x:v>0</x:v>
      </x:c>
      <x:c r="U1062" t="n">
        <x:v>0</x:v>
      </x:c>
      <x:c r="V1062" t="n">
        <x:v>36</x:v>
      </x:c>
      <x:c r="W1062" t="n">
        <x:v>0</x:v>
      </x:c>
      <x:c r="X1062" t="str">
        <x:v>VALUE: [[8d20]] PA 36 PA</x:v>
      </x:c>
    </x:row>
    <x:row r="1063">
      <x:c r="P1063" t="str">
        <x:v>12|Géant|Peu commune</x:v>
      </x:c>
      <x:c r="Q1063" t="n">
        <x:v>18000</x:v>
      </x:c>
      <x:c r="R1063" t="str">
        <x:v>10d20</x:v>
      </x:c>
      <x:c r="S1063" t="str">
        <x:v>PA</x:v>
      </x:c>
      <x:c r="T1063" t="n">
        <x:v>0</x:v>
      </x:c>
      <x:c r="U1063" t="n">
        <x:v>0</x:v>
      </x:c>
      <x:c r="V1063" t="n">
        <x:v>75</x:v>
      </x:c>
      <x:c r="W1063" t="n">
        <x:v>0</x:v>
      </x:c>
      <x:c r="X1063" t="str">
        <x:v>VALUE: [[10d20]] PA 75 PA</x:v>
      </x:c>
    </x:row>
    <x:row r="1064">
      <x:c r="P1064" t="str">
        <x:v>12|Géant|Rare</x:v>
      </x:c>
      <x:c r="Q1064" t="n">
        <x:v>30000</x:v>
      </x:c>
      <x:c r="R1064" t="str">
        <x:v>1d4</x:v>
      </x:c>
      <x:c r="S1064" t="str">
        <x:v>PO</x:v>
      </x:c>
      <x:c r="T1064" t="n">
        <x:v>0</x:v>
      </x:c>
      <x:c r="U1064" t="n">
        <x:v>0</x:v>
      </x:c>
      <x:c r="V1064" t="n">
        <x:v>50</x:v>
      </x:c>
      <x:c r="W1064" t="n">
        <x:v>0</x:v>
      </x:c>
      <x:c r="X1064" t="str">
        <x:v>VALUE: [[1d4]] PO 50 PA</x:v>
      </x:c>
    </x:row>
    <x:row r="1065">
      <x:c r="P1065" t="str">
        <x:v>12|Géant|Précieuse</x:v>
      </x:c>
      <x:c r="Q1065" t="n">
        <x:v>48000</x:v>
      </x:c>
      <x:c r="R1065" t="str">
        <x:v>1d6</x:v>
      </x:c>
      <x:c r="S1065" t="str">
        <x:v>PO</x:v>
      </x:c>
      <x:c r="T1065" t="n">
        <x:v>0</x:v>
      </x:c>
      <x:c r="U1065" t="n">
        <x:v>1</x:v>
      </x:c>
      <x:c r="V1065" t="n">
        <x:v>30</x:v>
      </x:c>
      <x:c r="W1065" t="n">
        <x:v>0</x:v>
      </x:c>
      <x:c r="X1065" t="str">
        <x:v>VALUE: [[1d6]] PO 1 PO 30 PA</x:v>
      </x:c>
    </x:row>
    <x:row r="1066">
      <x:c r="P1066" t="str">
        <x:v>12|Géant|Exceptionnelle</x:v>
      </x:c>
      <x:c r="Q1066" t="n">
        <x:v>84000</x:v>
      </x:c>
      <x:c r="R1066" t="str">
        <x:v>1d10</x:v>
      </x:c>
      <x:c r="S1066" t="str">
        <x:v>PO</x:v>
      </x:c>
      <x:c r="T1066" t="n">
        <x:v>0</x:v>
      </x:c>
      <x:c r="U1066" t="n">
        <x:v>2</x:v>
      </x:c>
      <x:c r="V1066" t="n">
        <x:v>90</x:v>
      </x:c>
      <x:c r="W1066" t="n">
        <x:v>0</x:v>
      </x:c>
      <x:c r="X1066" t="str">
        <x:v>VALUE: [[1d10]] PO 2 PO 90 PA</x:v>
      </x:c>
    </x:row>
    <x:row r="1067">
      <x:c r="P1067" t="str">
        <x:v>12|Aberration|Commune</x:v>
      </x:c>
      <x:c r="Q1067" t="n">
        <x:v>15000</x:v>
      </x:c>
      <x:c r="R1067" t="str">
        <x:v>10d20</x:v>
      </x:c>
      <x:c r="S1067" t="str">
        <x:v>PA</x:v>
      </x:c>
      <x:c r="T1067" t="n">
        <x:v>0</x:v>
      </x:c>
      <x:c r="U1067" t="n">
        <x:v>0</x:v>
      </x:c>
      <x:c r="V1067" t="n">
        <x:v>45</x:v>
      </x:c>
      <x:c r="W1067" t="n">
        <x:v>0</x:v>
      </x:c>
      <x:c r="X1067" t="str">
        <x:v>VALUE: [[10d20]] PA 45 PA</x:v>
      </x:c>
    </x:row>
    <x:row r="1068">
      <x:c r="P1068" t="str">
        <x:v>12|Aberration|Peu commune</x:v>
      </x:c>
      <x:c r="Q1068" t="n">
        <x:v>22500</x:v>
      </x:c>
      <x:c r="R1068" t="str">
        <x:v>10d20</x:v>
      </x:c>
      <x:c r="S1068" t="str">
        <x:v>PA</x:v>
      </x:c>
      <x:c r="T1068" t="n">
        <x:v>0</x:v>
      </x:c>
      <x:c r="U1068" t="n">
        <x:v>1</x:v>
      </x:c>
      <x:c r="V1068" t="n">
        <x:v>20</x:v>
      </x:c>
      <x:c r="W1068" t="n">
        <x:v>0</x:v>
      </x:c>
      <x:c r="X1068" t="str">
        <x:v>VALUE: [[10d20]] PA 1 PO 20 PA</x:v>
      </x:c>
    </x:row>
    <x:row r="1069">
      <x:c r="P1069" t="str">
        <x:v>12|Aberration|Rare</x:v>
      </x:c>
      <x:c r="Q1069" t="n">
        <x:v>37500</x:v>
      </x:c>
      <x:c r="R1069" t="str">
        <x:v>1d4</x:v>
      </x:c>
      <x:c r="S1069" t="str">
        <x:v>PO</x:v>
      </x:c>
      <x:c r="T1069" t="n">
        <x:v>0</x:v>
      </x:c>
      <x:c r="U1069" t="n">
        <x:v>1</x:v>
      </x:c>
      <x:c r="V1069" t="n">
        <x:v>25</x:v>
      </x:c>
      <x:c r="W1069" t="n">
        <x:v>0</x:v>
      </x:c>
      <x:c r="X1069" t="str">
        <x:v>VALUE: [[1d4]] PO 1 PO 25 PA</x:v>
      </x:c>
    </x:row>
    <x:row r="1070">
      <x:c r="P1070" t="str">
        <x:v>12|Aberration|Précieuse</x:v>
      </x:c>
      <x:c r="Q1070" t="n">
        <x:v>60000</x:v>
      </x:c>
      <x:c r="R1070" t="str">
        <x:v>1d8</x:v>
      </x:c>
      <x:c r="S1070" t="str">
        <x:v>PO</x:v>
      </x:c>
      <x:c r="T1070" t="n">
        <x:v>0</x:v>
      </x:c>
      <x:c r="U1070" t="n">
        <x:v>1</x:v>
      </x:c>
      <x:c r="V1070" t="n">
        <x:v>50</x:v>
      </x:c>
      <x:c r="W1070" t="n">
        <x:v>0</x:v>
      </x:c>
      <x:c r="X1070" t="str">
        <x:v>VALUE: [[1d8]] PO 1 PO 50 PA</x:v>
      </x:c>
    </x:row>
    <x:row r="1071">
      <x:c r="P1071" t="str">
        <x:v>12|Aberration|Exceptionnelle</x:v>
      </x:c>
      <x:c r="Q1071" t="n">
        <x:v>105000</x:v>
      </x:c>
      <x:c r="R1071" t="str">
        <x:v>3d4</x:v>
      </x:c>
      <x:c r="S1071" t="str">
        <x:v>PO</x:v>
      </x:c>
      <x:c r="T1071" t="n">
        <x:v>0</x:v>
      </x:c>
      <x:c r="U1071" t="n">
        <x:v>3</x:v>
      </x:c>
      <x:c r="V1071" t="n">
        <x:v>0</x:v>
      </x:c>
      <x:c r="W1071" t="n">
        <x:v>0</x:v>
      </x:c>
      <x:c r="X1071" t="str">
        <x:v>VALUE: [[3d4]] PO 3 PO</x:v>
      </x:c>
    </x:row>
    <x:row r="1072">
      <x:c r="P1072" t="str">
        <x:v>12|Fée|Commune</x:v>
      </x:c>
      <x:c r="Q1072" t="n">
        <x:v>18000</x:v>
      </x:c>
      <x:c r="R1072" t="str">
        <x:v>10d20</x:v>
      </x:c>
      <x:c r="S1072" t="str">
        <x:v>PA</x:v>
      </x:c>
      <x:c r="T1072" t="n">
        <x:v>0</x:v>
      </x:c>
      <x:c r="U1072" t="n">
        <x:v>0</x:v>
      </x:c>
      <x:c r="V1072" t="n">
        <x:v>75</x:v>
      </x:c>
      <x:c r="W1072" t="n">
        <x:v>0</x:v>
      </x:c>
      <x:c r="X1072" t="str">
        <x:v>VALUE: [[10d20]] PA 75 PA</x:v>
      </x:c>
    </x:row>
    <x:row r="1073">
      <x:c r="P1073" t="str">
        <x:v>12|Fée|Peu commune</x:v>
      </x:c>
      <x:c r="Q1073" t="n">
        <x:v>27000</x:v>
      </x:c>
      <x:c r="R1073" t="str">
        <x:v>1d4</x:v>
      </x:c>
      <x:c r="S1073" t="str">
        <x:v>PO</x:v>
      </x:c>
      <x:c r="T1073" t="n">
        <x:v>0</x:v>
      </x:c>
      <x:c r="U1073" t="n">
        <x:v>0</x:v>
      </x:c>
      <x:c r="V1073" t="n">
        <x:v>20</x:v>
      </x:c>
      <x:c r="W1073" t="n">
        <x:v>0</x:v>
      </x:c>
      <x:c r="X1073" t="str">
        <x:v>VALUE: [[1d4]] PO 20 PA</x:v>
      </x:c>
    </x:row>
    <x:row r="1074">
      <x:c r="P1074" t="str">
        <x:v>12|Fée|Rare</x:v>
      </x:c>
      <x:c r="Q1074" t="n">
        <x:v>45000</x:v>
      </x:c>
      <x:c r="R1074" t="str">
        <x:v>1d6</x:v>
      </x:c>
      <x:c r="S1074" t="str">
        <x:v>PO</x:v>
      </x:c>
      <x:c r="T1074" t="n">
        <x:v>0</x:v>
      </x:c>
      <x:c r="U1074" t="n">
        <x:v>1</x:v>
      </x:c>
      <x:c r="V1074" t="n">
        <x:v>0</x:v>
      </x:c>
      <x:c r="W1074" t="n">
        <x:v>0</x:v>
      </x:c>
      <x:c r="X1074" t="str">
        <x:v>VALUE: [[1d6]] PO 1 PO</x:v>
      </x:c>
    </x:row>
    <x:row r="1075">
      <x:c r="P1075" t="str">
        <x:v>12|Fée|Précieuse</x:v>
      </x:c>
      <x:c r="Q1075" t="n">
        <x:v>72000</x:v>
      </x:c>
      <x:c r="R1075" t="str">
        <x:v>2d4</x:v>
      </x:c>
      <x:c r="S1075" t="str">
        <x:v>PO</x:v>
      </x:c>
      <x:c r="T1075" t="n">
        <x:v>0</x:v>
      </x:c>
      <x:c r="U1075" t="n">
        <x:v>2</x:v>
      </x:c>
      <x:c r="V1075" t="n">
        <x:v>20</x:v>
      </x:c>
      <x:c r="W1075" t="n">
        <x:v>0</x:v>
      </x:c>
      <x:c r="X1075" t="str">
        <x:v>VALUE: [[2d4]] PO 2 PO 20 PA</x:v>
      </x:c>
    </x:row>
    <x:row r="1076">
      <x:c r="P1076" t="str">
        <x:v>12|Fée|Exceptionnelle</x:v>
      </x:c>
      <x:c r="Q1076" t="n">
        <x:v>126000</x:v>
      </x:c>
      <x:c r="R1076" t="str">
        <x:v>2d8</x:v>
      </x:c>
      <x:c r="S1076" t="str">
        <x:v>PO</x:v>
      </x:c>
      <x:c r="T1076" t="n">
        <x:v>0</x:v>
      </x:c>
      <x:c r="U1076" t="n">
        <x:v>3</x:v>
      </x:c>
      <x:c r="V1076" t="n">
        <x:v>60</x:v>
      </x:c>
      <x:c r="W1076" t="n">
        <x:v>0</x:v>
      </x:c>
      <x:c r="X1076" t="str">
        <x:v>VALUE: [[2d8]] PO 3 PO 60 PA</x:v>
      </x:c>
    </x:row>
    <x:row r="1077">
      <x:c r="P1077" t="str">
        <x:v>12|Démon|Commune</x:v>
      </x:c>
      <x:c r="Q1077" t="n">
        <x:v>20000</x:v>
      </x:c>
      <x:c r="R1077" t="str">
        <x:v>10d20</x:v>
      </x:c>
      <x:c r="S1077" t="str">
        <x:v>PA</x:v>
      </x:c>
      <x:c r="T1077" t="n">
        <x:v>0</x:v>
      </x:c>
      <x:c r="U1077" t="n">
        <x:v>0</x:v>
      </x:c>
      <x:c r="V1077" t="n">
        <x:v>95</x:v>
      </x:c>
      <x:c r="W1077" t="n">
        <x:v>0</x:v>
      </x:c>
      <x:c r="X1077" t="str">
        <x:v>VALUE: [[10d20]] PA 95 PA</x:v>
      </x:c>
    </x:row>
    <x:row r="1078">
      <x:c r="P1078" t="str">
        <x:v>12|Démon|Peu commune</x:v>
      </x:c>
      <x:c r="Q1078" t="n">
        <x:v>30000</x:v>
      </x:c>
      <x:c r="R1078" t="str">
        <x:v>1d4</x:v>
      </x:c>
      <x:c r="S1078" t="str">
        <x:v>PO</x:v>
      </x:c>
      <x:c r="T1078" t="n">
        <x:v>0</x:v>
      </x:c>
      <x:c r="U1078" t="n">
        <x:v>0</x:v>
      </x:c>
      <x:c r="V1078" t="n">
        <x:v>50</x:v>
      </x:c>
      <x:c r="W1078" t="n">
        <x:v>0</x:v>
      </x:c>
      <x:c r="X1078" t="str">
        <x:v>VALUE: [[1d4]] PO 50 PA</x:v>
      </x:c>
    </x:row>
    <x:row r="1079">
      <x:c r="P1079" t="str">
        <x:v>12|Démon|Rare</x:v>
      </x:c>
      <x:c r="Q1079" t="n">
        <x:v>50000</x:v>
      </x:c>
      <x:c r="R1079" t="str">
        <x:v>1d6</x:v>
      </x:c>
      <x:c r="S1079" t="str">
        <x:v>PO</x:v>
      </x:c>
      <x:c r="T1079" t="n">
        <x:v>0</x:v>
      </x:c>
      <x:c r="U1079" t="n">
        <x:v>1</x:v>
      </x:c>
      <x:c r="V1079" t="n">
        <x:v>50</x:v>
      </x:c>
      <x:c r="W1079" t="n">
        <x:v>0</x:v>
      </x:c>
      <x:c r="X1079" t="str">
        <x:v>VALUE: [[1d6]] PO 1 PO 50 PA</x:v>
      </x:c>
    </x:row>
    <x:row r="1080">
      <x:c r="P1080" t="str">
        <x:v>12|Démon|Précieuse</x:v>
      </x:c>
      <x:c r="Q1080" t="n">
        <x:v>80000</x:v>
      </x:c>
      <x:c r="R1080" t="str">
        <x:v>1d10</x:v>
      </x:c>
      <x:c r="S1080" t="str">
        <x:v>PO</x:v>
      </x:c>
      <x:c r="T1080" t="n">
        <x:v>0</x:v>
      </x:c>
      <x:c r="U1080" t="n">
        <x:v>2</x:v>
      </x:c>
      <x:c r="V1080" t="n">
        <x:v>50</x:v>
      </x:c>
      <x:c r="W1080" t="n">
        <x:v>0</x:v>
      </x:c>
      <x:c r="X1080" t="str">
        <x:v>VALUE: [[1d10]] PO 2 PO 50 PA</x:v>
      </x:c>
    </x:row>
    <x:row r="1081">
      <x:c r="P1081" t="str">
        <x:v>12|Démon|Exceptionnelle</x:v>
      </x:c>
      <x:c r="Q1081" t="n">
        <x:v>140000</x:v>
      </x:c>
      <x:c r="R1081" t="str">
        <x:v>4d4</x:v>
      </x:c>
      <x:c r="S1081" t="str">
        <x:v>PO</x:v>
      </x:c>
      <x:c r="T1081" t="n">
        <x:v>0</x:v>
      </x:c>
      <x:c r="U1081" t="n">
        <x:v>4</x:v>
      </x:c>
      <x:c r="V1081" t="n">
        <x:v>0</x:v>
      </x:c>
      <x:c r="W1081" t="n">
        <x:v>0</x:v>
      </x:c>
      <x:c r="X1081" t="str">
        <x:v>VALUE: [[4d4]] PO 4 PO</x:v>
      </x:c>
    </x:row>
    <x:row r="1082">
      <x:c r="P1082" t="str">
        <x:v>12|Artificiel|Commune</x:v>
      </x:c>
      <x:c r="Q1082" t="n">
        <x:v>20000</x:v>
      </x:c>
      <x:c r="R1082" t="str">
        <x:v>10d20</x:v>
      </x:c>
      <x:c r="S1082" t="str">
        <x:v>PA</x:v>
      </x:c>
      <x:c r="T1082" t="n">
        <x:v>0</x:v>
      </x:c>
      <x:c r="U1082" t="n">
        <x:v>0</x:v>
      </x:c>
      <x:c r="V1082" t="n">
        <x:v>95</x:v>
      </x:c>
      <x:c r="W1082" t="n">
        <x:v>0</x:v>
      </x:c>
      <x:c r="X1082" t="str">
        <x:v>VALUE: [[10d20]] PA 95 PA</x:v>
      </x:c>
    </x:row>
    <x:row r="1083">
      <x:c r="P1083" t="str">
        <x:v>12|Artificiel|Peu commune</x:v>
      </x:c>
      <x:c r="Q1083" t="n">
        <x:v>30000</x:v>
      </x:c>
      <x:c r="R1083" t="str">
        <x:v>1d4</x:v>
      </x:c>
      <x:c r="S1083" t="str">
        <x:v>PO</x:v>
      </x:c>
      <x:c r="T1083" t="n">
        <x:v>0</x:v>
      </x:c>
      <x:c r="U1083" t="n">
        <x:v>0</x:v>
      </x:c>
      <x:c r="V1083" t="n">
        <x:v>50</x:v>
      </x:c>
      <x:c r="W1083" t="n">
        <x:v>0</x:v>
      </x:c>
      <x:c r="X1083" t="str">
        <x:v>VALUE: [[1d4]] PO 50 PA</x:v>
      </x:c>
    </x:row>
    <x:row r="1084">
      <x:c r="P1084" t="str">
        <x:v>12|Artificiel|Rare</x:v>
      </x:c>
      <x:c r="Q1084" t="n">
        <x:v>50000</x:v>
      </x:c>
      <x:c r="R1084" t="str">
        <x:v>1d6</x:v>
      </x:c>
      <x:c r="S1084" t="str">
        <x:v>PO</x:v>
      </x:c>
      <x:c r="T1084" t="n">
        <x:v>0</x:v>
      </x:c>
      <x:c r="U1084" t="n">
        <x:v>1</x:v>
      </x:c>
      <x:c r="V1084" t="n">
        <x:v>50</x:v>
      </x:c>
      <x:c r="W1084" t="n">
        <x:v>0</x:v>
      </x:c>
      <x:c r="X1084" t="str">
        <x:v>VALUE: [[1d6]] PO 1 PO 50 PA</x:v>
      </x:c>
    </x:row>
    <x:row r="1085">
      <x:c r="P1085" t="str">
        <x:v>12|Artificiel|Précieuse</x:v>
      </x:c>
      <x:c r="Q1085" t="n">
        <x:v>80000</x:v>
      </x:c>
      <x:c r="R1085" t="str">
        <x:v>1d10</x:v>
      </x:c>
      <x:c r="S1085" t="str">
        <x:v>PO</x:v>
      </x:c>
      <x:c r="T1085" t="n">
        <x:v>0</x:v>
      </x:c>
      <x:c r="U1085" t="n">
        <x:v>2</x:v>
      </x:c>
      <x:c r="V1085" t="n">
        <x:v>50</x:v>
      </x:c>
      <x:c r="W1085" t="n">
        <x:v>0</x:v>
      </x:c>
      <x:c r="X1085" t="str">
        <x:v>VALUE: [[1d10]] PO 2 PO 50 PA</x:v>
      </x:c>
    </x:row>
    <x:row r="1086">
      <x:c r="P1086" t="str">
        <x:v>12|Artificiel|Exceptionnelle</x:v>
      </x:c>
      <x:c r="Q1086" t="n">
        <x:v>140000</x:v>
      </x:c>
      <x:c r="R1086" t="str">
        <x:v>4d4</x:v>
      </x:c>
      <x:c r="S1086" t="str">
        <x:v>PO</x:v>
      </x:c>
      <x:c r="T1086" t="n">
        <x:v>0</x:v>
      </x:c>
      <x:c r="U1086" t="n">
        <x:v>4</x:v>
      </x:c>
      <x:c r="V1086" t="n">
        <x:v>0</x:v>
      </x:c>
      <x:c r="W1086" t="n">
        <x:v>0</x:v>
      </x:c>
      <x:c r="X1086" t="str">
        <x:v>VALUE: [[4d4]] PO 4 PO</x:v>
      </x:c>
    </x:row>
    <x:row r="1087">
      <x:c r="P1087" t="str">
        <x:v>12|Élémentaire|Commune</x:v>
      </x:c>
      <x:c r="Q1087" t="n">
        <x:v>25000</x:v>
      </x:c>
      <x:c r="R1087" t="str">
        <x:v>10d20</x:v>
      </x:c>
      <x:c r="S1087" t="str">
        <x:v>PA</x:v>
      </x:c>
      <x:c r="T1087" t="n">
        <x:v>0</x:v>
      </x:c>
      <x:c r="U1087" t="n">
        <x:v>1</x:v>
      </x:c>
      <x:c r="V1087" t="n">
        <x:v>45</x:v>
      </x:c>
      <x:c r="W1087" t="n">
        <x:v>0</x:v>
      </x:c>
      <x:c r="X1087" t="str">
        <x:v>VALUE: [[10d20]] PA 1 PO 45 PA</x:v>
      </x:c>
    </x:row>
    <x:row r="1088">
      <x:c r="P1088" t="str">
        <x:v>12|Élémentaire|Peu commune</x:v>
      </x:c>
      <x:c r="Q1088" t="n">
        <x:v>37500</x:v>
      </x:c>
      <x:c r="R1088" t="str">
        <x:v>1d4</x:v>
      </x:c>
      <x:c r="S1088" t="str">
        <x:v>PO</x:v>
      </x:c>
      <x:c r="T1088" t="n">
        <x:v>0</x:v>
      </x:c>
      <x:c r="U1088" t="n">
        <x:v>1</x:v>
      </x:c>
      <x:c r="V1088" t="n">
        <x:v>25</x:v>
      </x:c>
      <x:c r="W1088" t="n">
        <x:v>0</x:v>
      </x:c>
      <x:c r="X1088" t="str">
        <x:v>VALUE: [[1d4]] PO 1 PO 25 PA</x:v>
      </x:c>
    </x:row>
    <x:row r="1089">
      <x:c r="P1089" t="str">
        <x:v>12|Élémentaire|Rare</x:v>
      </x:c>
      <x:c r="Q1089" t="n">
        <x:v>62500</x:v>
      </x:c>
      <x:c r="R1089" t="str">
        <x:v>1d8</x:v>
      </x:c>
      <x:c r="S1089" t="str">
        <x:v>PO</x:v>
      </x:c>
      <x:c r="T1089" t="n">
        <x:v>0</x:v>
      </x:c>
      <x:c r="U1089" t="n">
        <x:v>1</x:v>
      </x:c>
      <x:c r="V1089" t="n">
        <x:v>75</x:v>
      </x:c>
      <x:c r="W1089" t="n">
        <x:v>0</x:v>
      </x:c>
      <x:c r="X1089" t="str">
        <x:v>VALUE: [[1d8]] PO 1 PO 75 PA</x:v>
      </x:c>
    </x:row>
    <x:row r="1090">
      <x:c r="P1090" t="str">
        <x:v>12|Élémentaire|Précieuse</x:v>
      </x:c>
      <x:c r="Q1090" t="n">
        <x:v>100000</x:v>
      </x:c>
      <x:c r="R1090" t="str">
        <x:v>2d6</x:v>
      </x:c>
      <x:c r="S1090" t="str">
        <x:v>PO</x:v>
      </x:c>
      <x:c r="T1090" t="n">
        <x:v>0</x:v>
      </x:c>
      <x:c r="U1090" t="n">
        <x:v>3</x:v>
      </x:c>
      <x:c r="V1090" t="n">
        <x:v>0</x:v>
      </x:c>
      <x:c r="W1090" t="n">
        <x:v>0</x:v>
      </x:c>
      <x:c r="X1090" t="str">
        <x:v>VALUE: [[2d6]] PO 3 PO</x:v>
      </x:c>
    </x:row>
    <x:row r="1091">
      <x:c r="P1091" t="str">
        <x:v>12|Élémentaire|Exceptionnelle</x:v>
      </x:c>
      <x:c r="Q1091" t="n">
        <x:v>175000</x:v>
      </x:c>
      <x:c r="R1091" t="str">
        <x:v>5d4</x:v>
      </x:c>
      <x:c r="S1091" t="str">
        <x:v>PO</x:v>
      </x:c>
      <x:c r="T1091" t="n">
        <x:v>0</x:v>
      </x:c>
      <x:c r="U1091" t="n">
        <x:v>5</x:v>
      </x:c>
      <x:c r="V1091" t="n">
        <x:v>0</x:v>
      </x:c>
      <x:c r="W1091" t="n">
        <x:v>0</x:v>
      </x:c>
      <x:c r="X1091" t="str">
        <x:v>VALUE: [[5d4]] PO 5 PO</x:v>
      </x:c>
    </x:row>
    <x:row r="1092">
      <x:c r="P1092" t="str">
        <x:v>12|Esprit|Commune</x:v>
      </x:c>
      <x:c r="Q1092" t="n">
        <x:v>25000</x:v>
      </x:c>
      <x:c r="R1092" t="str">
        <x:v>10d20</x:v>
      </x:c>
      <x:c r="S1092" t="str">
        <x:v>PA</x:v>
      </x:c>
      <x:c r="T1092" t="n">
        <x:v>0</x:v>
      </x:c>
      <x:c r="U1092" t="n">
        <x:v>1</x:v>
      </x:c>
      <x:c r="V1092" t="n">
        <x:v>45</x:v>
      </x:c>
      <x:c r="W1092" t="n">
        <x:v>0</x:v>
      </x:c>
      <x:c r="X1092" t="str">
        <x:v>VALUE: [[10d20]] PA 1 PO 45 PA</x:v>
      </x:c>
    </x:row>
    <x:row r="1093">
      <x:c r="P1093" t="str">
        <x:v>12|Esprit|Peu commune</x:v>
      </x:c>
      <x:c r="Q1093" t="n">
        <x:v>37500</x:v>
      </x:c>
      <x:c r="R1093" t="str">
        <x:v>1d4</x:v>
      </x:c>
      <x:c r="S1093" t="str">
        <x:v>PO</x:v>
      </x:c>
      <x:c r="T1093" t="n">
        <x:v>0</x:v>
      </x:c>
      <x:c r="U1093" t="n">
        <x:v>1</x:v>
      </x:c>
      <x:c r="V1093" t="n">
        <x:v>25</x:v>
      </x:c>
      <x:c r="W1093" t="n">
        <x:v>0</x:v>
      </x:c>
      <x:c r="X1093" t="str">
        <x:v>VALUE: [[1d4]] PO 1 PO 25 PA</x:v>
      </x:c>
    </x:row>
    <x:row r="1094">
      <x:c r="P1094" t="str">
        <x:v>12|Esprit|Rare</x:v>
      </x:c>
      <x:c r="Q1094" t="n">
        <x:v>62500</x:v>
      </x:c>
      <x:c r="R1094" t="str">
        <x:v>1d8</x:v>
      </x:c>
      <x:c r="S1094" t="str">
        <x:v>PO</x:v>
      </x:c>
      <x:c r="T1094" t="n">
        <x:v>0</x:v>
      </x:c>
      <x:c r="U1094" t="n">
        <x:v>1</x:v>
      </x:c>
      <x:c r="V1094" t="n">
        <x:v>75</x:v>
      </x:c>
      <x:c r="W1094" t="n">
        <x:v>0</x:v>
      </x:c>
      <x:c r="X1094" t="str">
        <x:v>VALUE: [[1d8]] PO 1 PO 75 PA</x:v>
      </x:c>
    </x:row>
    <x:row r="1095">
      <x:c r="P1095" t="str">
        <x:v>12|Esprit|Précieuse</x:v>
      </x:c>
      <x:c r="Q1095" t="n">
        <x:v>100000</x:v>
      </x:c>
      <x:c r="R1095" t="str">
        <x:v>2d6</x:v>
      </x:c>
      <x:c r="S1095" t="str">
        <x:v>PO</x:v>
      </x:c>
      <x:c r="T1095" t="n">
        <x:v>0</x:v>
      </x:c>
      <x:c r="U1095" t="n">
        <x:v>3</x:v>
      </x:c>
      <x:c r="V1095" t="n">
        <x:v>0</x:v>
      </x:c>
      <x:c r="W1095" t="n">
        <x:v>0</x:v>
      </x:c>
      <x:c r="X1095" t="str">
        <x:v>VALUE: [[2d6]] PO 3 PO</x:v>
      </x:c>
    </x:row>
    <x:row r="1096">
      <x:c r="P1096" t="str">
        <x:v>12|Esprit|Exceptionnelle</x:v>
      </x:c>
      <x:c r="Q1096" t="n">
        <x:v>175000</x:v>
      </x:c>
      <x:c r="R1096" t="str">
        <x:v>5d4</x:v>
      </x:c>
      <x:c r="S1096" t="str">
        <x:v>PO</x:v>
      </x:c>
      <x:c r="T1096" t="n">
        <x:v>0</x:v>
      </x:c>
      <x:c r="U1096" t="n">
        <x:v>5</x:v>
      </x:c>
      <x:c r="V1096" t="n">
        <x:v>0</x:v>
      </x:c>
      <x:c r="W1096" t="n">
        <x:v>0</x:v>
      </x:c>
      <x:c r="X1096" t="str">
        <x:v>VALUE: [[5d4]] PO 5 PO</x:v>
      </x:c>
    </x:row>
    <x:row r="1097">
      <x:c r="P1097" t="str">
        <x:v>12|Céleste|Commune</x:v>
      </x:c>
      <x:c r="Q1097" t="n">
        <x:v>30000</x:v>
      </x:c>
      <x:c r="R1097" t="str">
        <x:v>1d4</x:v>
      </x:c>
      <x:c r="S1097" t="str">
        <x:v>PO</x:v>
      </x:c>
      <x:c r="T1097" t="n">
        <x:v>0</x:v>
      </x:c>
      <x:c r="U1097" t="n">
        <x:v>0</x:v>
      </x:c>
      <x:c r="V1097" t="n">
        <x:v>50</x:v>
      </x:c>
      <x:c r="W1097" t="n">
        <x:v>0</x:v>
      </x:c>
      <x:c r="X1097" t="str">
        <x:v>VALUE: [[1d4]] PO 50 PA</x:v>
      </x:c>
    </x:row>
    <x:row r="1098">
      <x:c r="P1098" t="str">
        <x:v>12|Céleste|Peu commune</x:v>
      </x:c>
      <x:c r="Q1098" t="n">
        <x:v>45000</x:v>
      </x:c>
      <x:c r="R1098" t="str">
        <x:v>1d6</x:v>
      </x:c>
      <x:c r="S1098" t="str">
        <x:v>PO</x:v>
      </x:c>
      <x:c r="T1098" t="n">
        <x:v>0</x:v>
      </x:c>
      <x:c r="U1098" t="n">
        <x:v>1</x:v>
      </x:c>
      <x:c r="V1098" t="n">
        <x:v>0</x:v>
      </x:c>
      <x:c r="W1098" t="n">
        <x:v>0</x:v>
      </x:c>
      <x:c r="X1098" t="str">
        <x:v>VALUE: [[1d6]] PO 1 PO</x:v>
      </x:c>
    </x:row>
    <x:row r="1099">
      <x:c r="P1099" t="str">
        <x:v>12|Céleste|Rare</x:v>
      </x:c>
      <x:c r="Q1099" t="n">
        <x:v>75000</x:v>
      </x:c>
      <x:c r="R1099" t="str">
        <x:v>1d10</x:v>
      </x:c>
      <x:c r="S1099" t="str">
        <x:v>PO</x:v>
      </x:c>
      <x:c r="T1099" t="n">
        <x:v>0</x:v>
      </x:c>
      <x:c r="U1099" t="n">
        <x:v>2</x:v>
      </x:c>
      <x:c r="V1099" t="n">
        <x:v>0</x:v>
      </x:c>
      <x:c r="W1099" t="n">
        <x:v>0</x:v>
      </x:c>
      <x:c r="X1099" t="str">
        <x:v>VALUE: [[1d10]] PO 2 PO</x:v>
      </x:c>
    </x:row>
    <x:row r="1100">
      <x:c r="P1100" t="str">
        <x:v>12|Céleste|Précieuse</x:v>
      </x:c>
      <x:c r="Q1100" t="n">
        <x:v>120000</x:v>
      </x:c>
      <x:c r="R1100" t="str">
        <x:v>2d8</x:v>
      </x:c>
      <x:c r="S1100" t="str">
        <x:v>PO</x:v>
      </x:c>
      <x:c r="T1100" t="n">
        <x:v>0</x:v>
      </x:c>
      <x:c r="U1100" t="n">
        <x:v>3</x:v>
      </x:c>
      <x:c r="V1100" t="n">
        <x:v>0</x:v>
      </x:c>
      <x:c r="W1100" t="n">
        <x:v>0</x:v>
      </x:c>
      <x:c r="X1100" t="str">
        <x:v>VALUE: [[2d8]] PO 3 PO</x:v>
      </x:c>
    </x:row>
    <x:row r="1101">
      <x:c r="P1101" t="str">
        <x:v>12|Céleste|Exceptionnelle</x:v>
      </x:c>
      <x:c r="Q1101" t="n">
        <x:v>210000</x:v>
      </x:c>
      <x:c r="R1101" t="str">
        <x:v>6d4</x:v>
      </x:c>
      <x:c r="S1101" t="str">
        <x:v>PO</x:v>
      </x:c>
      <x:c r="T1101" t="n">
        <x:v>0</x:v>
      </x:c>
      <x:c r="U1101" t="n">
        <x:v>6</x:v>
      </x:c>
      <x:c r="V1101" t="n">
        <x:v>0</x:v>
      </x:c>
      <x:c r="W1101" t="n">
        <x:v>0</x:v>
      </x:c>
      <x:c r="X1101" t="str">
        <x:v>VALUE: [[6d4]] PO 6 PO</x:v>
      </x:c>
    </x:row>
    <x:row r="1102">
      <x:c r="P1102" t="str">
        <x:v>12|Dragon|Commune</x:v>
      </x:c>
      <x:c r="Q1102" t="n">
        <x:v>50000</x:v>
      </x:c>
      <x:c r="R1102" t="str">
        <x:v>1d6</x:v>
      </x:c>
      <x:c r="S1102" t="str">
        <x:v>PO</x:v>
      </x:c>
      <x:c r="T1102" t="n">
        <x:v>0</x:v>
      </x:c>
      <x:c r="U1102" t="n">
        <x:v>1</x:v>
      </x:c>
      <x:c r="V1102" t="n">
        <x:v>50</x:v>
      </x:c>
      <x:c r="W1102" t="n">
        <x:v>0</x:v>
      </x:c>
      <x:c r="X1102" t="str">
        <x:v>VALUE: [[1d6]] PO 1 PO 50 PA</x:v>
      </x:c>
    </x:row>
    <x:row r="1103">
      <x:c r="P1103" t="str">
        <x:v>12|Dragon|Peu commune</x:v>
      </x:c>
      <x:c r="Q1103" t="n">
        <x:v>75000</x:v>
      </x:c>
      <x:c r="R1103" t="str">
        <x:v>1d10</x:v>
      </x:c>
      <x:c r="S1103" t="str">
        <x:v>PO</x:v>
      </x:c>
      <x:c r="T1103" t="n">
        <x:v>0</x:v>
      </x:c>
      <x:c r="U1103" t="n">
        <x:v>2</x:v>
      </x:c>
      <x:c r="V1103" t="n">
        <x:v>0</x:v>
      </x:c>
      <x:c r="W1103" t="n">
        <x:v>0</x:v>
      </x:c>
      <x:c r="X1103" t="str">
        <x:v>VALUE: [[1d10]] PO 2 PO</x:v>
      </x:c>
    </x:row>
    <x:row r="1104">
      <x:c r="P1104" t="str">
        <x:v>12|Dragon|Rare</x:v>
      </x:c>
      <x:c r="Q1104" t="n">
        <x:v>125000</x:v>
      </x:c>
      <x:c r="R1104" t="str">
        <x:v>2d8</x:v>
      </x:c>
      <x:c r="S1104" t="str">
        <x:v>PO</x:v>
      </x:c>
      <x:c r="T1104" t="n">
        <x:v>0</x:v>
      </x:c>
      <x:c r="U1104" t="n">
        <x:v>3</x:v>
      </x:c>
      <x:c r="V1104" t="n">
        <x:v>50</x:v>
      </x:c>
      <x:c r="W1104" t="n">
        <x:v>0</x:v>
      </x:c>
      <x:c r="X1104" t="str">
        <x:v>VALUE: [[2d8]] PO 3 PO 50 PA</x:v>
      </x:c>
    </x:row>
    <x:row r="1105">
      <x:c r="P1105" t="str">
        <x:v>12|Dragon|Précieuse</x:v>
      </x:c>
      <x:c r="Q1105" t="n">
        <x:v>200000</x:v>
      </x:c>
      <x:c r="R1105" t="str">
        <x:v>4d6</x:v>
      </x:c>
      <x:c r="S1105" t="str">
        <x:v>PO</x:v>
      </x:c>
      <x:c r="T1105" t="n">
        <x:v>0</x:v>
      </x:c>
      <x:c r="U1105" t="n">
        <x:v>6</x:v>
      </x:c>
      <x:c r="V1105" t="n">
        <x:v>0</x:v>
      </x:c>
      <x:c r="W1105" t="n">
        <x:v>0</x:v>
      </x:c>
      <x:c r="X1105" t="str">
        <x:v>VALUE: [[4d6]] PO 6 PO</x:v>
      </x:c>
    </x:row>
    <x:row r="1106">
      <x:c r="P1106" t="str">
        <x:v>12|Dragon|Exceptionnelle</x:v>
      </x:c>
      <x:c r="Q1106" t="n">
        <x:v>350000</x:v>
      </x:c>
      <x:c r="R1106" t="str">
        <x:v>7d6</x:v>
      </x:c>
      <x:c r="S1106" t="str">
        <x:v>PO</x:v>
      </x:c>
      <x:c r="T1106" t="n">
        <x:v>0</x:v>
      </x:c>
      <x:c r="U1106" t="n">
        <x:v>10</x:v>
      </x:c>
      <x:c r="V1106" t="n">
        <x:v>50</x:v>
      </x:c>
      <x:c r="W1106" t="n">
        <x:v>0</x:v>
      </x:c>
      <x:c r="X1106" t="str">
        <x:v>VALUE: [[7d6]] PO 10 PO 50 PA</x:v>
      </x:c>
    </x:row>
    <x:row r="1107">
      <x:c r="P1107" t="str">
        <x:v>13|Vermine|Commune</x:v>
      </x:c>
      <x:c r="Q1107" t="n">
        <x:v>7000</x:v>
      </x:c>
      <x:c r="R1107" t="str">
        <x:v>9d10</x:v>
      </x:c>
      <x:c r="S1107" t="str">
        <x:v>PA</x:v>
      </x:c>
      <x:c r="T1107" t="n">
        <x:v>0</x:v>
      </x:c>
      <x:c r="U1107" t="n">
        <x:v>0</x:v>
      </x:c>
      <x:c r="V1107" t="n">
        <x:v>20</x:v>
      </x:c>
      <x:c r="W1107" t="n">
        <x:v>50</x:v>
      </x:c>
      <x:c r="X1107" t="str">
        <x:v>VALUE: [[9d10]] PA 20 PA 50 PC</x:v>
      </x:c>
    </x:row>
    <x:row r="1108">
      <x:c r="P1108" t="str">
        <x:v>13|Vermine|Peu commune</x:v>
      </x:c>
      <x:c r="Q1108" t="n">
        <x:v>10500</x:v>
      </x:c>
      <x:c r="R1108" t="str">
        <x:v>7d20</x:v>
      </x:c>
      <x:c r="S1108" t="str">
        <x:v>PA</x:v>
      </x:c>
      <x:c r="T1108" t="n">
        <x:v>0</x:v>
      </x:c>
      <x:c r="U1108" t="n">
        <x:v>0</x:v>
      </x:c>
      <x:c r="V1108" t="n">
        <x:v>31</x:v>
      </x:c>
      <x:c r="W1108" t="n">
        <x:v>50</x:v>
      </x:c>
      <x:c r="X1108" t="str">
        <x:v>VALUE: [[7d20]] PA 31 PA 50 PC</x:v>
      </x:c>
    </x:row>
    <x:row r="1109">
      <x:c r="P1109" t="str">
        <x:v>13|Vermine|Rare</x:v>
      </x:c>
      <x:c r="Q1109" t="n">
        <x:v>17500</x:v>
      </x:c>
      <x:c r="R1109" t="str">
        <x:v>10d20</x:v>
      </x:c>
      <x:c r="S1109" t="str">
        <x:v>PA</x:v>
      </x:c>
      <x:c r="T1109" t="n">
        <x:v>0</x:v>
      </x:c>
      <x:c r="U1109" t="n">
        <x:v>0</x:v>
      </x:c>
      <x:c r="V1109" t="n">
        <x:v>70</x:v>
      </x:c>
      <x:c r="W1109" t="n">
        <x:v>0</x:v>
      </x:c>
      <x:c r="X1109" t="str">
        <x:v>VALUE: [[10d20]] PA 70 PA</x:v>
      </x:c>
    </x:row>
    <x:row r="1110">
      <x:c r="P1110" t="str">
        <x:v>13|Vermine|Précieuse</x:v>
      </x:c>
      <x:c r="Q1110" t="n">
        <x:v>28000</x:v>
      </x:c>
      <x:c r="R1110" t="str">
        <x:v>1d4</x:v>
      </x:c>
      <x:c r="S1110" t="str">
        <x:v>PO</x:v>
      </x:c>
      <x:c r="T1110" t="n">
        <x:v>0</x:v>
      </x:c>
      <x:c r="U1110" t="n">
        <x:v>0</x:v>
      </x:c>
      <x:c r="V1110" t="n">
        <x:v>30</x:v>
      </x:c>
      <x:c r="W1110" t="n">
        <x:v>0</x:v>
      </x:c>
      <x:c r="X1110" t="str">
        <x:v>VALUE: [[1d4]] PO 30 PA</x:v>
      </x:c>
    </x:row>
    <x:row r="1111">
      <x:c r="P1111" t="str">
        <x:v>13|Vermine|Exceptionnelle</x:v>
      </x:c>
      <x:c r="Q1111" t="n">
        <x:v>49000</x:v>
      </x:c>
      <x:c r="R1111" t="str">
        <x:v>1d6</x:v>
      </x:c>
      <x:c r="S1111" t="str">
        <x:v>PO</x:v>
      </x:c>
      <x:c r="T1111" t="n">
        <x:v>0</x:v>
      </x:c>
      <x:c r="U1111" t="n">
        <x:v>1</x:v>
      </x:c>
      <x:c r="V1111" t="n">
        <x:v>40</x:v>
      </x:c>
      <x:c r="W1111" t="n">
        <x:v>0</x:v>
      </x:c>
      <x:c r="X1111" t="str">
        <x:v>VALUE: [[1d6]] PO 1 PO 40 PA</x:v>
      </x:c>
    </x:row>
    <x:row r="1112">
      <x:c r="P1112" t="str">
        <x:v>13|Bête|Commune</x:v>
      </x:c>
      <x:c r="Q1112" t="n">
        <x:v>12000</x:v>
      </x:c>
      <x:c r="R1112" t="str">
        <x:v>8d20</x:v>
      </x:c>
      <x:c r="S1112" t="str">
        <x:v>PA</x:v>
      </x:c>
      <x:c r="T1112" t="n">
        <x:v>0</x:v>
      </x:c>
      <x:c r="U1112" t="n">
        <x:v>0</x:v>
      </x:c>
      <x:c r="V1112" t="n">
        <x:v>36</x:v>
      </x:c>
      <x:c r="W1112" t="n">
        <x:v>0</x:v>
      </x:c>
      <x:c r="X1112" t="str">
        <x:v>VALUE: [[8d20]] PA 36 PA</x:v>
      </x:c>
    </x:row>
    <x:row r="1113">
      <x:c r="P1113" t="str">
        <x:v>13|Bête|Peu commune</x:v>
      </x:c>
      <x:c r="Q1113" t="n">
        <x:v>18000</x:v>
      </x:c>
      <x:c r="R1113" t="str">
        <x:v>10d20</x:v>
      </x:c>
      <x:c r="S1113" t="str">
        <x:v>PA</x:v>
      </x:c>
      <x:c r="T1113" t="n">
        <x:v>0</x:v>
      </x:c>
      <x:c r="U1113" t="n">
        <x:v>0</x:v>
      </x:c>
      <x:c r="V1113" t="n">
        <x:v>75</x:v>
      </x:c>
      <x:c r="W1113" t="n">
        <x:v>0</x:v>
      </x:c>
      <x:c r="X1113" t="str">
        <x:v>VALUE: [[10d20]] PA 75 PA</x:v>
      </x:c>
    </x:row>
    <x:row r="1114">
      <x:c r="P1114" t="str">
        <x:v>13|Bête|Rare</x:v>
      </x:c>
      <x:c r="Q1114" t="n">
        <x:v>30000</x:v>
      </x:c>
      <x:c r="R1114" t="str">
        <x:v>1d4</x:v>
      </x:c>
      <x:c r="S1114" t="str">
        <x:v>PO</x:v>
      </x:c>
      <x:c r="T1114" t="n">
        <x:v>0</x:v>
      </x:c>
      <x:c r="U1114" t="n">
        <x:v>0</x:v>
      </x:c>
      <x:c r="V1114" t="n">
        <x:v>50</x:v>
      </x:c>
      <x:c r="W1114" t="n">
        <x:v>0</x:v>
      </x:c>
      <x:c r="X1114" t="str">
        <x:v>VALUE: [[1d4]] PO 50 PA</x:v>
      </x:c>
    </x:row>
    <x:row r="1115">
      <x:c r="P1115" t="str">
        <x:v>13|Bête|Précieuse</x:v>
      </x:c>
      <x:c r="Q1115" t="n">
        <x:v>48000</x:v>
      </x:c>
      <x:c r="R1115" t="str">
        <x:v>1d6</x:v>
      </x:c>
      <x:c r="S1115" t="str">
        <x:v>PO</x:v>
      </x:c>
      <x:c r="T1115" t="n">
        <x:v>0</x:v>
      </x:c>
      <x:c r="U1115" t="n">
        <x:v>1</x:v>
      </x:c>
      <x:c r="V1115" t="n">
        <x:v>30</x:v>
      </x:c>
      <x:c r="W1115" t="n">
        <x:v>0</x:v>
      </x:c>
      <x:c r="X1115" t="str">
        <x:v>VALUE: [[1d6]] PO 1 PO 30 PA</x:v>
      </x:c>
    </x:row>
    <x:row r="1116">
      <x:c r="P1116" t="str">
        <x:v>13|Bête|Exceptionnelle</x:v>
      </x:c>
      <x:c r="Q1116" t="n">
        <x:v>84000</x:v>
      </x:c>
      <x:c r="R1116" t="str">
        <x:v>1d10</x:v>
      </x:c>
      <x:c r="S1116" t="str">
        <x:v>PO</x:v>
      </x:c>
      <x:c r="T1116" t="n">
        <x:v>0</x:v>
      </x:c>
      <x:c r="U1116" t="n">
        <x:v>2</x:v>
      </x:c>
      <x:c r="V1116" t="n">
        <x:v>90</x:v>
      </x:c>
      <x:c r="W1116" t="n">
        <x:v>0</x:v>
      </x:c>
      <x:c r="X1116" t="str">
        <x:v>VALUE: [[1d10]] PO 2 PO 90 PA</x:v>
      </x:c>
    </x:row>
    <x:row r="1117">
      <x:c r="P1117" t="str">
        <x:v>13|Aquatique|Commune</x:v>
      </x:c>
      <x:c r="Q1117" t="n">
        <x:v>14000</x:v>
      </x:c>
      <x:c r="R1117" t="str">
        <x:v>9d20</x:v>
      </x:c>
      <x:c r="S1117" t="str">
        <x:v>PA</x:v>
      </x:c>
      <x:c r="T1117" t="n">
        <x:v>0</x:v>
      </x:c>
      <x:c r="U1117" t="n">
        <x:v>0</x:v>
      </x:c>
      <x:c r="V1117" t="n">
        <x:v>45</x:v>
      </x:c>
      <x:c r="W1117" t="n">
        <x:v>50</x:v>
      </x:c>
      <x:c r="X1117" t="str">
        <x:v>VALUE: [[9d20]] PA 45 PA 50 PC</x:v>
      </x:c>
    </x:row>
    <x:row r="1118">
      <x:c r="P1118" t="str">
        <x:v>13|Aquatique|Peu commune</x:v>
      </x:c>
      <x:c r="Q1118" t="n">
        <x:v>21000</x:v>
      </x:c>
      <x:c r="R1118" t="str">
        <x:v>10d20</x:v>
      </x:c>
      <x:c r="S1118" t="str">
        <x:v>PA</x:v>
      </x:c>
      <x:c r="T1118" t="n">
        <x:v>0</x:v>
      </x:c>
      <x:c r="U1118" t="n">
        <x:v>1</x:v>
      </x:c>
      <x:c r="V1118" t="n">
        <x:v>5</x:v>
      </x:c>
      <x:c r="W1118" t="n">
        <x:v>0</x:v>
      </x:c>
      <x:c r="X1118" t="str">
        <x:v>VALUE: [[10d20]] PA 1 PO 5 PA</x:v>
      </x:c>
    </x:row>
    <x:row r="1119">
      <x:c r="P1119" t="str">
        <x:v>13|Aquatique|Rare</x:v>
      </x:c>
      <x:c r="Q1119" t="n">
        <x:v>35000</x:v>
      </x:c>
      <x:c r="R1119" t="str">
        <x:v>1d4</x:v>
      </x:c>
      <x:c r="S1119" t="str">
        <x:v>PO</x:v>
      </x:c>
      <x:c r="T1119" t="n">
        <x:v>0</x:v>
      </x:c>
      <x:c r="U1119" t="n">
        <x:v>1</x:v>
      </x:c>
      <x:c r="V1119" t="n">
        <x:v>0</x:v>
      </x:c>
      <x:c r="W1119" t="n">
        <x:v>0</x:v>
      </x:c>
      <x:c r="X1119" t="str">
        <x:v>VALUE: [[1d4]] PO 1 PO</x:v>
      </x:c>
    </x:row>
    <x:row r="1120">
      <x:c r="P1120" t="str">
        <x:v>13|Aquatique|Précieuse</x:v>
      </x:c>
      <x:c r="Q1120" t="n">
        <x:v>56000</x:v>
      </x:c>
      <x:c r="R1120" t="str">
        <x:v>1d6</x:v>
      </x:c>
      <x:c r="S1120" t="str">
        <x:v>PO</x:v>
      </x:c>
      <x:c r="T1120" t="n">
        <x:v>0</x:v>
      </x:c>
      <x:c r="U1120" t="n">
        <x:v>2</x:v>
      </x:c>
      <x:c r="V1120" t="n">
        <x:v>10</x:v>
      </x:c>
      <x:c r="W1120" t="n">
        <x:v>0</x:v>
      </x:c>
      <x:c r="X1120" t="str">
        <x:v>VALUE: [[1d6]] PO 2 PO 10 PA</x:v>
      </x:c>
    </x:row>
    <x:row r="1121">
      <x:c r="P1121" t="str">
        <x:v>13|Aquatique|Exceptionnelle</x:v>
      </x:c>
      <x:c r="Q1121" t="n">
        <x:v>98000</x:v>
      </x:c>
      <x:c r="R1121" t="str">
        <x:v>2d6</x:v>
      </x:c>
      <x:c r="S1121" t="str">
        <x:v>PO</x:v>
      </x:c>
      <x:c r="T1121" t="n">
        <x:v>0</x:v>
      </x:c>
      <x:c r="U1121" t="n">
        <x:v>2</x:v>
      </x:c>
      <x:c r="V1121" t="n">
        <x:v>80</x:v>
      </x:c>
      <x:c r="W1121" t="n">
        <x:v>0</x:v>
      </x:c>
      <x:c r="X1121" t="str">
        <x:v>VALUE: [[2d6]] PO 2 PO 80 PA</x:v>
      </x:c>
    </x:row>
    <x:row r="1122">
      <x:c r="P1122" t="str">
        <x:v>13|Plante|Commune</x:v>
      </x:c>
      <x:c r="Q1122" t="n">
        <x:v>16000</x:v>
      </x:c>
      <x:c r="R1122" t="str">
        <x:v>10d20</x:v>
      </x:c>
      <x:c r="S1122" t="str">
        <x:v>PA</x:v>
      </x:c>
      <x:c r="T1122" t="n">
        <x:v>0</x:v>
      </x:c>
      <x:c r="U1122" t="n">
        <x:v>0</x:v>
      </x:c>
      <x:c r="V1122" t="n">
        <x:v>55</x:v>
      </x:c>
      <x:c r="W1122" t="n">
        <x:v>0</x:v>
      </x:c>
      <x:c r="X1122" t="str">
        <x:v>VALUE: [[10d20]] PA 55 PA</x:v>
      </x:c>
    </x:row>
    <x:row r="1123">
      <x:c r="P1123" t="str">
        <x:v>13|Plante|Peu commune</x:v>
      </x:c>
      <x:c r="Q1123" t="n">
        <x:v>24000</x:v>
      </x:c>
      <x:c r="R1123" t="str">
        <x:v>10d20</x:v>
      </x:c>
      <x:c r="S1123" t="str">
        <x:v>PA</x:v>
      </x:c>
      <x:c r="T1123" t="n">
        <x:v>0</x:v>
      </x:c>
      <x:c r="U1123" t="n">
        <x:v>1</x:v>
      </x:c>
      <x:c r="V1123" t="n">
        <x:v>35</x:v>
      </x:c>
      <x:c r="W1123" t="n">
        <x:v>0</x:v>
      </x:c>
      <x:c r="X1123" t="str">
        <x:v>VALUE: [[10d20]] PA 1 PO 35 PA</x:v>
      </x:c>
    </x:row>
    <x:row r="1124">
      <x:c r="P1124" t="str">
        <x:v>13|Plante|Rare</x:v>
      </x:c>
      <x:c r="Q1124" t="n">
        <x:v>40000</x:v>
      </x:c>
      <x:c r="R1124" t="str">
        <x:v>1d4</x:v>
      </x:c>
      <x:c r="S1124" t="str">
        <x:v>PO</x:v>
      </x:c>
      <x:c r="T1124" t="n">
        <x:v>0</x:v>
      </x:c>
      <x:c r="U1124" t="n">
        <x:v>1</x:v>
      </x:c>
      <x:c r="V1124" t="n">
        <x:v>50</x:v>
      </x:c>
      <x:c r="W1124" t="n">
        <x:v>0</x:v>
      </x:c>
      <x:c r="X1124" t="str">
        <x:v>VALUE: [[1d4]] PO 1 PO 50 PA</x:v>
      </x:c>
    </x:row>
    <x:row r="1125">
      <x:c r="P1125" t="str">
        <x:v>13|Plante|Précieuse</x:v>
      </x:c>
      <x:c r="Q1125" t="n">
        <x:v>64000</x:v>
      </x:c>
      <x:c r="R1125" t="str">
        <x:v>1d8</x:v>
      </x:c>
      <x:c r="S1125" t="str">
        <x:v>PO</x:v>
      </x:c>
      <x:c r="T1125" t="n">
        <x:v>0</x:v>
      </x:c>
      <x:c r="U1125" t="n">
        <x:v>1</x:v>
      </x:c>
      <x:c r="V1125" t="n">
        <x:v>90</x:v>
      </x:c>
      <x:c r="W1125" t="n">
        <x:v>0</x:v>
      </x:c>
      <x:c r="X1125" t="str">
        <x:v>VALUE: [[1d8]] PO 1 PO 90 PA</x:v>
      </x:c>
    </x:row>
    <x:row r="1126">
      <x:c r="P1126" t="str">
        <x:v>13|Plante|Exceptionnelle</x:v>
      </x:c>
      <x:c r="Q1126" t="n">
        <x:v>112000</x:v>
      </x:c>
      <x:c r="R1126" t="str">
        <x:v>3d4</x:v>
      </x:c>
      <x:c r="S1126" t="str">
        <x:v>PO</x:v>
      </x:c>
      <x:c r="T1126" t="n">
        <x:v>0</x:v>
      </x:c>
      <x:c r="U1126" t="n">
        <x:v>3</x:v>
      </x:c>
      <x:c r="V1126" t="n">
        <x:v>70</x:v>
      </x:c>
      <x:c r="W1126" t="n">
        <x:v>0</x:v>
      </x:c>
      <x:c r="X1126" t="str">
        <x:v>VALUE: [[3d4]] PO 3 PO 70 PA</x:v>
      </x:c>
    </x:row>
    <x:row r="1127">
      <x:c r="P1127" t="str">
        <x:v>13|Humanoïde|Commune</x:v>
      </x:c>
      <x:c r="Q1127" t="n">
        <x:v>20000</x:v>
      </x:c>
      <x:c r="R1127" t="str">
        <x:v>10d20</x:v>
      </x:c>
      <x:c r="S1127" t="str">
        <x:v>PA</x:v>
      </x:c>
      <x:c r="T1127" t="n">
        <x:v>0</x:v>
      </x:c>
      <x:c r="U1127" t="n">
        <x:v>0</x:v>
      </x:c>
      <x:c r="V1127" t="n">
        <x:v>95</x:v>
      </x:c>
      <x:c r="W1127" t="n">
        <x:v>0</x:v>
      </x:c>
      <x:c r="X1127" t="str">
        <x:v>VALUE: [[10d20]] PA 95 PA</x:v>
      </x:c>
    </x:row>
    <x:row r="1128">
      <x:c r="P1128" t="str">
        <x:v>13|Humanoïde|Peu commune</x:v>
      </x:c>
      <x:c r="Q1128" t="n">
        <x:v>30000</x:v>
      </x:c>
      <x:c r="R1128" t="str">
        <x:v>1d4</x:v>
      </x:c>
      <x:c r="S1128" t="str">
        <x:v>PO</x:v>
      </x:c>
      <x:c r="T1128" t="n">
        <x:v>0</x:v>
      </x:c>
      <x:c r="U1128" t="n">
        <x:v>0</x:v>
      </x:c>
      <x:c r="V1128" t="n">
        <x:v>50</x:v>
      </x:c>
      <x:c r="W1128" t="n">
        <x:v>0</x:v>
      </x:c>
      <x:c r="X1128" t="str">
        <x:v>VALUE: [[1d4]] PO 50 PA</x:v>
      </x:c>
    </x:row>
    <x:row r="1129">
      <x:c r="P1129" t="str">
        <x:v>13|Humanoïde|Rare</x:v>
      </x:c>
      <x:c r="Q1129" t="n">
        <x:v>50000</x:v>
      </x:c>
      <x:c r="R1129" t="str">
        <x:v>1d6</x:v>
      </x:c>
      <x:c r="S1129" t="str">
        <x:v>PO</x:v>
      </x:c>
      <x:c r="T1129" t="n">
        <x:v>0</x:v>
      </x:c>
      <x:c r="U1129" t="n">
        <x:v>1</x:v>
      </x:c>
      <x:c r="V1129" t="n">
        <x:v>50</x:v>
      </x:c>
      <x:c r="W1129" t="n">
        <x:v>0</x:v>
      </x:c>
      <x:c r="X1129" t="str">
        <x:v>VALUE: [[1d6]] PO 1 PO 50 PA</x:v>
      </x:c>
    </x:row>
    <x:row r="1130">
      <x:c r="P1130" t="str">
        <x:v>13|Humanoïde|Précieuse</x:v>
      </x:c>
      <x:c r="Q1130" t="n">
        <x:v>80000</x:v>
      </x:c>
      <x:c r="R1130" t="str">
        <x:v>1d10</x:v>
      </x:c>
      <x:c r="S1130" t="str">
        <x:v>PO</x:v>
      </x:c>
      <x:c r="T1130" t="n">
        <x:v>0</x:v>
      </x:c>
      <x:c r="U1130" t="n">
        <x:v>2</x:v>
      </x:c>
      <x:c r="V1130" t="n">
        <x:v>50</x:v>
      </x:c>
      <x:c r="W1130" t="n">
        <x:v>0</x:v>
      </x:c>
      <x:c r="X1130" t="str">
        <x:v>VALUE: [[1d10]] PO 2 PO 50 PA</x:v>
      </x:c>
    </x:row>
    <x:row r="1131">
      <x:c r="P1131" t="str">
        <x:v>13|Humanoïde|Exceptionnelle</x:v>
      </x:c>
      <x:c r="Q1131" t="n">
        <x:v>140000</x:v>
      </x:c>
      <x:c r="R1131" t="str">
        <x:v>4d4</x:v>
      </x:c>
      <x:c r="S1131" t="str">
        <x:v>PO</x:v>
      </x:c>
      <x:c r="T1131" t="n">
        <x:v>0</x:v>
      </x:c>
      <x:c r="U1131" t="n">
        <x:v>4</x:v>
      </x:c>
      <x:c r="V1131" t="n">
        <x:v>0</x:v>
      </x:c>
      <x:c r="W1131" t="n">
        <x:v>0</x:v>
      </x:c>
      <x:c r="X1131" t="str">
        <x:v>VALUE: [[4d4]] PO 4 PO</x:v>
      </x:c>
    </x:row>
    <x:row r="1132">
      <x:c r="P1132" t="str">
        <x:v>13|Mort-vivant|Commune</x:v>
      </x:c>
      <x:c r="Q1132" t="n">
        <x:v>20000</x:v>
      </x:c>
      <x:c r="R1132" t="str">
        <x:v>10d20</x:v>
      </x:c>
      <x:c r="S1132" t="str">
        <x:v>PA</x:v>
      </x:c>
      <x:c r="T1132" t="n">
        <x:v>0</x:v>
      </x:c>
      <x:c r="U1132" t="n">
        <x:v>0</x:v>
      </x:c>
      <x:c r="V1132" t="n">
        <x:v>95</x:v>
      </x:c>
      <x:c r="W1132" t="n">
        <x:v>0</x:v>
      </x:c>
      <x:c r="X1132" t="str">
        <x:v>VALUE: [[10d20]] PA 95 PA</x:v>
      </x:c>
    </x:row>
    <x:row r="1133">
      <x:c r="P1133" t="str">
        <x:v>13|Mort-vivant|Peu commune</x:v>
      </x:c>
      <x:c r="Q1133" t="n">
        <x:v>30000</x:v>
      </x:c>
      <x:c r="R1133" t="str">
        <x:v>1d4</x:v>
      </x:c>
      <x:c r="S1133" t="str">
        <x:v>PO</x:v>
      </x:c>
      <x:c r="T1133" t="n">
        <x:v>0</x:v>
      </x:c>
      <x:c r="U1133" t="n">
        <x:v>0</x:v>
      </x:c>
      <x:c r="V1133" t="n">
        <x:v>50</x:v>
      </x:c>
      <x:c r="W1133" t="n">
        <x:v>0</x:v>
      </x:c>
      <x:c r="X1133" t="str">
        <x:v>VALUE: [[1d4]] PO 50 PA</x:v>
      </x:c>
    </x:row>
    <x:row r="1134">
      <x:c r="P1134" t="str">
        <x:v>13|Mort-vivant|Rare</x:v>
      </x:c>
      <x:c r="Q1134" t="n">
        <x:v>50000</x:v>
      </x:c>
      <x:c r="R1134" t="str">
        <x:v>1d6</x:v>
      </x:c>
      <x:c r="S1134" t="str">
        <x:v>PO</x:v>
      </x:c>
      <x:c r="T1134" t="n">
        <x:v>0</x:v>
      </x:c>
      <x:c r="U1134" t="n">
        <x:v>1</x:v>
      </x:c>
      <x:c r="V1134" t="n">
        <x:v>50</x:v>
      </x:c>
      <x:c r="W1134" t="n">
        <x:v>0</x:v>
      </x:c>
      <x:c r="X1134" t="str">
        <x:v>VALUE: [[1d6]] PO 1 PO 50 PA</x:v>
      </x:c>
    </x:row>
    <x:row r="1135">
      <x:c r="P1135" t="str">
        <x:v>13|Mort-vivant|Précieuse</x:v>
      </x:c>
      <x:c r="Q1135" t="n">
        <x:v>80000</x:v>
      </x:c>
      <x:c r="R1135" t="str">
        <x:v>1d10</x:v>
      </x:c>
      <x:c r="S1135" t="str">
        <x:v>PO</x:v>
      </x:c>
      <x:c r="T1135" t="n">
        <x:v>0</x:v>
      </x:c>
      <x:c r="U1135" t="n">
        <x:v>2</x:v>
      </x:c>
      <x:c r="V1135" t="n">
        <x:v>50</x:v>
      </x:c>
      <x:c r="W1135" t="n">
        <x:v>0</x:v>
      </x:c>
      <x:c r="X1135" t="str">
        <x:v>VALUE: [[1d10]] PO 2 PO 50 PA</x:v>
      </x:c>
    </x:row>
    <x:row r="1136">
      <x:c r="P1136" t="str">
        <x:v>13|Mort-vivant|Exceptionnelle</x:v>
      </x:c>
      <x:c r="Q1136" t="n">
        <x:v>140000</x:v>
      </x:c>
      <x:c r="R1136" t="str">
        <x:v>4d4</x:v>
      </x:c>
      <x:c r="S1136" t="str">
        <x:v>PO</x:v>
      </x:c>
      <x:c r="T1136" t="n">
        <x:v>0</x:v>
      </x:c>
      <x:c r="U1136" t="n">
        <x:v>4</x:v>
      </x:c>
      <x:c r="V1136" t="n">
        <x:v>0</x:v>
      </x:c>
      <x:c r="W1136" t="n">
        <x:v>0</x:v>
      </x:c>
      <x:c r="X1136" t="str">
        <x:v>VALUE: [[4d4]] PO 4 PO</x:v>
      </x:c>
    </x:row>
    <x:row r="1137">
      <x:c r="P1137" t="str">
        <x:v>13|Monstre|Commune</x:v>
      </x:c>
      <x:c r="Q1137" t="n">
        <x:v>20000</x:v>
      </x:c>
      <x:c r="R1137" t="str">
        <x:v>10d20</x:v>
      </x:c>
      <x:c r="S1137" t="str">
        <x:v>PA</x:v>
      </x:c>
      <x:c r="T1137" t="n">
        <x:v>0</x:v>
      </x:c>
      <x:c r="U1137" t="n">
        <x:v>0</x:v>
      </x:c>
      <x:c r="V1137" t="n">
        <x:v>95</x:v>
      </x:c>
      <x:c r="W1137" t="n">
        <x:v>0</x:v>
      </x:c>
      <x:c r="X1137" t="str">
        <x:v>VALUE: [[10d20]] PA 95 PA</x:v>
      </x:c>
    </x:row>
    <x:row r="1138">
      <x:c r="P1138" t="str">
        <x:v>13|Monstre|Peu commune</x:v>
      </x:c>
      <x:c r="Q1138" t="n">
        <x:v>30000</x:v>
      </x:c>
      <x:c r="R1138" t="str">
        <x:v>1d4</x:v>
      </x:c>
      <x:c r="S1138" t="str">
        <x:v>PO</x:v>
      </x:c>
      <x:c r="T1138" t="n">
        <x:v>0</x:v>
      </x:c>
      <x:c r="U1138" t="n">
        <x:v>0</x:v>
      </x:c>
      <x:c r="V1138" t="n">
        <x:v>50</x:v>
      </x:c>
      <x:c r="W1138" t="n">
        <x:v>0</x:v>
      </x:c>
      <x:c r="X1138" t="str">
        <x:v>VALUE: [[1d4]] PO 50 PA</x:v>
      </x:c>
    </x:row>
    <x:row r="1139">
      <x:c r="P1139" t="str">
        <x:v>13|Monstre|Rare</x:v>
      </x:c>
      <x:c r="Q1139" t="n">
        <x:v>50000</x:v>
      </x:c>
      <x:c r="R1139" t="str">
        <x:v>1d6</x:v>
      </x:c>
      <x:c r="S1139" t="str">
        <x:v>PO</x:v>
      </x:c>
      <x:c r="T1139" t="n">
        <x:v>0</x:v>
      </x:c>
      <x:c r="U1139" t="n">
        <x:v>1</x:v>
      </x:c>
      <x:c r="V1139" t="n">
        <x:v>50</x:v>
      </x:c>
      <x:c r="W1139" t="n">
        <x:v>0</x:v>
      </x:c>
      <x:c r="X1139" t="str">
        <x:v>VALUE: [[1d6]] PO 1 PO 50 PA</x:v>
      </x:c>
    </x:row>
    <x:row r="1140">
      <x:c r="P1140" t="str">
        <x:v>13|Monstre|Précieuse</x:v>
      </x:c>
      <x:c r="Q1140" t="n">
        <x:v>80000</x:v>
      </x:c>
      <x:c r="R1140" t="str">
        <x:v>1d10</x:v>
      </x:c>
      <x:c r="S1140" t="str">
        <x:v>PO</x:v>
      </x:c>
      <x:c r="T1140" t="n">
        <x:v>0</x:v>
      </x:c>
      <x:c r="U1140" t="n">
        <x:v>2</x:v>
      </x:c>
      <x:c r="V1140" t="n">
        <x:v>50</x:v>
      </x:c>
      <x:c r="W1140" t="n">
        <x:v>0</x:v>
      </x:c>
      <x:c r="X1140" t="str">
        <x:v>VALUE: [[1d10]] PO 2 PO 50 PA</x:v>
      </x:c>
    </x:row>
    <x:row r="1141">
      <x:c r="P1141" t="str">
        <x:v>13|Monstre|Exceptionnelle</x:v>
      </x:c>
      <x:c r="Q1141" t="n">
        <x:v>140000</x:v>
      </x:c>
      <x:c r="R1141" t="str">
        <x:v>4d4</x:v>
      </x:c>
      <x:c r="S1141" t="str">
        <x:v>PO</x:v>
      </x:c>
      <x:c r="T1141" t="n">
        <x:v>0</x:v>
      </x:c>
      <x:c r="U1141" t="n">
        <x:v>4</x:v>
      </x:c>
      <x:c r="V1141" t="n">
        <x:v>0</x:v>
      </x:c>
      <x:c r="W1141" t="n">
        <x:v>0</x:v>
      </x:c>
      <x:c r="X1141" t="str">
        <x:v>VALUE: [[4d4]] PO 4 PO</x:v>
      </x:c>
    </x:row>
    <x:row r="1142">
      <x:c r="P1142" t="str">
        <x:v>13|Vase|Commune</x:v>
      </x:c>
      <x:c r="Q1142" t="n">
        <x:v>20000</x:v>
      </x:c>
      <x:c r="R1142" t="str">
        <x:v>10d20</x:v>
      </x:c>
      <x:c r="S1142" t="str">
        <x:v>PA</x:v>
      </x:c>
      <x:c r="T1142" t="n">
        <x:v>0</x:v>
      </x:c>
      <x:c r="U1142" t="n">
        <x:v>0</x:v>
      </x:c>
      <x:c r="V1142" t="n">
        <x:v>95</x:v>
      </x:c>
      <x:c r="W1142" t="n">
        <x:v>0</x:v>
      </x:c>
      <x:c r="X1142" t="str">
        <x:v>VALUE: [[10d20]] PA 95 PA</x:v>
      </x:c>
    </x:row>
    <x:row r="1143">
      <x:c r="P1143" t="str">
        <x:v>13|Vase|Peu commune</x:v>
      </x:c>
      <x:c r="Q1143" t="n">
        <x:v>30000</x:v>
      </x:c>
      <x:c r="R1143" t="str">
        <x:v>1d4</x:v>
      </x:c>
      <x:c r="S1143" t="str">
        <x:v>PO</x:v>
      </x:c>
      <x:c r="T1143" t="n">
        <x:v>0</x:v>
      </x:c>
      <x:c r="U1143" t="n">
        <x:v>0</x:v>
      </x:c>
      <x:c r="V1143" t="n">
        <x:v>50</x:v>
      </x:c>
      <x:c r="W1143" t="n">
        <x:v>0</x:v>
      </x:c>
      <x:c r="X1143" t="str">
        <x:v>VALUE: [[1d4]] PO 50 PA</x:v>
      </x:c>
    </x:row>
    <x:row r="1144">
      <x:c r="P1144" t="str">
        <x:v>13|Vase|Rare</x:v>
      </x:c>
      <x:c r="Q1144" t="n">
        <x:v>50000</x:v>
      </x:c>
      <x:c r="R1144" t="str">
        <x:v>1d6</x:v>
      </x:c>
      <x:c r="S1144" t="str">
        <x:v>PO</x:v>
      </x:c>
      <x:c r="T1144" t="n">
        <x:v>0</x:v>
      </x:c>
      <x:c r="U1144" t="n">
        <x:v>1</x:v>
      </x:c>
      <x:c r="V1144" t="n">
        <x:v>50</x:v>
      </x:c>
      <x:c r="W1144" t="n">
        <x:v>0</x:v>
      </x:c>
      <x:c r="X1144" t="str">
        <x:v>VALUE: [[1d6]] PO 1 PO 50 PA</x:v>
      </x:c>
    </x:row>
    <x:row r="1145">
      <x:c r="P1145" t="str">
        <x:v>13|Vase|Précieuse</x:v>
      </x:c>
      <x:c r="Q1145" t="n">
        <x:v>80000</x:v>
      </x:c>
      <x:c r="R1145" t="str">
        <x:v>1d10</x:v>
      </x:c>
      <x:c r="S1145" t="str">
        <x:v>PO</x:v>
      </x:c>
      <x:c r="T1145" t="n">
        <x:v>0</x:v>
      </x:c>
      <x:c r="U1145" t="n">
        <x:v>2</x:v>
      </x:c>
      <x:c r="V1145" t="n">
        <x:v>50</x:v>
      </x:c>
      <x:c r="W1145" t="n">
        <x:v>0</x:v>
      </x:c>
      <x:c r="X1145" t="str">
        <x:v>VALUE: [[1d10]] PO 2 PO 50 PA</x:v>
      </x:c>
    </x:row>
    <x:row r="1146">
      <x:c r="P1146" t="str">
        <x:v>13|Vase|Exceptionnelle</x:v>
      </x:c>
      <x:c r="Q1146" t="n">
        <x:v>140000</x:v>
      </x:c>
      <x:c r="R1146" t="str">
        <x:v>4d4</x:v>
      </x:c>
      <x:c r="S1146" t="str">
        <x:v>PO</x:v>
      </x:c>
      <x:c r="T1146" t="n">
        <x:v>0</x:v>
      </x:c>
      <x:c r="U1146" t="n">
        <x:v>4</x:v>
      </x:c>
      <x:c r="V1146" t="n">
        <x:v>0</x:v>
      </x:c>
      <x:c r="W1146" t="n">
        <x:v>0</x:v>
      </x:c>
      <x:c r="X1146" t="str">
        <x:v>VALUE: [[4d4]] PO 4 PO</x:v>
      </x:c>
    </x:row>
    <x:row r="1147">
      <x:c r="P1147" t="str">
        <x:v>13|Géant|Commune</x:v>
      </x:c>
      <x:c r="Q1147" t="n">
        <x:v>24000</x:v>
      </x:c>
      <x:c r="R1147" t="str">
        <x:v>10d20</x:v>
      </x:c>
      <x:c r="S1147" t="str">
        <x:v>PA</x:v>
      </x:c>
      <x:c r="T1147" t="n">
        <x:v>0</x:v>
      </x:c>
      <x:c r="U1147" t="n">
        <x:v>1</x:v>
      </x:c>
      <x:c r="V1147" t="n">
        <x:v>35</x:v>
      </x:c>
      <x:c r="W1147" t="n">
        <x:v>0</x:v>
      </x:c>
      <x:c r="X1147" t="str">
        <x:v>VALUE: [[10d20]] PA 1 PO 35 PA</x:v>
      </x:c>
    </x:row>
    <x:row r="1148">
      <x:c r="P1148" t="str">
        <x:v>13|Géant|Peu commune</x:v>
      </x:c>
      <x:c r="Q1148" t="n">
        <x:v>36000</x:v>
      </x:c>
      <x:c r="R1148" t="str">
        <x:v>1d4</x:v>
      </x:c>
      <x:c r="S1148" t="str">
        <x:v>PO</x:v>
      </x:c>
      <x:c r="T1148" t="n">
        <x:v>0</x:v>
      </x:c>
      <x:c r="U1148" t="n">
        <x:v>1</x:v>
      </x:c>
      <x:c r="V1148" t="n">
        <x:v>10</x:v>
      </x:c>
      <x:c r="W1148" t="n">
        <x:v>0</x:v>
      </x:c>
      <x:c r="X1148" t="str">
        <x:v>VALUE: [[1d4]] PO 1 PO 10 PA</x:v>
      </x:c>
    </x:row>
    <x:row r="1149">
      <x:c r="P1149" t="str">
        <x:v>13|Géant|Rare</x:v>
      </x:c>
      <x:c r="Q1149" t="n">
        <x:v>60000</x:v>
      </x:c>
      <x:c r="R1149" t="str">
        <x:v>1d8</x:v>
      </x:c>
      <x:c r="S1149" t="str">
        <x:v>PO</x:v>
      </x:c>
      <x:c r="T1149" t="n">
        <x:v>0</x:v>
      </x:c>
      <x:c r="U1149" t="n">
        <x:v>1</x:v>
      </x:c>
      <x:c r="V1149" t="n">
        <x:v>50</x:v>
      </x:c>
      <x:c r="W1149" t="n">
        <x:v>0</x:v>
      </x:c>
      <x:c r="X1149" t="str">
        <x:v>VALUE: [[1d8]] PO 1 PO 50 PA</x:v>
      </x:c>
    </x:row>
    <x:row r="1150">
      <x:c r="P1150" t="str">
        <x:v>13|Géant|Précieuse</x:v>
      </x:c>
      <x:c r="Q1150" t="n">
        <x:v>96000</x:v>
      </x:c>
      <x:c r="R1150" t="str">
        <x:v>1d12</x:v>
      </x:c>
      <x:c r="S1150" t="str">
        <x:v>PO</x:v>
      </x:c>
      <x:c r="T1150" t="n">
        <x:v>0</x:v>
      </x:c>
      <x:c r="U1150" t="n">
        <x:v>3</x:v>
      </x:c>
      <x:c r="V1150" t="n">
        <x:v>10</x:v>
      </x:c>
      <x:c r="W1150" t="n">
        <x:v>0</x:v>
      </x:c>
      <x:c r="X1150" t="str">
        <x:v>VALUE: [[1d12]] PO 3 PO 10 PA</x:v>
      </x:c>
    </x:row>
    <x:row r="1151">
      <x:c r="P1151" t="str">
        <x:v>13|Géant|Exceptionnelle</x:v>
      </x:c>
      <x:c r="Q1151" t="n">
        <x:v>168000</x:v>
      </x:c>
      <x:c r="R1151" t="str">
        <x:v>5d4</x:v>
      </x:c>
      <x:c r="S1151" t="str">
        <x:v>PO</x:v>
      </x:c>
      <x:c r="T1151" t="n">
        <x:v>0</x:v>
      </x:c>
      <x:c r="U1151" t="n">
        <x:v>4</x:v>
      </x:c>
      <x:c r="V1151" t="n">
        <x:v>30</x:v>
      </x:c>
      <x:c r="W1151" t="n">
        <x:v>0</x:v>
      </x:c>
      <x:c r="X1151" t="str">
        <x:v>VALUE: [[5d4]] PO 4 PO 30 PA</x:v>
      </x:c>
    </x:row>
    <x:row r="1152">
      <x:c r="P1152" t="str">
        <x:v>13|Aberration|Commune</x:v>
      </x:c>
      <x:c r="Q1152" t="n">
        <x:v>30000</x:v>
      </x:c>
      <x:c r="R1152" t="str">
        <x:v>1d4</x:v>
      </x:c>
      <x:c r="S1152" t="str">
        <x:v>PO</x:v>
      </x:c>
      <x:c r="T1152" t="n">
        <x:v>0</x:v>
      </x:c>
      <x:c r="U1152" t="n">
        <x:v>0</x:v>
      </x:c>
      <x:c r="V1152" t="n">
        <x:v>50</x:v>
      </x:c>
      <x:c r="W1152" t="n">
        <x:v>0</x:v>
      </x:c>
      <x:c r="X1152" t="str">
        <x:v>VALUE: [[1d4]] PO 50 PA</x:v>
      </x:c>
    </x:row>
    <x:row r="1153">
      <x:c r="P1153" t="str">
        <x:v>13|Aberration|Peu commune</x:v>
      </x:c>
      <x:c r="Q1153" t="n">
        <x:v>45000</x:v>
      </x:c>
      <x:c r="R1153" t="str">
        <x:v>1d6</x:v>
      </x:c>
      <x:c r="S1153" t="str">
        <x:v>PO</x:v>
      </x:c>
      <x:c r="T1153" t="n">
        <x:v>0</x:v>
      </x:c>
      <x:c r="U1153" t="n">
        <x:v>1</x:v>
      </x:c>
      <x:c r="V1153" t="n">
        <x:v>0</x:v>
      </x:c>
      <x:c r="W1153" t="n">
        <x:v>0</x:v>
      </x:c>
      <x:c r="X1153" t="str">
        <x:v>VALUE: [[1d6]] PO 1 PO</x:v>
      </x:c>
    </x:row>
    <x:row r="1154">
      <x:c r="P1154" t="str">
        <x:v>13|Aberration|Rare</x:v>
      </x:c>
      <x:c r="Q1154" t="n">
        <x:v>75000</x:v>
      </x:c>
      <x:c r="R1154" t="str">
        <x:v>1d10</x:v>
      </x:c>
      <x:c r="S1154" t="str">
        <x:v>PO</x:v>
      </x:c>
      <x:c r="T1154" t="n">
        <x:v>0</x:v>
      </x:c>
      <x:c r="U1154" t="n">
        <x:v>2</x:v>
      </x:c>
      <x:c r="V1154" t="n">
        <x:v>0</x:v>
      </x:c>
      <x:c r="W1154" t="n">
        <x:v>0</x:v>
      </x:c>
      <x:c r="X1154" t="str">
        <x:v>VALUE: [[1d10]] PO 2 PO</x:v>
      </x:c>
    </x:row>
    <x:row r="1155">
      <x:c r="P1155" t="str">
        <x:v>13|Aberration|Précieuse</x:v>
      </x:c>
      <x:c r="Q1155" t="n">
        <x:v>120000</x:v>
      </x:c>
      <x:c r="R1155" t="str">
        <x:v>2d8</x:v>
      </x:c>
      <x:c r="S1155" t="str">
        <x:v>PO</x:v>
      </x:c>
      <x:c r="T1155" t="n">
        <x:v>0</x:v>
      </x:c>
      <x:c r="U1155" t="n">
        <x:v>3</x:v>
      </x:c>
      <x:c r="V1155" t="n">
        <x:v>0</x:v>
      </x:c>
      <x:c r="W1155" t="n">
        <x:v>0</x:v>
      </x:c>
      <x:c r="X1155" t="str">
        <x:v>VALUE: [[2d8]] PO 3 PO</x:v>
      </x:c>
    </x:row>
    <x:row r="1156">
      <x:c r="P1156" t="str">
        <x:v>13|Aberration|Exceptionnelle</x:v>
      </x:c>
      <x:c r="Q1156" t="n">
        <x:v>210000</x:v>
      </x:c>
      <x:c r="R1156" t="str">
        <x:v>6d4</x:v>
      </x:c>
      <x:c r="S1156" t="str">
        <x:v>PO</x:v>
      </x:c>
      <x:c r="T1156" t="n">
        <x:v>0</x:v>
      </x:c>
      <x:c r="U1156" t="n">
        <x:v>6</x:v>
      </x:c>
      <x:c r="V1156" t="n">
        <x:v>0</x:v>
      </x:c>
      <x:c r="W1156" t="n">
        <x:v>0</x:v>
      </x:c>
      <x:c r="X1156" t="str">
        <x:v>VALUE: [[6d4]] PO 6 PO</x:v>
      </x:c>
    </x:row>
    <x:row r="1157">
      <x:c r="P1157" t="str">
        <x:v>13|Fée|Commune</x:v>
      </x:c>
      <x:c r="Q1157" t="n">
        <x:v>36000</x:v>
      </x:c>
      <x:c r="R1157" t="str">
        <x:v>1d4</x:v>
      </x:c>
      <x:c r="S1157" t="str">
        <x:v>PO</x:v>
      </x:c>
      <x:c r="T1157" t="n">
        <x:v>0</x:v>
      </x:c>
      <x:c r="U1157" t="n">
        <x:v>1</x:v>
      </x:c>
      <x:c r="V1157" t="n">
        <x:v>10</x:v>
      </x:c>
      <x:c r="W1157" t="n">
        <x:v>0</x:v>
      </x:c>
      <x:c r="X1157" t="str">
        <x:v>VALUE: [[1d4]] PO 1 PO 10 PA</x:v>
      </x:c>
    </x:row>
    <x:row r="1158">
      <x:c r="P1158" t="str">
        <x:v>13|Fée|Peu commune</x:v>
      </x:c>
      <x:c r="Q1158" t="n">
        <x:v>54000</x:v>
      </x:c>
      <x:c r="R1158" t="str">
        <x:v>1d6</x:v>
      </x:c>
      <x:c r="S1158" t="str">
        <x:v>PO</x:v>
      </x:c>
      <x:c r="T1158" t="n">
        <x:v>0</x:v>
      </x:c>
      <x:c r="U1158" t="n">
        <x:v>1</x:v>
      </x:c>
      <x:c r="V1158" t="n">
        <x:v>90</x:v>
      </x:c>
      <x:c r="W1158" t="n">
        <x:v>0</x:v>
      </x:c>
      <x:c r="X1158" t="str">
        <x:v>VALUE: [[1d6]] PO 1 PO 90 PA</x:v>
      </x:c>
    </x:row>
    <x:row r="1159">
      <x:c r="P1159" t="str">
        <x:v>13|Fée|Rare</x:v>
      </x:c>
      <x:c r="Q1159" t="n">
        <x:v>90000</x:v>
      </x:c>
      <x:c r="R1159" t="str">
        <x:v>1d12</x:v>
      </x:c>
      <x:c r="S1159" t="str">
        <x:v>PO</x:v>
      </x:c>
      <x:c r="T1159" t="n">
        <x:v>0</x:v>
      </x:c>
      <x:c r="U1159" t="n">
        <x:v>2</x:v>
      </x:c>
      <x:c r="V1159" t="n">
        <x:v>50</x:v>
      </x:c>
      <x:c r="W1159" t="n">
        <x:v>0</x:v>
      </x:c>
      <x:c r="X1159" t="str">
        <x:v>VALUE: [[1d12]] PO 2 PO 50 PA</x:v>
      </x:c>
    </x:row>
    <x:row r="1160">
      <x:c r="P1160" t="str">
        <x:v>13|Fée|Précieuse</x:v>
      </x:c>
      <x:c r="Q1160" t="n">
        <x:v>144000</x:v>
      </x:c>
      <x:c r="R1160" t="str">
        <x:v>4d4</x:v>
      </x:c>
      <x:c r="S1160" t="str">
        <x:v>PO</x:v>
      </x:c>
      <x:c r="T1160" t="n">
        <x:v>0</x:v>
      </x:c>
      <x:c r="U1160" t="n">
        <x:v>4</x:v>
      </x:c>
      <x:c r="V1160" t="n">
        <x:v>40</x:v>
      </x:c>
      <x:c r="W1160" t="n">
        <x:v>0</x:v>
      </x:c>
      <x:c r="X1160" t="str">
        <x:v>VALUE: [[4d4]] PO 4 PO 40 PA</x:v>
      </x:c>
    </x:row>
    <x:row r="1161">
      <x:c r="P1161" t="str">
        <x:v>13|Fée|Exceptionnelle</x:v>
      </x:c>
      <x:c r="Q1161" t="n">
        <x:v>252000</x:v>
      </x:c>
      <x:c r="R1161" t="str">
        <x:v>5d6</x:v>
      </x:c>
      <x:c r="S1161" t="str">
        <x:v>PO</x:v>
      </x:c>
      <x:c r="T1161" t="n">
        <x:v>0</x:v>
      </x:c>
      <x:c r="U1161" t="n">
        <x:v>7</x:v>
      </x:c>
      <x:c r="V1161" t="n">
        <x:v>70</x:v>
      </x:c>
      <x:c r="W1161" t="n">
        <x:v>0</x:v>
      </x:c>
      <x:c r="X1161" t="str">
        <x:v>VALUE: [[5d6]] PO 7 PO 70 PA</x:v>
      </x:c>
    </x:row>
    <x:row r="1162">
      <x:c r="P1162" t="str">
        <x:v>13|Démon|Commune</x:v>
      </x:c>
      <x:c r="Q1162" t="n">
        <x:v>40000</x:v>
      </x:c>
      <x:c r="R1162" t="str">
        <x:v>1d4</x:v>
      </x:c>
      <x:c r="S1162" t="str">
        <x:v>PO</x:v>
      </x:c>
      <x:c r="T1162" t="n">
        <x:v>0</x:v>
      </x:c>
      <x:c r="U1162" t="n">
        <x:v>1</x:v>
      </x:c>
      <x:c r="V1162" t="n">
        <x:v>50</x:v>
      </x:c>
      <x:c r="W1162" t="n">
        <x:v>0</x:v>
      </x:c>
      <x:c r="X1162" t="str">
        <x:v>VALUE: [[1d4]] PO 1 PO 50 PA</x:v>
      </x:c>
    </x:row>
    <x:row r="1163">
      <x:c r="P1163" t="str">
        <x:v>13|Démon|Peu commune</x:v>
      </x:c>
      <x:c r="Q1163" t="n">
        <x:v>60000</x:v>
      </x:c>
      <x:c r="R1163" t="str">
        <x:v>1d8</x:v>
      </x:c>
      <x:c r="S1163" t="str">
        <x:v>PO</x:v>
      </x:c>
      <x:c r="T1163" t="n">
        <x:v>0</x:v>
      </x:c>
      <x:c r="U1163" t="n">
        <x:v>1</x:v>
      </x:c>
      <x:c r="V1163" t="n">
        <x:v>50</x:v>
      </x:c>
      <x:c r="W1163" t="n">
        <x:v>0</x:v>
      </x:c>
      <x:c r="X1163" t="str">
        <x:v>VALUE: [[1d8]] PO 1 PO 50 PA</x:v>
      </x:c>
    </x:row>
    <x:row r="1164">
      <x:c r="P1164" t="str">
        <x:v>13|Démon|Rare</x:v>
      </x:c>
      <x:c r="Q1164" t="n">
        <x:v>100000</x:v>
      </x:c>
      <x:c r="R1164" t="str">
        <x:v>2d6</x:v>
      </x:c>
      <x:c r="S1164" t="str">
        <x:v>PO</x:v>
      </x:c>
      <x:c r="T1164" t="n">
        <x:v>0</x:v>
      </x:c>
      <x:c r="U1164" t="n">
        <x:v>3</x:v>
      </x:c>
      <x:c r="V1164" t="n">
        <x:v>0</x:v>
      </x:c>
      <x:c r="W1164" t="n">
        <x:v>0</x:v>
      </x:c>
      <x:c r="X1164" t="str">
        <x:v>VALUE: [[2d6]] PO 3 PO</x:v>
      </x:c>
    </x:row>
    <x:row r="1165">
      <x:c r="P1165" t="str">
        <x:v>13|Démon|Précieuse</x:v>
      </x:c>
      <x:c r="Q1165" t="n">
        <x:v>160000</x:v>
      </x:c>
      <x:c r="R1165" t="str">
        <x:v>2d10</x:v>
      </x:c>
      <x:c r="S1165" t="str">
        <x:v>PO</x:v>
      </x:c>
      <x:c r="T1165" t="n">
        <x:v>0</x:v>
      </x:c>
      <x:c r="U1165" t="n">
        <x:v>5</x:v>
      </x:c>
      <x:c r="V1165" t="n">
        <x:v>0</x:v>
      </x:c>
      <x:c r="W1165" t="n">
        <x:v>0</x:v>
      </x:c>
      <x:c r="X1165" t="str">
        <x:v>VALUE: [[2d10]] PO 5 PO</x:v>
      </x:c>
    </x:row>
    <x:row r="1166">
      <x:c r="P1166" t="str">
        <x:v>13|Démon|Exceptionnelle</x:v>
      </x:c>
      <x:c r="Q1166" t="n">
        <x:v>280000</x:v>
      </x:c>
      <x:c r="R1166" t="str">
        <x:v>3d12</x:v>
      </x:c>
      <x:c r="S1166" t="str">
        <x:v>PO</x:v>
      </x:c>
      <x:c r="T1166" t="n">
        <x:v>0</x:v>
      </x:c>
      <x:c r="U1166" t="n">
        <x:v>8</x:v>
      </x:c>
      <x:c r="V1166" t="n">
        <x:v>50</x:v>
      </x:c>
      <x:c r="W1166" t="n">
        <x:v>0</x:v>
      </x:c>
      <x:c r="X1166" t="str">
        <x:v>VALUE: [[3d12]] PO 8 PO 50 PA</x:v>
      </x:c>
    </x:row>
    <x:row r="1167">
      <x:c r="P1167" t="str">
        <x:v>13|Artificiel|Commune</x:v>
      </x:c>
      <x:c r="Q1167" t="n">
        <x:v>40000</x:v>
      </x:c>
      <x:c r="R1167" t="str">
        <x:v>1d4</x:v>
      </x:c>
      <x:c r="S1167" t="str">
        <x:v>PO</x:v>
      </x:c>
      <x:c r="T1167" t="n">
        <x:v>0</x:v>
      </x:c>
      <x:c r="U1167" t="n">
        <x:v>1</x:v>
      </x:c>
      <x:c r="V1167" t="n">
        <x:v>50</x:v>
      </x:c>
      <x:c r="W1167" t="n">
        <x:v>0</x:v>
      </x:c>
      <x:c r="X1167" t="str">
        <x:v>VALUE: [[1d4]] PO 1 PO 50 PA</x:v>
      </x:c>
    </x:row>
    <x:row r="1168">
      <x:c r="P1168" t="str">
        <x:v>13|Artificiel|Peu commune</x:v>
      </x:c>
      <x:c r="Q1168" t="n">
        <x:v>60000</x:v>
      </x:c>
      <x:c r="R1168" t="str">
        <x:v>1d8</x:v>
      </x:c>
      <x:c r="S1168" t="str">
        <x:v>PO</x:v>
      </x:c>
      <x:c r="T1168" t="n">
        <x:v>0</x:v>
      </x:c>
      <x:c r="U1168" t="n">
        <x:v>1</x:v>
      </x:c>
      <x:c r="V1168" t="n">
        <x:v>50</x:v>
      </x:c>
      <x:c r="W1168" t="n">
        <x:v>0</x:v>
      </x:c>
      <x:c r="X1168" t="str">
        <x:v>VALUE: [[1d8]] PO 1 PO 50 PA</x:v>
      </x:c>
    </x:row>
    <x:row r="1169">
      <x:c r="P1169" t="str">
        <x:v>13|Artificiel|Rare</x:v>
      </x:c>
      <x:c r="Q1169" t="n">
        <x:v>100000</x:v>
      </x:c>
      <x:c r="R1169" t="str">
        <x:v>2d6</x:v>
      </x:c>
      <x:c r="S1169" t="str">
        <x:v>PO</x:v>
      </x:c>
      <x:c r="T1169" t="n">
        <x:v>0</x:v>
      </x:c>
      <x:c r="U1169" t="n">
        <x:v>3</x:v>
      </x:c>
      <x:c r="V1169" t="n">
        <x:v>0</x:v>
      </x:c>
      <x:c r="W1169" t="n">
        <x:v>0</x:v>
      </x:c>
      <x:c r="X1169" t="str">
        <x:v>VALUE: [[2d6]] PO 3 PO</x:v>
      </x:c>
    </x:row>
    <x:row r="1170">
      <x:c r="P1170" t="str">
        <x:v>13|Artificiel|Précieuse</x:v>
      </x:c>
      <x:c r="Q1170" t="n">
        <x:v>160000</x:v>
      </x:c>
      <x:c r="R1170" t="str">
        <x:v>2d10</x:v>
      </x:c>
      <x:c r="S1170" t="str">
        <x:v>PO</x:v>
      </x:c>
      <x:c r="T1170" t="n">
        <x:v>0</x:v>
      </x:c>
      <x:c r="U1170" t="n">
        <x:v>5</x:v>
      </x:c>
      <x:c r="V1170" t="n">
        <x:v>0</x:v>
      </x:c>
      <x:c r="W1170" t="n">
        <x:v>0</x:v>
      </x:c>
      <x:c r="X1170" t="str">
        <x:v>VALUE: [[2d10]] PO 5 PO</x:v>
      </x:c>
    </x:row>
    <x:row r="1171">
      <x:c r="P1171" t="str">
        <x:v>13|Artificiel|Exceptionnelle</x:v>
      </x:c>
      <x:c r="Q1171" t="n">
        <x:v>280000</x:v>
      </x:c>
      <x:c r="R1171" t="str">
        <x:v>3d12</x:v>
      </x:c>
      <x:c r="S1171" t="str">
        <x:v>PO</x:v>
      </x:c>
      <x:c r="T1171" t="n">
        <x:v>0</x:v>
      </x:c>
      <x:c r="U1171" t="n">
        <x:v>8</x:v>
      </x:c>
      <x:c r="V1171" t="n">
        <x:v>50</x:v>
      </x:c>
      <x:c r="W1171" t="n">
        <x:v>0</x:v>
      </x:c>
      <x:c r="X1171" t="str">
        <x:v>VALUE: [[3d12]] PO 8 PO 50 PA</x:v>
      </x:c>
    </x:row>
    <x:row r="1172">
      <x:c r="P1172" t="str">
        <x:v>13|Élémentaire|Commune</x:v>
      </x:c>
      <x:c r="Q1172" t="n">
        <x:v>50000</x:v>
      </x:c>
      <x:c r="R1172" t="str">
        <x:v>1d6</x:v>
      </x:c>
      <x:c r="S1172" t="str">
        <x:v>PO</x:v>
      </x:c>
      <x:c r="T1172" t="n">
        <x:v>0</x:v>
      </x:c>
      <x:c r="U1172" t="n">
        <x:v>1</x:v>
      </x:c>
      <x:c r="V1172" t="n">
        <x:v>50</x:v>
      </x:c>
      <x:c r="W1172" t="n">
        <x:v>0</x:v>
      </x:c>
      <x:c r="X1172" t="str">
        <x:v>VALUE: [[1d6]] PO 1 PO 50 PA</x:v>
      </x:c>
    </x:row>
    <x:row r="1173">
      <x:c r="P1173" t="str">
        <x:v>13|Élémentaire|Peu commune</x:v>
      </x:c>
      <x:c r="Q1173" t="n">
        <x:v>75000</x:v>
      </x:c>
      <x:c r="R1173" t="str">
        <x:v>1d10</x:v>
      </x:c>
      <x:c r="S1173" t="str">
        <x:v>PO</x:v>
      </x:c>
      <x:c r="T1173" t="n">
        <x:v>0</x:v>
      </x:c>
      <x:c r="U1173" t="n">
        <x:v>2</x:v>
      </x:c>
      <x:c r="V1173" t="n">
        <x:v>0</x:v>
      </x:c>
      <x:c r="W1173" t="n">
        <x:v>0</x:v>
      </x:c>
      <x:c r="X1173" t="str">
        <x:v>VALUE: [[1d10]] PO 2 PO</x:v>
      </x:c>
    </x:row>
    <x:row r="1174">
      <x:c r="P1174" t="str">
        <x:v>13|Élémentaire|Rare</x:v>
      </x:c>
      <x:c r="Q1174" t="n">
        <x:v>125000</x:v>
      </x:c>
      <x:c r="R1174" t="str">
        <x:v>2d8</x:v>
      </x:c>
      <x:c r="S1174" t="str">
        <x:v>PO</x:v>
      </x:c>
      <x:c r="T1174" t="n">
        <x:v>0</x:v>
      </x:c>
      <x:c r="U1174" t="n">
        <x:v>3</x:v>
      </x:c>
      <x:c r="V1174" t="n">
        <x:v>50</x:v>
      </x:c>
      <x:c r="W1174" t="n">
        <x:v>0</x:v>
      </x:c>
      <x:c r="X1174" t="str">
        <x:v>VALUE: [[2d8]] PO 3 PO 50 PA</x:v>
      </x:c>
    </x:row>
    <x:row r="1175">
      <x:c r="P1175" t="str">
        <x:v>13|Élémentaire|Précieuse</x:v>
      </x:c>
      <x:c r="Q1175" t="n">
        <x:v>200000</x:v>
      </x:c>
      <x:c r="R1175" t="str">
        <x:v>4d6</x:v>
      </x:c>
      <x:c r="S1175" t="str">
        <x:v>PO</x:v>
      </x:c>
      <x:c r="T1175" t="n">
        <x:v>0</x:v>
      </x:c>
      <x:c r="U1175" t="n">
        <x:v>6</x:v>
      </x:c>
      <x:c r="V1175" t="n">
        <x:v>0</x:v>
      </x:c>
      <x:c r="W1175" t="n">
        <x:v>0</x:v>
      </x:c>
      <x:c r="X1175" t="str">
        <x:v>VALUE: [[4d6]] PO 6 PO</x:v>
      </x:c>
    </x:row>
    <x:row r="1176">
      <x:c r="P1176" t="str">
        <x:v>13|Élémentaire|Exceptionnelle</x:v>
      </x:c>
      <x:c r="Q1176" t="n">
        <x:v>350000</x:v>
      </x:c>
      <x:c r="R1176" t="str">
        <x:v>7d6</x:v>
      </x:c>
      <x:c r="S1176" t="str">
        <x:v>PO</x:v>
      </x:c>
      <x:c r="T1176" t="n">
        <x:v>0</x:v>
      </x:c>
      <x:c r="U1176" t="n">
        <x:v>10</x:v>
      </x:c>
      <x:c r="V1176" t="n">
        <x:v>50</x:v>
      </x:c>
      <x:c r="W1176" t="n">
        <x:v>0</x:v>
      </x:c>
      <x:c r="X1176" t="str">
        <x:v>VALUE: [[7d6]] PO 10 PO 50 PA</x:v>
      </x:c>
    </x:row>
    <x:row r="1177">
      <x:c r="P1177" t="str">
        <x:v>13|Esprit|Commune</x:v>
      </x:c>
      <x:c r="Q1177" t="n">
        <x:v>50000</x:v>
      </x:c>
      <x:c r="R1177" t="str">
        <x:v>1d6</x:v>
      </x:c>
      <x:c r="S1177" t="str">
        <x:v>PO</x:v>
      </x:c>
      <x:c r="T1177" t="n">
        <x:v>0</x:v>
      </x:c>
      <x:c r="U1177" t="n">
        <x:v>1</x:v>
      </x:c>
      <x:c r="V1177" t="n">
        <x:v>50</x:v>
      </x:c>
      <x:c r="W1177" t="n">
        <x:v>0</x:v>
      </x:c>
      <x:c r="X1177" t="str">
        <x:v>VALUE: [[1d6]] PO 1 PO 50 PA</x:v>
      </x:c>
    </x:row>
    <x:row r="1178">
      <x:c r="P1178" t="str">
        <x:v>13|Esprit|Peu commune</x:v>
      </x:c>
      <x:c r="Q1178" t="n">
        <x:v>75000</x:v>
      </x:c>
      <x:c r="R1178" t="str">
        <x:v>1d10</x:v>
      </x:c>
      <x:c r="S1178" t="str">
        <x:v>PO</x:v>
      </x:c>
      <x:c r="T1178" t="n">
        <x:v>0</x:v>
      </x:c>
      <x:c r="U1178" t="n">
        <x:v>2</x:v>
      </x:c>
      <x:c r="V1178" t="n">
        <x:v>0</x:v>
      </x:c>
      <x:c r="W1178" t="n">
        <x:v>0</x:v>
      </x:c>
      <x:c r="X1178" t="str">
        <x:v>VALUE: [[1d10]] PO 2 PO</x:v>
      </x:c>
    </x:row>
    <x:row r="1179">
      <x:c r="P1179" t="str">
        <x:v>13|Esprit|Rare</x:v>
      </x:c>
      <x:c r="Q1179" t="n">
        <x:v>125000</x:v>
      </x:c>
      <x:c r="R1179" t="str">
        <x:v>2d8</x:v>
      </x:c>
      <x:c r="S1179" t="str">
        <x:v>PO</x:v>
      </x:c>
      <x:c r="T1179" t="n">
        <x:v>0</x:v>
      </x:c>
      <x:c r="U1179" t="n">
        <x:v>3</x:v>
      </x:c>
      <x:c r="V1179" t="n">
        <x:v>50</x:v>
      </x:c>
      <x:c r="W1179" t="n">
        <x:v>0</x:v>
      </x:c>
      <x:c r="X1179" t="str">
        <x:v>VALUE: [[2d8]] PO 3 PO 50 PA</x:v>
      </x:c>
    </x:row>
    <x:row r="1180">
      <x:c r="P1180" t="str">
        <x:v>13|Esprit|Précieuse</x:v>
      </x:c>
      <x:c r="Q1180" t="n">
        <x:v>200000</x:v>
      </x:c>
      <x:c r="R1180" t="str">
        <x:v>4d6</x:v>
      </x:c>
      <x:c r="S1180" t="str">
        <x:v>PO</x:v>
      </x:c>
      <x:c r="T1180" t="n">
        <x:v>0</x:v>
      </x:c>
      <x:c r="U1180" t="n">
        <x:v>6</x:v>
      </x:c>
      <x:c r="V1180" t="n">
        <x:v>0</x:v>
      </x:c>
      <x:c r="W1180" t="n">
        <x:v>0</x:v>
      </x:c>
      <x:c r="X1180" t="str">
        <x:v>VALUE: [[4d6]] PO 6 PO</x:v>
      </x:c>
    </x:row>
    <x:row r="1181">
      <x:c r="P1181" t="str">
        <x:v>13|Esprit|Exceptionnelle</x:v>
      </x:c>
      <x:c r="Q1181" t="n">
        <x:v>350000</x:v>
      </x:c>
      <x:c r="R1181" t="str">
        <x:v>7d6</x:v>
      </x:c>
      <x:c r="S1181" t="str">
        <x:v>PO</x:v>
      </x:c>
      <x:c r="T1181" t="n">
        <x:v>0</x:v>
      </x:c>
      <x:c r="U1181" t="n">
        <x:v>10</x:v>
      </x:c>
      <x:c r="V1181" t="n">
        <x:v>50</x:v>
      </x:c>
      <x:c r="W1181" t="n">
        <x:v>0</x:v>
      </x:c>
      <x:c r="X1181" t="str">
        <x:v>VALUE: [[7d6]] PO 10 PO 50 PA</x:v>
      </x:c>
    </x:row>
    <x:row r="1182">
      <x:c r="P1182" t="str">
        <x:v>13|Céleste|Commune</x:v>
      </x:c>
      <x:c r="Q1182" t="n">
        <x:v>60000</x:v>
      </x:c>
      <x:c r="R1182" t="str">
        <x:v>1d8</x:v>
      </x:c>
      <x:c r="S1182" t="str">
        <x:v>PO</x:v>
      </x:c>
      <x:c r="T1182" t="n">
        <x:v>0</x:v>
      </x:c>
      <x:c r="U1182" t="n">
        <x:v>1</x:v>
      </x:c>
      <x:c r="V1182" t="n">
        <x:v>50</x:v>
      </x:c>
      <x:c r="W1182" t="n">
        <x:v>0</x:v>
      </x:c>
      <x:c r="X1182" t="str">
        <x:v>VALUE: [[1d8]] PO 1 PO 50 PA</x:v>
      </x:c>
    </x:row>
    <x:row r="1183">
      <x:c r="P1183" t="str">
        <x:v>13|Céleste|Peu commune</x:v>
      </x:c>
      <x:c r="Q1183" t="n">
        <x:v>90000</x:v>
      </x:c>
      <x:c r="R1183" t="str">
        <x:v>1d12</x:v>
      </x:c>
      <x:c r="S1183" t="str">
        <x:v>PO</x:v>
      </x:c>
      <x:c r="T1183" t="n">
        <x:v>0</x:v>
      </x:c>
      <x:c r="U1183" t="n">
        <x:v>2</x:v>
      </x:c>
      <x:c r="V1183" t="n">
        <x:v>50</x:v>
      </x:c>
      <x:c r="W1183" t="n">
        <x:v>0</x:v>
      </x:c>
      <x:c r="X1183" t="str">
        <x:v>VALUE: [[1d12]] PO 2 PO 50 PA</x:v>
      </x:c>
    </x:row>
    <x:row r="1184">
      <x:c r="P1184" t="str">
        <x:v>13|Céleste|Rare</x:v>
      </x:c>
      <x:c r="Q1184" t="n">
        <x:v>150000</x:v>
      </x:c>
      <x:c r="R1184" t="str">
        <x:v>1d20</x:v>
      </x:c>
      <x:c r="S1184" t="str">
        <x:v>PO</x:v>
      </x:c>
      <x:c r="T1184" t="n">
        <x:v>0</x:v>
      </x:c>
      <x:c r="U1184" t="n">
        <x:v>4</x:v>
      </x:c>
      <x:c r="V1184" t="n">
        <x:v>50</x:v>
      </x:c>
      <x:c r="W1184" t="n">
        <x:v>0</x:v>
      </x:c>
      <x:c r="X1184" t="str">
        <x:v>VALUE: [[1d20]] PO 4 PO 50 PA</x:v>
      </x:c>
    </x:row>
    <x:row r="1185">
      <x:c r="P1185" t="str">
        <x:v>13|Céleste|Précieuse</x:v>
      </x:c>
      <x:c r="Q1185" t="n">
        <x:v>240000</x:v>
      </x:c>
      <x:c r="R1185" t="str">
        <x:v>3d10</x:v>
      </x:c>
      <x:c r="S1185" t="str">
        <x:v>PO</x:v>
      </x:c>
      <x:c r="T1185" t="n">
        <x:v>0</x:v>
      </x:c>
      <x:c r="U1185" t="n">
        <x:v>7</x:v>
      </x:c>
      <x:c r="V1185" t="n">
        <x:v>50</x:v>
      </x:c>
      <x:c r="W1185" t="n">
        <x:v>0</x:v>
      </x:c>
      <x:c r="X1185" t="str">
        <x:v>VALUE: [[3d10]] PO 7 PO 50 PA</x:v>
      </x:c>
    </x:row>
    <x:row r="1186">
      <x:c r="P1186" t="str">
        <x:v>13|Céleste|Exceptionnelle</x:v>
      </x:c>
      <x:c r="Q1186" t="n">
        <x:v>420000</x:v>
      </x:c>
      <x:c r="R1186" t="str">
        <x:v>8d6</x:v>
      </x:c>
      <x:c r="S1186" t="str">
        <x:v>PO</x:v>
      </x:c>
      <x:c r="T1186" t="n">
        <x:v>0</x:v>
      </x:c>
      <x:c r="U1186" t="n">
        <x:v>14</x:v>
      </x:c>
      <x:c r="V1186" t="n">
        <x:v>0</x:v>
      </x:c>
      <x:c r="W1186" t="n">
        <x:v>0</x:v>
      </x:c>
      <x:c r="X1186" t="str">
        <x:v>VALUE: [[8d6]] PO 14 PO</x:v>
      </x:c>
    </x:row>
    <x:row r="1187">
      <x:c r="P1187" t="str">
        <x:v>13|Dragon|Commune</x:v>
      </x:c>
      <x:c r="Q1187" t="n">
        <x:v>100000</x:v>
      </x:c>
      <x:c r="R1187" t="str">
        <x:v>2d6</x:v>
      </x:c>
      <x:c r="S1187" t="str">
        <x:v>PO</x:v>
      </x:c>
      <x:c r="T1187" t="n">
        <x:v>0</x:v>
      </x:c>
      <x:c r="U1187" t="n">
        <x:v>3</x:v>
      </x:c>
      <x:c r="V1187" t="n">
        <x:v>0</x:v>
      </x:c>
      <x:c r="W1187" t="n">
        <x:v>0</x:v>
      </x:c>
      <x:c r="X1187" t="str">
        <x:v>VALUE: [[2d6]] PO 3 PO</x:v>
      </x:c>
    </x:row>
    <x:row r="1188">
      <x:c r="P1188" t="str">
        <x:v>13|Dragon|Peu commune</x:v>
      </x:c>
      <x:c r="Q1188" t="n">
        <x:v>150000</x:v>
      </x:c>
      <x:c r="R1188" t="str">
        <x:v>1d20</x:v>
      </x:c>
      <x:c r="S1188" t="str">
        <x:v>PO</x:v>
      </x:c>
      <x:c r="T1188" t="n">
        <x:v>0</x:v>
      </x:c>
      <x:c r="U1188" t="n">
        <x:v>4</x:v>
      </x:c>
      <x:c r="V1188" t="n">
        <x:v>50</x:v>
      </x:c>
      <x:c r="W1188" t="n">
        <x:v>0</x:v>
      </x:c>
      <x:c r="X1188" t="str">
        <x:v>VALUE: [[1d20]] PO 4 PO 50 PA</x:v>
      </x:c>
    </x:row>
    <x:row r="1189">
      <x:c r="P1189" t="str">
        <x:v>13|Dragon|Rare</x:v>
      </x:c>
      <x:c r="Q1189" t="n">
        <x:v>250000</x:v>
      </x:c>
      <x:c r="R1189" t="str">
        <x:v>5d6</x:v>
      </x:c>
      <x:c r="S1189" t="str">
        <x:v>PO</x:v>
      </x:c>
      <x:c r="T1189" t="n">
        <x:v>0</x:v>
      </x:c>
      <x:c r="U1189" t="n">
        <x:v>7</x:v>
      </x:c>
      <x:c r="V1189" t="n">
        <x:v>50</x:v>
      </x:c>
      <x:c r="W1189" t="n">
        <x:v>0</x:v>
      </x:c>
      <x:c r="X1189" t="str">
        <x:v>VALUE: [[5d6]] PO 7 PO 50 PA</x:v>
      </x:c>
    </x:row>
    <x:row r="1190">
      <x:c r="P1190" t="str">
        <x:v>13|Dragon|Précieuse</x:v>
      </x:c>
      <x:c r="Q1190" t="n">
        <x:v>400000</x:v>
      </x:c>
      <x:c r="R1190" t="str">
        <x:v>8d6</x:v>
      </x:c>
      <x:c r="S1190" t="str">
        <x:v>PO</x:v>
      </x:c>
      <x:c r="T1190" t="n">
        <x:v>0</x:v>
      </x:c>
      <x:c r="U1190" t="n">
        <x:v>12</x:v>
      </x:c>
      <x:c r="V1190" t="n">
        <x:v>0</x:v>
      </x:c>
      <x:c r="W1190" t="n">
        <x:v>0</x:v>
      </x:c>
      <x:c r="X1190" t="str">
        <x:v>VALUE: [[8d6]] PO 12 PO</x:v>
      </x:c>
    </x:row>
    <x:row r="1191">
      <x:c r="P1191" t="str">
        <x:v>13|Dragon|Exceptionnelle</x:v>
      </x:c>
      <x:c r="Q1191" t="n">
        <x:v>700000</x:v>
      </x:c>
      <x:c r="R1191" t="str">
        <x:v>9d10</x:v>
      </x:c>
      <x:c r="S1191" t="str">
        <x:v>PO</x:v>
      </x:c>
      <x:c r="T1191" t="n">
        <x:v>0</x:v>
      </x:c>
      <x:c r="U1191" t="n">
        <x:v>20</x:v>
      </x:c>
      <x:c r="V1191" t="n">
        <x:v>50</x:v>
      </x:c>
      <x:c r="W1191" t="n">
        <x:v>0</x:v>
      </x:c>
      <x:c r="X1191" t="str">
        <x:v>VALUE: [[9d10]] PO 20 PO 50 PA</x:v>
      </x:c>
    </x:row>
    <x:row r="1192">
      <x:c r="P1192" t="str">
        <x:v>14|Vermine|Commune</x:v>
      </x:c>
      <x:c r="Q1192" t="n">
        <x:v>14000</x:v>
      </x:c>
      <x:c r="R1192" t="str">
        <x:v>9d20</x:v>
      </x:c>
      <x:c r="S1192" t="str">
        <x:v>PA</x:v>
      </x:c>
      <x:c r="T1192" t="n">
        <x:v>0</x:v>
      </x:c>
      <x:c r="U1192" t="n">
        <x:v>0</x:v>
      </x:c>
      <x:c r="V1192" t="n">
        <x:v>45</x:v>
      </x:c>
      <x:c r="W1192" t="n">
        <x:v>50</x:v>
      </x:c>
      <x:c r="X1192" t="str">
        <x:v>VALUE: [[9d20]] PA 45 PA 50 PC</x:v>
      </x:c>
    </x:row>
    <x:row r="1193">
      <x:c r="P1193" t="str">
        <x:v>14|Vermine|Peu commune</x:v>
      </x:c>
      <x:c r="Q1193" t="n">
        <x:v>21000</x:v>
      </x:c>
      <x:c r="R1193" t="str">
        <x:v>10d20</x:v>
      </x:c>
      <x:c r="S1193" t="str">
        <x:v>PA</x:v>
      </x:c>
      <x:c r="T1193" t="n">
        <x:v>0</x:v>
      </x:c>
      <x:c r="U1193" t="n">
        <x:v>1</x:v>
      </x:c>
      <x:c r="V1193" t="n">
        <x:v>5</x:v>
      </x:c>
      <x:c r="W1193" t="n">
        <x:v>0</x:v>
      </x:c>
      <x:c r="X1193" t="str">
        <x:v>VALUE: [[10d20]] PA 1 PO 5 PA</x:v>
      </x:c>
    </x:row>
    <x:row r="1194">
      <x:c r="P1194" t="str">
        <x:v>14|Vermine|Rare</x:v>
      </x:c>
      <x:c r="Q1194" t="n">
        <x:v>35000</x:v>
      </x:c>
      <x:c r="R1194" t="str">
        <x:v>1d4</x:v>
      </x:c>
      <x:c r="S1194" t="str">
        <x:v>PO</x:v>
      </x:c>
      <x:c r="T1194" t="n">
        <x:v>0</x:v>
      </x:c>
      <x:c r="U1194" t="n">
        <x:v>1</x:v>
      </x:c>
      <x:c r="V1194" t="n">
        <x:v>0</x:v>
      </x:c>
      <x:c r="W1194" t="n">
        <x:v>0</x:v>
      </x:c>
      <x:c r="X1194" t="str">
        <x:v>VALUE: [[1d4]] PO 1 PO</x:v>
      </x:c>
    </x:row>
    <x:row r="1195">
      <x:c r="P1195" t="str">
        <x:v>14|Vermine|Précieuse</x:v>
      </x:c>
      <x:c r="Q1195" t="n">
        <x:v>56000</x:v>
      </x:c>
      <x:c r="R1195" t="str">
        <x:v>1d6</x:v>
      </x:c>
      <x:c r="S1195" t="str">
        <x:v>PO</x:v>
      </x:c>
      <x:c r="T1195" t="n">
        <x:v>0</x:v>
      </x:c>
      <x:c r="U1195" t="n">
        <x:v>2</x:v>
      </x:c>
      <x:c r="V1195" t="n">
        <x:v>10</x:v>
      </x:c>
      <x:c r="W1195" t="n">
        <x:v>0</x:v>
      </x:c>
      <x:c r="X1195" t="str">
        <x:v>VALUE: [[1d6]] PO 2 PO 10 PA</x:v>
      </x:c>
    </x:row>
    <x:row r="1196">
      <x:c r="P1196" t="str">
        <x:v>14|Vermine|Exceptionnelle</x:v>
      </x:c>
      <x:c r="Q1196" t="n">
        <x:v>98000</x:v>
      </x:c>
      <x:c r="R1196" t="str">
        <x:v>2d6</x:v>
      </x:c>
      <x:c r="S1196" t="str">
        <x:v>PO</x:v>
      </x:c>
      <x:c r="T1196" t="n">
        <x:v>0</x:v>
      </x:c>
      <x:c r="U1196" t="n">
        <x:v>2</x:v>
      </x:c>
      <x:c r="V1196" t="n">
        <x:v>80</x:v>
      </x:c>
      <x:c r="W1196" t="n">
        <x:v>0</x:v>
      </x:c>
      <x:c r="X1196" t="str">
        <x:v>VALUE: [[2d6]] PO 2 PO 80 PA</x:v>
      </x:c>
    </x:row>
    <x:row r="1197">
      <x:c r="P1197" t="str">
        <x:v>14|Bête|Commune</x:v>
      </x:c>
      <x:c r="Q1197" t="n">
        <x:v>24000</x:v>
      </x:c>
      <x:c r="R1197" t="str">
        <x:v>10d20</x:v>
      </x:c>
      <x:c r="S1197" t="str">
        <x:v>PA</x:v>
      </x:c>
      <x:c r="T1197" t="n">
        <x:v>0</x:v>
      </x:c>
      <x:c r="U1197" t="n">
        <x:v>1</x:v>
      </x:c>
      <x:c r="V1197" t="n">
        <x:v>35</x:v>
      </x:c>
      <x:c r="W1197" t="n">
        <x:v>0</x:v>
      </x:c>
      <x:c r="X1197" t="str">
        <x:v>VALUE: [[10d20]] PA 1 PO 35 PA</x:v>
      </x:c>
    </x:row>
    <x:row r="1198">
      <x:c r="P1198" t="str">
        <x:v>14|Bête|Peu commune</x:v>
      </x:c>
      <x:c r="Q1198" t="n">
        <x:v>36000</x:v>
      </x:c>
      <x:c r="R1198" t="str">
        <x:v>1d4</x:v>
      </x:c>
      <x:c r="S1198" t="str">
        <x:v>PO</x:v>
      </x:c>
      <x:c r="T1198" t="n">
        <x:v>0</x:v>
      </x:c>
      <x:c r="U1198" t="n">
        <x:v>1</x:v>
      </x:c>
      <x:c r="V1198" t="n">
        <x:v>10</x:v>
      </x:c>
      <x:c r="W1198" t="n">
        <x:v>0</x:v>
      </x:c>
      <x:c r="X1198" t="str">
        <x:v>VALUE: [[1d4]] PO 1 PO 10 PA</x:v>
      </x:c>
    </x:row>
    <x:row r="1199">
      <x:c r="P1199" t="str">
        <x:v>14|Bête|Rare</x:v>
      </x:c>
      <x:c r="Q1199" t="n">
        <x:v>60000</x:v>
      </x:c>
      <x:c r="R1199" t="str">
        <x:v>1d8</x:v>
      </x:c>
      <x:c r="S1199" t="str">
        <x:v>PO</x:v>
      </x:c>
      <x:c r="T1199" t="n">
        <x:v>0</x:v>
      </x:c>
      <x:c r="U1199" t="n">
        <x:v>1</x:v>
      </x:c>
      <x:c r="V1199" t="n">
        <x:v>50</x:v>
      </x:c>
      <x:c r="W1199" t="n">
        <x:v>0</x:v>
      </x:c>
      <x:c r="X1199" t="str">
        <x:v>VALUE: [[1d8]] PO 1 PO 50 PA</x:v>
      </x:c>
    </x:row>
    <x:row r="1200">
      <x:c r="P1200" t="str">
        <x:v>14|Bête|Précieuse</x:v>
      </x:c>
      <x:c r="Q1200" t="n">
        <x:v>96000</x:v>
      </x:c>
      <x:c r="R1200" t="str">
        <x:v>1d12</x:v>
      </x:c>
      <x:c r="S1200" t="str">
        <x:v>PO</x:v>
      </x:c>
      <x:c r="T1200" t="n">
        <x:v>0</x:v>
      </x:c>
      <x:c r="U1200" t="n">
        <x:v>3</x:v>
      </x:c>
      <x:c r="V1200" t="n">
        <x:v>10</x:v>
      </x:c>
      <x:c r="W1200" t="n">
        <x:v>0</x:v>
      </x:c>
      <x:c r="X1200" t="str">
        <x:v>VALUE: [[1d12]] PO 3 PO 10 PA</x:v>
      </x:c>
    </x:row>
    <x:row r="1201">
      <x:c r="P1201" t="str">
        <x:v>14|Bête|Exceptionnelle</x:v>
      </x:c>
      <x:c r="Q1201" t="n">
        <x:v>168000</x:v>
      </x:c>
      <x:c r="R1201" t="str">
        <x:v>5d4</x:v>
      </x:c>
      <x:c r="S1201" t="str">
        <x:v>PO</x:v>
      </x:c>
      <x:c r="T1201" t="n">
        <x:v>0</x:v>
      </x:c>
      <x:c r="U1201" t="n">
        <x:v>4</x:v>
      </x:c>
      <x:c r="V1201" t="n">
        <x:v>30</x:v>
      </x:c>
      <x:c r="W1201" t="n">
        <x:v>0</x:v>
      </x:c>
      <x:c r="X1201" t="str">
        <x:v>VALUE: [[5d4]] PO 4 PO 30 PA</x:v>
      </x:c>
    </x:row>
    <x:row r="1202">
      <x:c r="P1202" t="str">
        <x:v>14|Aquatique|Commune</x:v>
      </x:c>
      <x:c r="Q1202" t="n">
        <x:v>28000</x:v>
      </x:c>
      <x:c r="R1202" t="str">
        <x:v>1d4</x:v>
      </x:c>
      <x:c r="S1202" t="str">
        <x:v>PO</x:v>
      </x:c>
      <x:c r="T1202" t="n">
        <x:v>0</x:v>
      </x:c>
      <x:c r="U1202" t="n">
        <x:v>0</x:v>
      </x:c>
      <x:c r="V1202" t="n">
        <x:v>30</x:v>
      </x:c>
      <x:c r="W1202" t="n">
        <x:v>0</x:v>
      </x:c>
      <x:c r="X1202" t="str">
        <x:v>VALUE: [[1d4]] PO 30 PA</x:v>
      </x:c>
    </x:row>
    <x:row r="1203">
      <x:c r="P1203" t="str">
        <x:v>14|Aquatique|Peu commune</x:v>
      </x:c>
      <x:c r="Q1203" t="n">
        <x:v>42000</x:v>
      </x:c>
      <x:c r="R1203" t="str">
        <x:v>1d4</x:v>
      </x:c>
      <x:c r="S1203" t="str">
        <x:v>PO</x:v>
      </x:c>
      <x:c r="T1203" t="n">
        <x:v>0</x:v>
      </x:c>
      <x:c r="U1203" t="n">
        <x:v>1</x:v>
      </x:c>
      <x:c r="V1203" t="n">
        <x:v>70</x:v>
      </x:c>
      <x:c r="W1203" t="n">
        <x:v>0</x:v>
      </x:c>
      <x:c r="X1203" t="str">
        <x:v>VALUE: [[1d4]] PO 1 PO 70 PA</x:v>
      </x:c>
    </x:row>
    <x:row r="1204">
      <x:c r="P1204" t="str">
        <x:v>14|Aquatique|Rare</x:v>
      </x:c>
      <x:c r="Q1204" t="n">
        <x:v>70000</x:v>
      </x:c>
      <x:c r="R1204" t="str">
        <x:v>2d4</x:v>
      </x:c>
      <x:c r="S1204" t="str">
        <x:v>PO</x:v>
      </x:c>
      <x:c r="T1204" t="n">
        <x:v>0</x:v>
      </x:c>
      <x:c r="U1204" t="n">
        <x:v>2</x:v>
      </x:c>
      <x:c r="V1204" t="n">
        <x:v>0</x:v>
      </x:c>
      <x:c r="W1204" t="n">
        <x:v>0</x:v>
      </x:c>
      <x:c r="X1204" t="str">
        <x:v>VALUE: [[2d4]] PO 2 PO</x:v>
      </x:c>
    </x:row>
    <x:row r="1205">
      <x:c r="P1205" t="str">
        <x:v>14|Aquatique|Précieuse</x:v>
      </x:c>
      <x:c r="Q1205" t="n">
        <x:v>112000</x:v>
      </x:c>
      <x:c r="R1205" t="str">
        <x:v>3d4</x:v>
      </x:c>
      <x:c r="S1205" t="str">
        <x:v>PO</x:v>
      </x:c>
      <x:c r="T1205" t="n">
        <x:v>0</x:v>
      </x:c>
      <x:c r="U1205" t="n">
        <x:v>3</x:v>
      </x:c>
      <x:c r="V1205" t="n">
        <x:v>70</x:v>
      </x:c>
      <x:c r="W1205" t="n">
        <x:v>0</x:v>
      </x:c>
      <x:c r="X1205" t="str">
        <x:v>VALUE: [[3d4]] PO 3 PO 70 PA</x:v>
      </x:c>
    </x:row>
    <x:row r="1206">
      <x:c r="P1206" t="str">
        <x:v>14|Aquatique|Exceptionnelle</x:v>
      </x:c>
      <x:c r="Q1206" t="n">
        <x:v>196000</x:v>
      </x:c>
      <x:c r="R1206" t="str">
        <x:v>3d8</x:v>
      </x:c>
      <x:c r="S1206" t="str">
        <x:v>PO</x:v>
      </x:c>
      <x:c r="T1206" t="n">
        <x:v>0</x:v>
      </x:c>
      <x:c r="U1206" t="n">
        <x:v>6</x:v>
      </x:c>
      <x:c r="V1206" t="n">
        <x:v>10</x:v>
      </x:c>
      <x:c r="W1206" t="n">
        <x:v>0</x:v>
      </x:c>
      <x:c r="X1206" t="str">
        <x:v>VALUE: [[3d8]] PO 6 PO 10 PA</x:v>
      </x:c>
    </x:row>
    <x:row r="1207">
      <x:c r="P1207" t="str">
        <x:v>14|Plante|Commune</x:v>
      </x:c>
      <x:c r="Q1207" t="n">
        <x:v>32000</x:v>
      </x:c>
      <x:c r="R1207" t="str">
        <x:v>1d4</x:v>
      </x:c>
      <x:c r="S1207" t="str">
        <x:v>PO</x:v>
      </x:c>
      <x:c r="T1207" t="n">
        <x:v>0</x:v>
      </x:c>
      <x:c r="U1207" t="n">
        <x:v>0</x:v>
      </x:c>
      <x:c r="V1207" t="n">
        <x:v>70</x:v>
      </x:c>
      <x:c r="W1207" t="n">
        <x:v>0</x:v>
      </x:c>
      <x:c r="X1207" t="str">
        <x:v>VALUE: [[1d4]] PO 70 PA</x:v>
      </x:c>
    </x:row>
    <x:row r="1208">
      <x:c r="P1208" t="str">
        <x:v>14|Plante|Peu commune</x:v>
      </x:c>
      <x:c r="Q1208" t="n">
        <x:v>48000</x:v>
      </x:c>
      <x:c r="R1208" t="str">
        <x:v>1d6</x:v>
      </x:c>
      <x:c r="S1208" t="str">
        <x:v>PO</x:v>
      </x:c>
      <x:c r="T1208" t="n">
        <x:v>0</x:v>
      </x:c>
      <x:c r="U1208" t="n">
        <x:v>1</x:v>
      </x:c>
      <x:c r="V1208" t="n">
        <x:v>30</x:v>
      </x:c>
      <x:c r="W1208" t="n">
        <x:v>0</x:v>
      </x:c>
      <x:c r="X1208" t="str">
        <x:v>VALUE: [[1d6]] PO 1 PO 30 PA</x:v>
      </x:c>
    </x:row>
    <x:row r="1209">
      <x:c r="P1209" t="str">
        <x:v>14|Plante|Rare</x:v>
      </x:c>
      <x:c r="Q1209" t="n">
        <x:v>80000</x:v>
      </x:c>
      <x:c r="R1209" t="str">
        <x:v>1d10</x:v>
      </x:c>
      <x:c r="S1209" t="str">
        <x:v>PO</x:v>
      </x:c>
      <x:c r="T1209" t="n">
        <x:v>0</x:v>
      </x:c>
      <x:c r="U1209" t="n">
        <x:v>2</x:v>
      </x:c>
      <x:c r="V1209" t="n">
        <x:v>50</x:v>
      </x:c>
      <x:c r="W1209" t="n">
        <x:v>0</x:v>
      </x:c>
      <x:c r="X1209" t="str">
        <x:v>VALUE: [[1d10]] PO 2 PO 50 PA</x:v>
      </x:c>
    </x:row>
    <x:row r="1210">
      <x:c r="P1210" t="str">
        <x:v>14|Plante|Précieuse</x:v>
      </x:c>
      <x:c r="Q1210" t="n">
        <x:v>128000</x:v>
      </x:c>
      <x:c r="R1210" t="str">
        <x:v>2d8</x:v>
      </x:c>
      <x:c r="S1210" t="str">
        <x:v>PO</x:v>
      </x:c>
      <x:c r="T1210" t="n">
        <x:v>0</x:v>
      </x:c>
      <x:c r="U1210" t="n">
        <x:v>3</x:v>
      </x:c>
      <x:c r="V1210" t="n">
        <x:v>80</x:v>
      </x:c>
      <x:c r="W1210" t="n">
        <x:v>0</x:v>
      </x:c>
      <x:c r="X1210" t="str">
        <x:v>VALUE: [[2d8]] PO 3 PO 80 PA</x:v>
      </x:c>
    </x:row>
    <x:row r="1211">
      <x:c r="P1211" t="str">
        <x:v>14|Plante|Exceptionnelle</x:v>
      </x:c>
      <x:c r="Q1211" t="n">
        <x:v>224000</x:v>
      </x:c>
      <x:c r="R1211" t="str">
        <x:v>6d4</x:v>
      </x:c>
      <x:c r="S1211" t="str">
        <x:v>PO</x:v>
      </x:c>
      <x:c r="T1211" t="n">
        <x:v>0</x:v>
      </x:c>
      <x:c r="U1211" t="n">
        <x:v>7</x:v>
      </x:c>
      <x:c r="V1211" t="n">
        <x:v>40</x:v>
      </x:c>
      <x:c r="W1211" t="n">
        <x:v>0</x:v>
      </x:c>
      <x:c r="X1211" t="str">
        <x:v>VALUE: [[6d4]] PO 7 PO 40 PA</x:v>
      </x:c>
    </x:row>
    <x:row r="1212">
      <x:c r="P1212" t="str">
        <x:v>14|Humanoïde|Commune</x:v>
      </x:c>
      <x:c r="Q1212" t="n">
        <x:v>40000</x:v>
      </x:c>
      <x:c r="R1212" t="str">
        <x:v>1d4</x:v>
      </x:c>
      <x:c r="S1212" t="str">
        <x:v>PO</x:v>
      </x:c>
      <x:c r="T1212" t="n">
        <x:v>0</x:v>
      </x:c>
      <x:c r="U1212" t="n">
        <x:v>1</x:v>
      </x:c>
      <x:c r="V1212" t="n">
        <x:v>50</x:v>
      </x:c>
      <x:c r="W1212" t="n">
        <x:v>0</x:v>
      </x:c>
      <x:c r="X1212" t="str">
        <x:v>VALUE: [[1d4]] PO 1 PO 50 PA</x:v>
      </x:c>
    </x:row>
    <x:row r="1213">
      <x:c r="P1213" t="str">
        <x:v>14|Humanoïde|Peu commune</x:v>
      </x:c>
      <x:c r="Q1213" t="n">
        <x:v>60000</x:v>
      </x:c>
      <x:c r="R1213" t="str">
        <x:v>1d8</x:v>
      </x:c>
      <x:c r="S1213" t="str">
        <x:v>PO</x:v>
      </x:c>
      <x:c r="T1213" t="n">
        <x:v>0</x:v>
      </x:c>
      <x:c r="U1213" t="n">
        <x:v>1</x:v>
      </x:c>
      <x:c r="V1213" t="n">
        <x:v>50</x:v>
      </x:c>
      <x:c r="W1213" t="n">
        <x:v>0</x:v>
      </x:c>
      <x:c r="X1213" t="str">
        <x:v>VALUE: [[1d8]] PO 1 PO 50 PA</x:v>
      </x:c>
    </x:row>
    <x:row r="1214">
      <x:c r="P1214" t="str">
        <x:v>14|Humanoïde|Rare</x:v>
      </x:c>
      <x:c r="Q1214" t="n">
        <x:v>100000</x:v>
      </x:c>
      <x:c r="R1214" t="str">
        <x:v>2d6</x:v>
      </x:c>
      <x:c r="S1214" t="str">
        <x:v>PO</x:v>
      </x:c>
      <x:c r="T1214" t="n">
        <x:v>0</x:v>
      </x:c>
      <x:c r="U1214" t="n">
        <x:v>3</x:v>
      </x:c>
      <x:c r="V1214" t="n">
        <x:v>0</x:v>
      </x:c>
      <x:c r="W1214" t="n">
        <x:v>0</x:v>
      </x:c>
      <x:c r="X1214" t="str">
        <x:v>VALUE: [[2d6]] PO 3 PO</x:v>
      </x:c>
    </x:row>
    <x:row r="1215">
      <x:c r="P1215" t="str">
        <x:v>14|Humanoïde|Précieuse</x:v>
      </x:c>
      <x:c r="Q1215" t="n">
        <x:v>160000</x:v>
      </x:c>
      <x:c r="R1215" t="str">
        <x:v>2d10</x:v>
      </x:c>
      <x:c r="S1215" t="str">
        <x:v>PO</x:v>
      </x:c>
      <x:c r="T1215" t="n">
        <x:v>0</x:v>
      </x:c>
      <x:c r="U1215" t="n">
        <x:v>5</x:v>
      </x:c>
      <x:c r="V1215" t="n">
        <x:v>0</x:v>
      </x:c>
      <x:c r="W1215" t="n">
        <x:v>0</x:v>
      </x:c>
      <x:c r="X1215" t="str">
        <x:v>VALUE: [[2d10]] PO 5 PO</x:v>
      </x:c>
    </x:row>
    <x:row r="1216">
      <x:c r="P1216" t="str">
        <x:v>14|Humanoïde|Exceptionnelle</x:v>
      </x:c>
      <x:c r="Q1216" t="n">
        <x:v>280000</x:v>
      </x:c>
      <x:c r="R1216" t="str">
        <x:v>3d12</x:v>
      </x:c>
      <x:c r="S1216" t="str">
        <x:v>PO</x:v>
      </x:c>
      <x:c r="T1216" t="n">
        <x:v>0</x:v>
      </x:c>
      <x:c r="U1216" t="n">
        <x:v>8</x:v>
      </x:c>
      <x:c r="V1216" t="n">
        <x:v>50</x:v>
      </x:c>
      <x:c r="W1216" t="n">
        <x:v>0</x:v>
      </x:c>
      <x:c r="X1216" t="str">
        <x:v>VALUE: [[3d12]] PO 8 PO 50 PA</x:v>
      </x:c>
    </x:row>
    <x:row r="1217">
      <x:c r="P1217" t="str">
        <x:v>14|Mort-vivant|Commune</x:v>
      </x:c>
      <x:c r="Q1217" t="n">
        <x:v>40000</x:v>
      </x:c>
      <x:c r="R1217" t="str">
        <x:v>1d4</x:v>
      </x:c>
      <x:c r="S1217" t="str">
        <x:v>PO</x:v>
      </x:c>
      <x:c r="T1217" t="n">
        <x:v>0</x:v>
      </x:c>
      <x:c r="U1217" t="n">
        <x:v>1</x:v>
      </x:c>
      <x:c r="V1217" t="n">
        <x:v>50</x:v>
      </x:c>
      <x:c r="W1217" t="n">
        <x:v>0</x:v>
      </x:c>
      <x:c r="X1217" t="str">
        <x:v>VALUE: [[1d4]] PO 1 PO 50 PA</x:v>
      </x:c>
    </x:row>
    <x:row r="1218">
      <x:c r="P1218" t="str">
        <x:v>14|Mort-vivant|Peu commune</x:v>
      </x:c>
      <x:c r="Q1218" t="n">
        <x:v>60000</x:v>
      </x:c>
      <x:c r="R1218" t="str">
        <x:v>1d8</x:v>
      </x:c>
      <x:c r="S1218" t="str">
        <x:v>PO</x:v>
      </x:c>
      <x:c r="T1218" t="n">
        <x:v>0</x:v>
      </x:c>
      <x:c r="U1218" t="n">
        <x:v>1</x:v>
      </x:c>
      <x:c r="V1218" t="n">
        <x:v>50</x:v>
      </x:c>
      <x:c r="W1218" t="n">
        <x:v>0</x:v>
      </x:c>
      <x:c r="X1218" t="str">
        <x:v>VALUE: [[1d8]] PO 1 PO 50 PA</x:v>
      </x:c>
    </x:row>
    <x:row r="1219">
      <x:c r="P1219" t="str">
        <x:v>14|Mort-vivant|Rare</x:v>
      </x:c>
      <x:c r="Q1219" t="n">
        <x:v>100000</x:v>
      </x:c>
      <x:c r="R1219" t="str">
        <x:v>2d6</x:v>
      </x:c>
      <x:c r="S1219" t="str">
        <x:v>PO</x:v>
      </x:c>
      <x:c r="T1219" t="n">
        <x:v>0</x:v>
      </x:c>
      <x:c r="U1219" t="n">
        <x:v>3</x:v>
      </x:c>
      <x:c r="V1219" t="n">
        <x:v>0</x:v>
      </x:c>
      <x:c r="W1219" t="n">
        <x:v>0</x:v>
      </x:c>
      <x:c r="X1219" t="str">
        <x:v>VALUE: [[2d6]] PO 3 PO</x:v>
      </x:c>
    </x:row>
    <x:row r="1220">
      <x:c r="P1220" t="str">
        <x:v>14|Mort-vivant|Précieuse</x:v>
      </x:c>
      <x:c r="Q1220" t="n">
        <x:v>160000</x:v>
      </x:c>
      <x:c r="R1220" t="str">
        <x:v>2d10</x:v>
      </x:c>
      <x:c r="S1220" t="str">
        <x:v>PO</x:v>
      </x:c>
      <x:c r="T1220" t="n">
        <x:v>0</x:v>
      </x:c>
      <x:c r="U1220" t="n">
        <x:v>5</x:v>
      </x:c>
      <x:c r="V1220" t="n">
        <x:v>0</x:v>
      </x:c>
      <x:c r="W1220" t="n">
        <x:v>0</x:v>
      </x:c>
      <x:c r="X1220" t="str">
        <x:v>VALUE: [[2d10]] PO 5 PO</x:v>
      </x:c>
    </x:row>
    <x:row r="1221">
      <x:c r="P1221" t="str">
        <x:v>14|Mort-vivant|Exceptionnelle</x:v>
      </x:c>
      <x:c r="Q1221" t="n">
        <x:v>280000</x:v>
      </x:c>
      <x:c r="R1221" t="str">
        <x:v>3d12</x:v>
      </x:c>
      <x:c r="S1221" t="str">
        <x:v>PO</x:v>
      </x:c>
      <x:c r="T1221" t="n">
        <x:v>0</x:v>
      </x:c>
      <x:c r="U1221" t="n">
        <x:v>8</x:v>
      </x:c>
      <x:c r="V1221" t="n">
        <x:v>50</x:v>
      </x:c>
      <x:c r="W1221" t="n">
        <x:v>0</x:v>
      </x:c>
      <x:c r="X1221" t="str">
        <x:v>VALUE: [[3d12]] PO 8 PO 50 PA</x:v>
      </x:c>
    </x:row>
    <x:row r="1222">
      <x:c r="P1222" t="str">
        <x:v>14|Monstre|Commune</x:v>
      </x:c>
      <x:c r="Q1222" t="n">
        <x:v>40000</x:v>
      </x:c>
      <x:c r="R1222" t="str">
        <x:v>1d4</x:v>
      </x:c>
      <x:c r="S1222" t="str">
        <x:v>PO</x:v>
      </x:c>
      <x:c r="T1222" t="n">
        <x:v>0</x:v>
      </x:c>
      <x:c r="U1222" t="n">
        <x:v>1</x:v>
      </x:c>
      <x:c r="V1222" t="n">
        <x:v>50</x:v>
      </x:c>
      <x:c r="W1222" t="n">
        <x:v>0</x:v>
      </x:c>
      <x:c r="X1222" t="str">
        <x:v>VALUE: [[1d4]] PO 1 PO 50 PA</x:v>
      </x:c>
    </x:row>
    <x:row r="1223">
      <x:c r="P1223" t="str">
        <x:v>14|Monstre|Peu commune</x:v>
      </x:c>
      <x:c r="Q1223" t="n">
        <x:v>60000</x:v>
      </x:c>
      <x:c r="R1223" t="str">
        <x:v>1d8</x:v>
      </x:c>
      <x:c r="S1223" t="str">
        <x:v>PO</x:v>
      </x:c>
      <x:c r="T1223" t="n">
        <x:v>0</x:v>
      </x:c>
      <x:c r="U1223" t="n">
        <x:v>1</x:v>
      </x:c>
      <x:c r="V1223" t="n">
        <x:v>50</x:v>
      </x:c>
      <x:c r="W1223" t="n">
        <x:v>0</x:v>
      </x:c>
      <x:c r="X1223" t="str">
        <x:v>VALUE: [[1d8]] PO 1 PO 50 PA</x:v>
      </x:c>
    </x:row>
    <x:row r="1224">
      <x:c r="P1224" t="str">
        <x:v>14|Monstre|Rare</x:v>
      </x:c>
      <x:c r="Q1224" t="n">
        <x:v>100000</x:v>
      </x:c>
      <x:c r="R1224" t="str">
        <x:v>2d6</x:v>
      </x:c>
      <x:c r="S1224" t="str">
        <x:v>PO</x:v>
      </x:c>
      <x:c r="T1224" t="n">
        <x:v>0</x:v>
      </x:c>
      <x:c r="U1224" t="n">
        <x:v>3</x:v>
      </x:c>
      <x:c r="V1224" t="n">
        <x:v>0</x:v>
      </x:c>
      <x:c r="W1224" t="n">
        <x:v>0</x:v>
      </x:c>
      <x:c r="X1224" t="str">
        <x:v>VALUE: [[2d6]] PO 3 PO</x:v>
      </x:c>
    </x:row>
    <x:row r="1225">
      <x:c r="P1225" t="str">
        <x:v>14|Monstre|Précieuse</x:v>
      </x:c>
      <x:c r="Q1225" t="n">
        <x:v>160000</x:v>
      </x:c>
      <x:c r="R1225" t="str">
        <x:v>2d10</x:v>
      </x:c>
      <x:c r="S1225" t="str">
        <x:v>PO</x:v>
      </x:c>
      <x:c r="T1225" t="n">
        <x:v>0</x:v>
      </x:c>
      <x:c r="U1225" t="n">
        <x:v>5</x:v>
      </x:c>
      <x:c r="V1225" t="n">
        <x:v>0</x:v>
      </x:c>
      <x:c r="W1225" t="n">
        <x:v>0</x:v>
      </x:c>
      <x:c r="X1225" t="str">
        <x:v>VALUE: [[2d10]] PO 5 PO</x:v>
      </x:c>
    </x:row>
    <x:row r="1226">
      <x:c r="P1226" t="str">
        <x:v>14|Monstre|Exceptionnelle</x:v>
      </x:c>
      <x:c r="Q1226" t="n">
        <x:v>280000</x:v>
      </x:c>
      <x:c r="R1226" t="str">
        <x:v>3d12</x:v>
      </x:c>
      <x:c r="S1226" t="str">
        <x:v>PO</x:v>
      </x:c>
      <x:c r="T1226" t="n">
        <x:v>0</x:v>
      </x:c>
      <x:c r="U1226" t="n">
        <x:v>8</x:v>
      </x:c>
      <x:c r="V1226" t="n">
        <x:v>50</x:v>
      </x:c>
      <x:c r="W1226" t="n">
        <x:v>0</x:v>
      </x:c>
      <x:c r="X1226" t="str">
        <x:v>VALUE: [[3d12]] PO 8 PO 50 PA</x:v>
      </x:c>
    </x:row>
    <x:row r="1227">
      <x:c r="P1227" t="str">
        <x:v>14|Vase|Commune</x:v>
      </x:c>
      <x:c r="Q1227" t="n">
        <x:v>40000</x:v>
      </x:c>
      <x:c r="R1227" t="str">
        <x:v>1d4</x:v>
      </x:c>
      <x:c r="S1227" t="str">
        <x:v>PO</x:v>
      </x:c>
      <x:c r="T1227" t="n">
        <x:v>0</x:v>
      </x:c>
      <x:c r="U1227" t="n">
        <x:v>1</x:v>
      </x:c>
      <x:c r="V1227" t="n">
        <x:v>50</x:v>
      </x:c>
      <x:c r="W1227" t="n">
        <x:v>0</x:v>
      </x:c>
      <x:c r="X1227" t="str">
        <x:v>VALUE: [[1d4]] PO 1 PO 50 PA</x:v>
      </x:c>
    </x:row>
    <x:row r="1228">
      <x:c r="P1228" t="str">
        <x:v>14|Vase|Peu commune</x:v>
      </x:c>
      <x:c r="Q1228" t="n">
        <x:v>60000</x:v>
      </x:c>
      <x:c r="R1228" t="str">
        <x:v>1d8</x:v>
      </x:c>
      <x:c r="S1228" t="str">
        <x:v>PO</x:v>
      </x:c>
      <x:c r="T1228" t="n">
        <x:v>0</x:v>
      </x:c>
      <x:c r="U1228" t="n">
        <x:v>1</x:v>
      </x:c>
      <x:c r="V1228" t="n">
        <x:v>50</x:v>
      </x:c>
      <x:c r="W1228" t="n">
        <x:v>0</x:v>
      </x:c>
      <x:c r="X1228" t="str">
        <x:v>VALUE: [[1d8]] PO 1 PO 50 PA</x:v>
      </x:c>
    </x:row>
    <x:row r="1229">
      <x:c r="P1229" t="str">
        <x:v>14|Vase|Rare</x:v>
      </x:c>
      <x:c r="Q1229" t="n">
        <x:v>100000</x:v>
      </x:c>
      <x:c r="R1229" t="str">
        <x:v>2d6</x:v>
      </x:c>
      <x:c r="S1229" t="str">
        <x:v>PO</x:v>
      </x:c>
      <x:c r="T1229" t="n">
        <x:v>0</x:v>
      </x:c>
      <x:c r="U1229" t="n">
        <x:v>3</x:v>
      </x:c>
      <x:c r="V1229" t="n">
        <x:v>0</x:v>
      </x:c>
      <x:c r="W1229" t="n">
        <x:v>0</x:v>
      </x:c>
      <x:c r="X1229" t="str">
        <x:v>VALUE: [[2d6]] PO 3 PO</x:v>
      </x:c>
    </x:row>
    <x:row r="1230">
      <x:c r="P1230" t="str">
        <x:v>14|Vase|Précieuse</x:v>
      </x:c>
      <x:c r="Q1230" t="n">
        <x:v>160000</x:v>
      </x:c>
      <x:c r="R1230" t="str">
        <x:v>2d10</x:v>
      </x:c>
      <x:c r="S1230" t="str">
        <x:v>PO</x:v>
      </x:c>
      <x:c r="T1230" t="n">
        <x:v>0</x:v>
      </x:c>
      <x:c r="U1230" t="n">
        <x:v>5</x:v>
      </x:c>
      <x:c r="V1230" t="n">
        <x:v>0</x:v>
      </x:c>
      <x:c r="W1230" t="n">
        <x:v>0</x:v>
      </x:c>
      <x:c r="X1230" t="str">
        <x:v>VALUE: [[2d10]] PO 5 PO</x:v>
      </x:c>
    </x:row>
    <x:row r="1231">
      <x:c r="P1231" t="str">
        <x:v>14|Vase|Exceptionnelle</x:v>
      </x:c>
      <x:c r="Q1231" t="n">
        <x:v>280000</x:v>
      </x:c>
      <x:c r="R1231" t="str">
        <x:v>3d12</x:v>
      </x:c>
      <x:c r="S1231" t="str">
        <x:v>PO</x:v>
      </x:c>
      <x:c r="T1231" t="n">
        <x:v>0</x:v>
      </x:c>
      <x:c r="U1231" t="n">
        <x:v>8</x:v>
      </x:c>
      <x:c r="V1231" t="n">
        <x:v>50</x:v>
      </x:c>
      <x:c r="W1231" t="n">
        <x:v>0</x:v>
      </x:c>
      <x:c r="X1231" t="str">
        <x:v>VALUE: [[3d12]] PO 8 PO 50 PA</x:v>
      </x:c>
    </x:row>
    <x:row r="1232">
      <x:c r="P1232" t="str">
        <x:v>14|Géant|Commune</x:v>
      </x:c>
      <x:c r="Q1232" t="n">
        <x:v>48000</x:v>
      </x:c>
      <x:c r="R1232" t="str">
        <x:v>1d6</x:v>
      </x:c>
      <x:c r="S1232" t="str">
        <x:v>PO</x:v>
      </x:c>
      <x:c r="T1232" t="n">
        <x:v>0</x:v>
      </x:c>
      <x:c r="U1232" t="n">
        <x:v>1</x:v>
      </x:c>
      <x:c r="V1232" t="n">
        <x:v>30</x:v>
      </x:c>
      <x:c r="W1232" t="n">
        <x:v>0</x:v>
      </x:c>
      <x:c r="X1232" t="str">
        <x:v>VALUE: [[1d6]] PO 1 PO 30 PA</x:v>
      </x:c>
    </x:row>
    <x:row r="1233">
      <x:c r="P1233" t="str">
        <x:v>14|Géant|Peu commune</x:v>
      </x:c>
      <x:c r="Q1233" t="n">
        <x:v>72000</x:v>
      </x:c>
      <x:c r="R1233" t="str">
        <x:v>2d4</x:v>
      </x:c>
      <x:c r="S1233" t="str">
        <x:v>PO</x:v>
      </x:c>
      <x:c r="T1233" t="n">
        <x:v>0</x:v>
      </x:c>
      <x:c r="U1233" t="n">
        <x:v>2</x:v>
      </x:c>
      <x:c r="V1233" t="n">
        <x:v>20</x:v>
      </x:c>
      <x:c r="W1233" t="n">
        <x:v>0</x:v>
      </x:c>
      <x:c r="X1233" t="str">
        <x:v>VALUE: [[2d4]] PO 2 PO 20 PA</x:v>
      </x:c>
    </x:row>
    <x:row r="1234">
      <x:c r="P1234" t="str">
        <x:v>14|Géant|Rare</x:v>
      </x:c>
      <x:c r="Q1234" t="n">
        <x:v>120000</x:v>
      </x:c>
      <x:c r="R1234" t="str">
        <x:v>2d8</x:v>
      </x:c>
      <x:c r="S1234" t="str">
        <x:v>PO</x:v>
      </x:c>
      <x:c r="T1234" t="n">
        <x:v>0</x:v>
      </x:c>
      <x:c r="U1234" t="n">
        <x:v>3</x:v>
      </x:c>
      <x:c r="V1234" t="n">
        <x:v>0</x:v>
      </x:c>
      <x:c r="W1234" t="n">
        <x:v>0</x:v>
      </x:c>
      <x:c r="X1234" t="str">
        <x:v>VALUE: [[2d8]] PO 3 PO</x:v>
      </x:c>
    </x:row>
    <x:row r="1235">
      <x:c r="P1235" t="str">
        <x:v>14|Géant|Précieuse</x:v>
      </x:c>
      <x:c r="Q1235" t="n">
        <x:v>192000</x:v>
      </x:c>
      <x:c r="R1235" t="str">
        <x:v>3d8</x:v>
      </x:c>
      <x:c r="S1235" t="str">
        <x:v>PO</x:v>
      </x:c>
      <x:c r="T1235" t="n">
        <x:v>0</x:v>
      </x:c>
      <x:c r="U1235" t="n">
        <x:v>5</x:v>
      </x:c>
      <x:c r="V1235" t="n">
        <x:v>70</x:v>
      </x:c>
      <x:c r="W1235" t="n">
        <x:v>0</x:v>
      </x:c>
      <x:c r="X1235" t="str">
        <x:v>VALUE: [[3d8]] PO 5 PO 70 PA</x:v>
      </x:c>
    </x:row>
    <x:row r="1236">
      <x:c r="P1236" t="str">
        <x:v>14|Géant|Exceptionnelle</x:v>
      </x:c>
      <x:c r="Q1236" t="n">
        <x:v>336000</x:v>
      </x:c>
      <x:c r="R1236" t="str">
        <x:v>7d6</x:v>
      </x:c>
      <x:c r="S1236" t="str">
        <x:v>PO</x:v>
      </x:c>
      <x:c r="T1236" t="n">
        <x:v>0</x:v>
      </x:c>
      <x:c r="U1236" t="n">
        <x:v>9</x:v>
      </x:c>
      <x:c r="V1236" t="n">
        <x:v>10</x:v>
      </x:c>
      <x:c r="W1236" t="n">
        <x:v>0</x:v>
      </x:c>
      <x:c r="X1236" t="str">
        <x:v>VALUE: [[7d6]] PO 9 PO 10 PA</x:v>
      </x:c>
    </x:row>
    <x:row r="1237">
      <x:c r="P1237" t="str">
        <x:v>14|Aberration|Commune</x:v>
      </x:c>
      <x:c r="Q1237" t="n">
        <x:v>60000</x:v>
      </x:c>
      <x:c r="R1237" t="str">
        <x:v>1d8</x:v>
      </x:c>
      <x:c r="S1237" t="str">
        <x:v>PO</x:v>
      </x:c>
      <x:c r="T1237" t="n">
        <x:v>0</x:v>
      </x:c>
      <x:c r="U1237" t="n">
        <x:v>1</x:v>
      </x:c>
      <x:c r="V1237" t="n">
        <x:v>50</x:v>
      </x:c>
      <x:c r="W1237" t="n">
        <x:v>0</x:v>
      </x:c>
      <x:c r="X1237" t="str">
        <x:v>VALUE: [[1d8]] PO 1 PO 50 PA</x:v>
      </x:c>
    </x:row>
    <x:row r="1238">
      <x:c r="P1238" t="str">
        <x:v>14|Aberration|Peu commune</x:v>
      </x:c>
      <x:c r="Q1238" t="n">
        <x:v>90000</x:v>
      </x:c>
      <x:c r="R1238" t="str">
        <x:v>1d12</x:v>
      </x:c>
      <x:c r="S1238" t="str">
        <x:v>PO</x:v>
      </x:c>
      <x:c r="T1238" t="n">
        <x:v>0</x:v>
      </x:c>
      <x:c r="U1238" t="n">
        <x:v>2</x:v>
      </x:c>
      <x:c r="V1238" t="n">
        <x:v>50</x:v>
      </x:c>
      <x:c r="W1238" t="n">
        <x:v>0</x:v>
      </x:c>
      <x:c r="X1238" t="str">
        <x:v>VALUE: [[1d12]] PO 2 PO 50 PA</x:v>
      </x:c>
    </x:row>
    <x:row r="1239">
      <x:c r="P1239" t="str">
        <x:v>14|Aberration|Rare</x:v>
      </x:c>
      <x:c r="Q1239" t="n">
        <x:v>150000</x:v>
      </x:c>
      <x:c r="R1239" t="str">
        <x:v>1d20</x:v>
      </x:c>
      <x:c r="S1239" t="str">
        <x:v>PO</x:v>
      </x:c>
      <x:c r="T1239" t="n">
        <x:v>0</x:v>
      </x:c>
      <x:c r="U1239" t="n">
        <x:v>4</x:v>
      </x:c>
      <x:c r="V1239" t="n">
        <x:v>50</x:v>
      </x:c>
      <x:c r="W1239" t="n">
        <x:v>0</x:v>
      </x:c>
      <x:c r="X1239" t="str">
        <x:v>VALUE: [[1d20]] PO 4 PO 50 PA</x:v>
      </x:c>
    </x:row>
    <x:row r="1240">
      <x:c r="P1240" t="str">
        <x:v>14|Aberration|Précieuse</x:v>
      </x:c>
      <x:c r="Q1240" t="n">
        <x:v>240000</x:v>
      </x:c>
      <x:c r="R1240" t="str">
        <x:v>3d10</x:v>
      </x:c>
      <x:c r="S1240" t="str">
        <x:v>PO</x:v>
      </x:c>
      <x:c r="T1240" t="n">
        <x:v>0</x:v>
      </x:c>
      <x:c r="U1240" t="n">
        <x:v>7</x:v>
      </x:c>
      <x:c r="V1240" t="n">
        <x:v>50</x:v>
      </x:c>
      <x:c r="W1240" t="n">
        <x:v>0</x:v>
      </x:c>
      <x:c r="X1240" t="str">
        <x:v>VALUE: [[3d10]] PO 7 PO 50 PA</x:v>
      </x:c>
    </x:row>
    <x:row r="1241">
      <x:c r="P1241" t="str">
        <x:v>14|Aberration|Exceptionnelle</x:v>
      </x:c>
      <x:c r="Q1241" t="n">
        <x:v>420000</x:v>
      </x:c>
      <x:c r="R1241" t="str">
        <x:v>8d6</x:v>
      </x:c>
      <x:c r="S1241" t="str">
        <x:v>PO</x:v>
      </x:c>
      <x:c r="T1241" t="n">
        <x:v>0</x:v>
      </x:c>
      <x:c r="U1241" t="n">
        <x:v>14</x:v>
      </x:c>
      <x:c r="V1241" t="n">
        <x:v>0</x:v>
      </x:c>
      <x:c r="W1241" t="n">
        <x:v>0</x:v>
      </x:c>
      <x:c r="X1241" t="str">
        <x:v>VALUE: [[8d6]] PO 14 PO</x:v>
      </x:c>
    </x:row>
    <x:row r="1242">
      <x:c r="P1242" t="str">
        <x:v>14|Fée|Commune</x:v>
      </x:c>
      <x:c r="Q1242" t="n">
        <x:v>72000</x:v>
      </x:c>
      <x:c r="R1242" t="str">
        <x:v>2d4</x:v>
      </x:c>
      <x:c r="S1242" t="str">
        <x:v>PO</x:v>
      </x:c>
      <x:c r="T1242" t="n">
        <x:v>0</x:v>
      </x:c>
      <x:c r="U1242" t="n">
        <x:v>2</x:v>
      </x:c>
      <x:c r="V1242" t="n">
        <x:v>20</x:v>
      </x:c>
      <x:c r="W1242" t="n">
        <x:v>0</x:v>
      </x:c>
      <x:c r="X1242" t="str">
        <x:v>VALUE: [[2d4]] PO 2 PO 20 PA</x:v>
      </x:c>
    </x:row>
    <x:row r="1243">
      <x:c r="P1243" t="str">
        <x:v>14|Fée|Peu commune</x:v>
      </x:c>
      <x:c r="Q1243" t="n">
        <x:v>108000</x:v>
      </x:c>
      <x:c r="R1243" t="str">
        <x:v>3d4</x:v>
      </x:c>
      <x:c r="S1243" t="str">
        <x:v>PO</x:v>
      </x:c>
      <x:c r="T1243" t="n">
        <x:v>0</x:v>
      </x:c>
      <x:c r="U1243" t="n">
        <x:v>3</x:v>
      </x:c>
      <x:c r="V1243" t="n">
        <x:v>30</x:v>
      </x:c>
      <x:c r="W1243" t="n">
        <x:v>0</x:v>
      </x:c>
      <x:c r="X1243" t="str">
        <x:v>VALUE: [[3d4]] PO 3 PO 30 PA</x:v>
      </x:c>
    </x:row>
    <x:row r="1244">
      <x:c r="P1244" t="str">
        <x:v>14|Fée|Rare</x:v>
      </x:c>
      <x:c r="Q1244" t="n">
        <x:v>180000</x:v>
      </x:c>
      <x:c r="R1244" t="str">
        <x:v>5d4</x:v>
      </x:c>
      <x:c r="S1244" t="str">
        <x:v>PO</x:v>
      </x:c>
      <x:c r="T1244" t="n">
        <x:v>0</x:v>
      </x:c>
      <x:c r="U1244" t="n">
        <x:v>5</x:v>
      </x:c>
      <x:c r="V1244" t="n">
        <x:v>50</x:v>
      </x:c>
      <x:c r="W1244" t="n">
        <x:v>0</x:v>
      </x:c>
      <x:c r="X1244" t="str">
        <x:v>VALUE: [[5d4]] PO 5 PO 50 PA</x:v>
      </x:c>
    </x:row>
    <x:row r="1245">
      <x:c r="P1245" t="str">
        <x:v>14|Fée|Précieuse</x:v>
      </x:c>
      <x:c r="Q1245" t="n">
        <x:v>288000</x:v>
      </x:c>
      <x:c r="R1245" t="str">
        <x:v>8d4</x:v>
      </x:c>
      <x:c r="S1245" t="str">
        <x:v>PO</x:v>
      </x:c>
      <x:c r="T1245" t="n">
        <x:v>0</x:v>
      </x:c>
      <x:c r="U1245" t="n">
        <x:v>8</x:v>
      </x:c>
      <x:c r="V1245" t="n">
        <x:v>80</x:v>
      </x:c>
      <x:c r="W1245" t="n">
        <x:v>0</x:v>
      </x:c>
      <x:c r="X1245" t="str">
        <x:v>VALUE: [[8d4]] PO 8 PO 80 PA</x:v>
      </x:c>
    </x:row>
    <x:row r="1246">
      <x:c r="P1246" t="str">
        <x:v>14|Fée|Exceptionnelle</x:v>
      </x:c>
      <x:c r="Q1246" t="n">
        <x:v>504000</x:v>
      </x:c>
      <x:c r="R1246" t="str">
        <x:v>10d6</x:v>
      </x:c>
      <x:c r="S1246" t="str">
        <x:v>PO</x:v>
      </x:c>
      <x:c r="T1246" t="n">
        <x:v>0</x:v>
      </x:c>
      <x:c r="U1246" t="n">
        <x:v>15</x:v>
      </x:c>
      <x:c r="V1246" t="n">
        <x:v>40</x:v>
      </x:c>
      <x:c r="W1246" t="n">
        <x:v>0</x:v>
      </x:c>
      <x:c r="X1246" t="str">
        <x:v>VALUE: [[10d6]] PO 15 PO 40 PA</x:v>
      </x:c>
    </x:row>
    <x:row r="1247">
      <x:c r="P1247" t="str">
        <x:v>14|Démon|Commune</x:v>
      </x:c>
      <x:c r="Q1247" t="n">
        <x:v>80000</x:v>
      </x:c>
      <x:c r="R1247" t="str">
        <x:v>1d10</x:v>
      </x:c>
      <x:c r="S1247" t="str">
        <x:v>PO</x:v>
      </x:c>
      <x:c r="T1247" t="n">
        <x:v>0</x:v>
      </x:c>
      <x:c r="U1247" t="n">
        <x:v>2</x:v>
      </x:c>
      <x:c r="V1247" t="n">
        <x:v>50</x:v>
      </x:c>
      <x:c r="W1247" t="n">
        <x:v>0</x:v>
      </x:c>
      <x:c r="X1247" t="str">
        <x:v>VALUE: [[1d10]] PO 2 PO 50 PA</x:v>
      </x:c>
    </x:row>
    <x:row r="1248">
      <x:c r="P1248" t="str">
        <x:v>14|Démon|Peu commune</x:v>
      </x:c>
      <x:c r="Q1248" t="n">
        <x:v>120000</x:v>
      </x:c>
      <x:c r="R1248" t="str">
        <x:v>2d8</x:v>
      </x:c>
      <x:c r="S1248" t="str">
        <x:v>PO</x:v>
      </x:c>
      <x:c r="T1248" t="n">
        <x:v>0</x:v>
      </x:c>
      <x:c r="U1248" t="n">
        <x:v>3</x:v>
      </x:c>
      <x:c r="V1248" t="n">
        <x:v>0</x:v>
      </x:c>
      <x:c r="W1248" t="n">
        <x:v>0</x:v>
      </x:c>
      <x:c r="X1248" t="str">
        <x:v>VALUE: [[2d8]] PO 3 PO</x:v>
      </x:c>
    </x:row>
    <x:row r="1249">
      <x:c r="P1249" t="str">
        <x:v>14|Démon|Rare</x:v>
      </x:c>
      <x:c r="Q1249" t="n">
        <x:v>200000</x:v>
      </x:c>
      <x:c r="R1249" t="str">
        <x:v>4d6</x:v>
      </x:c>
      <x:c r="S1249" t="str">
        <x:v>PO</x:v>
      </x:c>
      <x:c r="T1249" t="n">
        <x:v>0</x:v>
      </x:c>
      <x:c r="U1249" t="n">
        <x:v>6</x:v>
      </x:c>
      <x:c r="V1249" t="n">
        <x:v>0</x:v>
      </x:c>
      <x:c r="W1249" t="n">
        <x:v>0</x:v>
      </x:c>
      <x:c r="X1249" t="str">
        <x:v>VALUE: [[4d6]] PO 6 PO</x:v>
      </x:c>
    </x:row>
    <x:row r="1250">
      <x:c r="P1250" t="str">
        <x:v>14|Démon|Précieuse</x:v>
      </x:c>
      <x:c r="Q1250" t="n">
        <x:v>320000</x:v>
      </x:c>
      <x:c r="R1250" t="str">
        <x:v>5d8</x:v>
      </x:c>
      <x:c r="S1250" t="str">
        <x:v>PO</x:v>
      </x:c>
      <x:c r="T1250" t="n">
        <x:v>0</x:v>
      </x:c>
      <x:c r="U1250" t="n">
        <x:v>9</x:v>
      </x:c>
      <x:c r="V1250" t="n">
        <x:v>50</x:v>
      </x:c>
      <x:c r="W1250" t="n">
        <x:v>0</x:v>
      </x:c>
      <x:c r="X1250" t="str">
        <x:v>VALUE: [[5d8]] PO 9 PO 50 PA</x:v>
      </x:c>
    </x:row>
    <x:row r="1251">
      <x:c r="P1251" t="str">
        <x:v>14|Démon|Exceptionnelle</x:v>
      </x:c>
      <x:c r="Q1251" t="n">
        <x:v>560000</x:v>
      </x:c>
      <x:c r="R1251" t="str">
        <x:v>6d12</x:v>
      </x:c>
      <x:c r="S1251" t="str">
        <x:v>PO</x:v>
      </x:c>
      <x:c r="T1251" t="n">
        <x:v>0</x:v>
      </x:c>
      <x:c r="U1251" t="n">
        <x:v>17</x:v>
      </x:c>
      <x:c r="V1251" t="n">
        <x:v>0</x:v>
      </x:c>
      <x:c r="W1251" t="n">
        <x:v>0</x:v>
      </x:c>
      <x:c r="X1251" t="str">
        <x:v>VALUE: [[6d12]] PO 17 PO</x:v>
      </x:c>
    </x:row>
    <x:row r="1252">
      <x:c r="P1252" t="str">
        <x:v>14|Artificiel|Commune</x:v>
      </x:c>
      <x:c r="Q1252" t="n">
        <x:v>80000</x:v>
      </x:c>
      <x:c r="R1252" t="str">
        <x:v>1d10</x:v>
      </x:c>
      <x:c r="S1252" t="str">
        <x:v>PO</x:v>
      </x:c>
      <x:c r="T1252" t="n">
        <x:v>0</x:v>
      </x:c>
      <x:c r="U1252" t="n">
        <x:v>2</x:v>
      </x:c>
      <x:c r="V1252" t="n">
        <x:v>50</x:v>
      </x:c>
      <x:c r="W1252" t="n">
        <x:v>0</x:v>
      </x:c>
      <x:c r="X1252" t="str">
        <x:v>VALUE: [[1d10]] PO 2 PO 50 PA</x:v>
      </x:c>
    </x:row>
    <x:row r="1253">
      <x:c r="P1253" t="str">
        <x:v>14|Artificiel|Peu commune</x:v>
      </x:c>
      <x:c r="Q1253" t="n">
        <x:v>120000</x:v>
      </x:c>
      <x:c r="R1253" t="str">
        <x:v>2d8</x:v>
      </x:c>
      <x:c r="S1253" t="str">
        <x:v>PO</x:v>
      </x:c>
      <x:c r="T1253" t="n">
        <x:v>0</x:v>
      </x:c>
      <x:c r="U1253" t="n">
        <x:v>3</x:v>
      </x:c>
      <x:c r="V1253" t="n">
        <x:v>0</x:v>
      </x:c>
      <x:c r="W1253" t="n">
        <x:v>0</x:v>
      </x:c>
      <x:c r="X1253" t="str">
        <x:v>VALUE: [[2d8]] PO 3 PO</x:v>
      </x:c>
    </x:row>
    <x:row r="1254">
      <x:c r="P1254" t="str">
        <x:v>14|Artificiel|Rare</x:v>
      </x:c>
      <x:c r="Q1254" t="n">
        <x:v>200000</x:v>
      </x:c>
      <x:c r="R1254" t="str">
        <x:v>4d6</x:v>
      </x:c>
      <x:c r="S1254" t="str">
        <x:v>PO</x:v>
      </x:c>
      <x:c r="T1254" t="n">
        <x:v>0</x:v>
      </x:c>
      <x:c r="U1254" t="n">
        <x:v>6</x:v>
      </x:c>
      <x:c r="V1254" t="n">
        <x:v>0</x:v>
      </x:c>
      <x:c r="W1254" t="n">
        <x:v>0</x:v>
      </x:c>
      <x:c r="X1254" t="str">
        <x:v>VALUE: [[4d6]] PO 6 PO</x:v>
      </x:c>
    </x:row>
    <x:row r="1255">
      <x:c r="P1255" t="str">
        <x:v>14|Artificiel|Précieuse</x:v>
      </x:c>
      <x:c r="Q1255" t="n">
        <x:v>320000</x:v>
      </x:c>
      <x:c r="R1255" t="str">
        <x:v>5d8</x:v>
      </x:c>
      <x:c r="S1255" t="str">
        <x:v>PO</x:v>
      </x:c>
      <x:c r="T1255" t="n">
        <x:v>0</x:v>
      </x:c>
      <x:c r="U1255" t="n">
        <x:v>9</x:v>
      </x:c>
      <x:c r="V1255" t="n">
        <x:v>50</x:v>
      </x:c>
      <x:c r="W1255" t="n">
        <x:v>0</x:v>
      </x:c>
      <x:c r="X1255" t="str">
        <x:v>VALUE: [[5d8]] PO 9 PO 50 PA</x:v>
      </x:c>
    </x:row>
    <x:row r="1256">
      <x:c r="P1256" t="str">
        <x:v>14|Artificiel|Exceptionnelle</x:v>
      </x:c>
      <x:c r="Q1256" t="n">
        <x:v>560000</x:v>
      </x:c>
      <x:c r="R1256" t="str">
        <x:v>6d12</x:v>
      </x:c>
      <x:c r="S1256" t="str">
        <x:v>PO</x:v>
      </x:c>
      <x:c r="T1256" t="n">
        <x:v>0</x:v>
      </x:c>
      <x:c r="U1256" t="n">
        <x:v>17</x:v>
      </x:c>
      <x:c r="V1256" t="n">
        <x:v>0</x:v>
      </x:c>
      <x:c r="W1256" t="n">
        <x:v>0</x:v>
      </x:c>
      <x:c r="X1256" t="str">
        <x:v>VALUE: [[6d12]] PO 17 PO</x:v>
      </x:c>
    </x:row>
    <x:row r="1257">
      <x:c r="P1257" t="str">
        <x:v>14|Élémentaire|Commune</x:v>
      </x:c>
      <x:c r="Q1257" t="n">
        <x:v>100000</x:v>
      </x:c>
      <x:c r="R1257" t="str">
        <x:v>2d6</x:v>
      </x:c>
      <x:c r="S1257" t="str">
        <x:v>PO</x:v>
      </x:c>
      <x:c r="T1257" t="n">
        <x:v>0</x:v>
      </x:c>
      <x:c r="U1257" t="n">
        <x:v>3</x:v>
      </x:c>
      <x:c r="V1257" t="n">
        <x:v>0</x:v>
      </x:c>
      <x:c r="W1257" t="n">
        <x:v>0</x:v>
      </x:c>
      <x:c r="X1257" t="str">
        <x:v>VALUE: [[2d6]] PO 3 PO</x:v>
      </x:c>
    </x:row>
    <x:row r="1258">
      <x:c r="P1258" t="str">
        <x:v>14|Élémentaire|Peu commune</x:v>
      </x:c>
      <x:c r="Q1258" t="n">
        <x:v>150000</x:v>
      </x:c>
      <x:c r="R1258" t="str">
        <x:v>1d20</x:v>
      </x:c>
      <x:c r="S1258" t="str">
        <x:v>PO</x:v>
      </x:c>
      <x:c r="T1258" t="n">
        <x:v>0</x:v>
      </x:c>
      <x:c r="U1258" t="n">
        <x:v>4</x:v>
      </x:c>
      <x:c r="V1258" t="n">
        <x:v>50</x:v>
      </x:c>
      <x:c r="W1258" t="n">
        <x:v>0</x:v>
      </x:c>
      <x:c r="X1258" t="str">
        <x:v>VALUE: [[1d20]] PO 4 PO 50 PA</x:v>
      </x:c>
    </x:row>
    <x:row r="1259">
      <x:c r="P1259" t="str">
        <x:v>14|Élémentaire|Rare</x:v>
      </x:c>
      <x:c r="Q1259" t="n">
        <x:v>250000</x:v>
      </x:c>
      <x:c r="R1259" t="str">
        <x:v>5d6</x:v>
      </x:c>
      <x:c r="S1259" t="str">
        <x:v>PO</x:v>
      </x:c>
      <x:c r="T1259" t="n">
        <x:v>0</x:v>
      </x:c>
      <x:c r="U1259" t="n">
        <x:v>7</x:v>
      </x:c>
      <x:c r="V1259" t="n">
        <x:v>50</x:v>
      </x:c>
      <x:c r="W1259" t="n">
        <x:v>0</x:v>
      </x:c>
      <x:c r="X1259" t="str">
        <x:v>VALUE: [[5d6]] PO 7 PO 50 PA</x:v>
      </x:c>
    </x:row>
    <x:row r="1260">
      <x:c r="P1260" t="str">
        <x:v>14|Élémentaire|Précieuse</x:v>
      </x:c>
      <x:c r="Q1260" t="n">
        <x:v>400000</x:v>
      </x:c>
      <x:c r="R1260" t="str">
        <x:v>8d6</x:v>
      </x:c>
      <x:c r="S1260" t="str">
        <x:v>PO</x:v>
      </x:c>
      <x:c r="T1260" t="n">
        <x:v>0</x:v>
      </x:c>
      <x:c r="U1260" t="n">
        <x:v>12</x:v>
      </x:c>
      <x:c r="V1260" t="n">
        <x:v>0</x:v>
      </x:c>
      <x:c r="W1260" t="n">
        <x:v>0</x:v>
      </x:c>
      <x:c r="X1260" t="str">
        <x:v>VALUE: [[8d6]] PO 12 PO</x:v>
      </x:c>
    </x:row>
    <x:row r="1261">
      <x:c r="P1261" t="str">
        <x:v>14|Élémentaire|Exceptionnelle</x:v>
      </x:c>
      <x:c r="Q1261" t="n">
        <x:v>700000</x:v>
      </x:c>
      <x:c r="R1261" t="str">
        <x:v>9d10</x:v>
      </x:c>
      <x:c r="S1261" t="str">
        <x:v>PO</x:v>
      </x:c>
      <x:c r="T1261" t="n">
        <x:v>0</x:v>
      </x:c>
      <x:c r="U1261" t="n">
        <x:v>20</x:v>
      </x:c>
      <x:c r="V1261" t="n">
        <x:v>50</x:v>
      </x:c>
      <x:c r="W1261" t="n">
        <x:v>0</x:v>
      </x:c>
      <x:c r="X1261" t="str">
        <x:v>VALUE: [[9d10]] PO 20 PO 50 PA</x:v>
      </x:c>
    </x:row>
    <x:row r="1262">
      <x:c r="P1262" t="str">
        <x:v>14|Esprit|Commune</x:v>
      </x:c>
      <x:c r="Q1262" t="n">
        <x:v>100000</x:v>
      </x:c>
      <x:c r="R1262" t="str">
        <x:v>2d6</x:v>
      </x:c>
      <x:c r="S1262" t="str">
        <x:v>PO</x:v>
      </x:c>
      <x:c r="T1262" t="n">
        <x:v>0</x:v>
      </x:c>
      <x:c r="U1262" t="n">
        <x:v>3</x:v>
      </x:c>
      <x:c r="V1262" t="n">
        <x:v>0</x:v>
      </x:c>
      <x:c r="W1262" t="n">
        <x:v>0</x:v>
      </x:c>
      <x:c r="X1262" t="str">
        <x:v>VALUE: [[2d6]] PO 3 PO</x:v>
      </x:c>
    </x:row>
    <x:row r="1263">
      <x:c r="P1263" t="str">
        <x:v>14|Esprit|Peu commune</x:v>
      </x:c>
      <x:c r="Q1263" t="n">
        <x:v>150000</x:v>
      </x:c>
      <x:c r="R1263" t="str">
        <x:v>1d20</x:v>
      </x:c>
      <x:c r="S1263" t="str">
        <x:v>PO</x:v>
      </x:c>
      <x:c r="T1263" t="n">
        <x:v>0</x:v>
      </x:c>
      <x:c r="U1263" t="n">
        <x:v>4</x:v>
      </x:c>
      <x:c r="V1263" t="n">
        <x:v>50</x:v>
      </x:c>
      <x:c r="W1263" t="n">
        <x:v>0</x:v>
      </x:c>
      <x:c r="X1263" t="str">
        <x:v>VALUE: [[1d20]] PO 4 PO 50 PA</x:v>
      </x:c>
    </x:row>
    <x:row r="1264">
      <x:c r="P1264" t="str">
        <x:v>14|Esprit|Rare</x:v>
      </x:c>
      <x:c r="Q1264" t="n">
        <x:v>250000</x:v>
      </x:c>
      <x:c r="R1264" t="str">
        <x:v>5d6</x:v>
      </x:c>
      <x:c r="S1264" t="str">
        <x:v>PO</x:v>
      </x:c>
      <x:c r="T1264" t="n">
        <x:v>0</x:v>
      </x:c>
      <x:c r="U1264" t="n">
        <x:v>7</x:v>
      </x:c>
      <x:c r="V1264" t="n">
        <x:v>50</x:v>
      </x:c>
      <x:c r="W1264" t="n">
        <x:v>0</x:v>
      </x:c>
      <x:c r="X1264" t="str">
        <x:v>VALUE: [[5d6]] PO 7 PO 50 PA</x:v>
      </x:c>
    </x:row>
    <x:row r="1265">
      <x:c r="P1265" t="str">
        <x:v>14|Esprit|Précieuse</x:v>
      </x:c>
      <x:c r="Q1265" t="n">
        <x:v>400000</x:v>
      </x:c>
      <x:c r="R1265" t="str">
        <x:v>8d6</x:v>
      </x:c>
      <x:c r="S1265" t="str">
        <x:v>PO</x:v>
      </x:c>
      <x:c r="T1265" t="n">
        <x:v>0</x:v>
      </x:c>
      <x:c r="U1265" t="n">
        <x:v>12</x:v>
      </x:c>
      <x:c r="V1265" t="n">
        <x:v>0</x:v>
      </x:c>
      <x:c r="W1265" t="n">
        <x:v>0</x:v>
      </x:c>
      <x:c r="X1265" t="str">
        <x:v>VALUE: [[8d6]] PO 12 PO</x:v>
      </x:c>
    </x:row>
    <x:row r="1266">
      <x:c r="P1266" t="str">
        <x:v>14|Esprit|Exceptionnelle</x:v>
      </x:c>
      <x:c r="Q1266" t="n">
        <x:v>700000</x:v>
      </x:c>
      <x:c r="R1266" t="str">
        <x:v>9d10</x:v>
      </x:c>
      <x:c r="S1266" t="str">
        <x:v>PO</x:v>
      </x:c>
      <x:c r="T1266" t="n">
        <x:v>0</x:v>
      </x:c>
      <x:c r="U1266" t="n">
        <x:v>20</x:v>
      </x:c>
      <x:c r="V1266" t="n">
        <x:v>50</x:v>
      </x:c>
      <x:c r="W1266" t="n">
        <x:v>0</x:v>
      </x:c>
      <x:c r="X1266" t="str">
        <x:v>VALUE: [[9d10]] PO 20 PO 50 PA</x:v>
      </x:c>
    </x:row>
    <x:row r="1267">
      <x:c r="P1267" t="str">
        <x:v>14|Céleste|Commune</x:v>
      </x:c>
      <x:c r="Q1267" t="n">
        <x:v>120000</x:v>
      </x:c>
      <x:c r="R1267" t="str">
        <x:v>2d8</x:v>
      </x:c>
      <x:c r="S1267" t="str">
        <x:v>PO</x:v>
      </x:c>
      <x:c r="T1267" t="n">
        <x:v>0</x:v>
      </x:c>
      <x:c r="U1267" t="n">
        <x:v>3</x:v>
      </x:c>
      <x:c r="V1267" t="n">
        <x:v>0</x:v>
      </x:c>
      <x:c r="W1267" t="n">
        <x:v>0</x:v>
      </x:c>
      <x:c r="X1267" t="str">
        <x:v>VALUE: [[2d8]] PO 3 PO</x:v>
      </x:c>
    </x:row>
    <x:row r="1268">
      <x:c r="P1268" t="str">
        <x:v>14|Céleste|Peu commune</x:v>
      </x:c>
      <x:c r="Q1268" t="n">
        <x:v>180000</x:v>
      </x:c>
      <x:c r="R1268" t="str">
        <x:v>5d4</x:v>
      </x:c>
      <x:c r="S1268" t="str">
        <x:v>PO</x:v>
      </x:c>
      <x:c r="T1268" t="n">
        <x:v>0</x:v>
      </x:c>
      <x:c r="U1268" t="n">
        <x:v>5</x:v>
      </x:c>
      <x:c r="V1268" t="n">
        <x:v>50</x:v>
      </x:c>
      <x:c r="W1268" t="n">
        <x:v>0</x:v>
      </x:c>
      <x:c r="X1268" t="str">
        <x:v>VALUE: [[5d4]] PO 5 PO 50 PA</x:v>
      </x:c>
    </x:row>
    <x:row r="1269">
      <x:c r="P1269" t="str">
        <x:v>14|Céleste|Rare</x:v>
      </x:c>
      <x:c r="Q1269" t="n">
        <x:v>300000</x:v>
      </x:c>
      <x:c r="R1269" t="str">
        <x:v>2d20</x:v>
      </x:c>
      <x:c r="S1269" t="str">
        <x:v>PO</x:v>
      </x:c>
      <x:c r="T1269" t="n">
        <x:v>0</x:v>
      </x:c>
      <x:c r="U1269" t="n">
        <x:v>9</x:v>
      </x:c>
      <x:c r="V1269" t="n">
        <x:v>0</x:v>
      </x:c>
      <x:c r="W1269" t="n">
        <x:v>0</x:v>
      </x:c>
      <x:c r="X1269" t="str">
        <x:v>VALUE: [[2d20]] PO 9 PO</x:v>
      </x:c>
    </x:row>
    <x:row r="1270">
      <x:c r="P1270" t="str">
        <x:v>14|Céleste|Précieuse</x:v>
      </x:c>
      <x:c r="Q1270" t="n">
        <x:v>480000</x:v>
      </x:c>
      <x:c r="R1270" t="str">
        <x:v>6d10</x:v>
      </x:c>
      <x:c r="S1270" t="str">
        <x:v>PO</x:v>
      </x:c>
      <x:c r="T1270" t="n">
        <x:v>0</x:v>
      </x:c>
      <x:c r="U1270" t="n">
        <x:v>15</x:v>
      </x:c>
      <x:c r="V1270" t="n">
        <x:v>0</x:v>
      </x:c>
      <x:c r="W1270" t="n">
        <x:v>0</x:v>
      </x:c>
      <x:c r="X1270" t="str">
        <x:v>VALUE: [[6d10]] PO 15 PO</x:v>
      </x:c>
    </x:row>
    <x:row r="1271">
      <x:c r="P1271" t="str">
        <x:v>14|Céleste|Exceptionnelle</x:v>
      </x:c>
      <x:c r="Q1271" t="n">
        <x:v>840000</x:v>
      </x:c>
      <x:c r="R1271" t="str">
        <x:v>9d12</x:v>
      </x:c>
      <x:c r="S1271" t="str">
        <x:v>PO</x:v>
      </x:c>
      <x:c r="T1271" t="n">
        <x:v>0</x:v>
      </x:c>
      <x:c r="U1271" t="n">
        <x:v>25</x:v>
      </x:c>
      <x:c r="V1271" t="n">
        <x:v>50</x:v>
      </x:c>
      <x:c r="W1271" t="n">
        <x:v>0</x:v>
      </x:c>
      <x:c r="X1271" t="str">
        <x:v>VALUE: [[9d12]] PO 25 PO 50 PA</x:v>
      </x:c>
    </x:row>
    <x:row r="1272">
      <x:c r="P1272" t="str">
        <x:v>14|Dragon|Commune</x:v>
      </x:c>
      <x:c r="Q1272" t="n">
        <x:v>200000</x:v>
      </x:c>
      <x:c r="R1272" t="str">
        <x:v>4d6</x:v>
      </x:c>
      <x:c r="S1272" t="str">
        <x:v>PO</x:v>
      </x:c>
      <x:c r="T1272" t="n">
        <x:v>0</x:v>
      </x:c>
      <x:c r="U1272" t="n">
        <x:v>6</x:v>
      </x:c>
      <x:c r="V1272" t="n">
        <x:v>0</x:v>
      </x:c>
      <x:c r="W1272" t="n">
        <x:v>0</x:v>
      </x:c>
      <x:c r="X1272" t="str">
        <x:v>VALUE: [[4d6]] PO 6 PO</x:v>
      </x:c>
    </x:row>
    <x:row r="1273">
      <x:c r="P1273" t="str">
        <x:v>14|Dragon|Peu commune</x:v>
      </x:c>
      <x:c r="Q1273" t="n">
        <x:v>300000</x:v>
      </x:c>
      <x:c r="R1273" t="str">
        <x:v>2d20</x:v>
      </x:c>
      <x:c r="S1273" t="str">
        <x:v>PO</x:v>
      </x:c>
      <x:c r="T1273" t="n">
        <x:v>0</x:v>
      </x:c>
      <x:c r="U1273" t="n">
        <x:v>9</x:v>
      </x:c>
      <x:c r="V1273" t="n">
        <x:v>0</x:v>
      </x:c>
      <x:c r="W1273" t="n">
        <x:v>0</x:v>
      </x:c>
      <x:c r="X1273" t="str">
        <x:v>VALUE: [[2d20]] PO 9 PO</x:v>
      </x:c>
    </x:row>
    <x:row r="1274">
      <x:c r="P1274" t="str">
        <x:v>14|Dragon|Rare</x:v>
      </x:c>
      <x:c r="Q1274" t="n">
        <x:v>500000</x:v>
      </x:c>
      <x:c r="R1274" t="str">
        <x:v>10d6</x:v>
      </x:c>
      <x:c r="S1274" t="str">
        <x:v>PO</x:v>
      </x:c>
      <x:c r="T1274" t="n">
        <x:v>0</x:v>
      </x:c>
      <x:c r="U1274" t="n">
        <x:v>15</x:v>
      </x:c>
      <x:c r="V1274" t="n">
        <x:v>0</x:v>
      </x:c>
      <x:c r="W1274" t="n">
        <x:v>0</x:v>
      </x:c>
      <x:c r="X1274" t="str">
        <x:v>VALUE: [[10d6]] PO 15 PO</x:v>
      </x:c>
    </x:row>
    <x:row r="1275">
      <x:c r="P1275" t="str">
        <x:v>14|Dragon|Précieuse</x:v>
      </x:c>
      <x:c r="Q1275" t="n">
        <x:v>800000</x:v>
      </x:c>
      <x:c r="R1275" t="str">
        <x:v>10d10</x:v>
      </x:c>
      <x:c r="S1275" t="str">
        <x:v>PO</x:v>
      </x:c>
      <x:c r="T1275" t="n">
        <x:v>0</x:v>
      </x:c>
      <x:c r="U1275" t="n">
        <x:v>25</x:v>
      </x:c>
      <x:c r="V1275" t="n">
        <x:v>0</x:v>
      </x:c>
      <x:c r="W1275" t="n">
        <x:v>0</x:v>
      </x:c>
      <x:c r="X1275" t="str">
        <x:v>VALUE: [[10d10]] PO 25 PO</x:v>
      </x:c>
    </x:row>
    <x:row r="1276">
      <x:c r="P1276" t="str">
        <x:v>14|Dragon|Exceptionnelle</x:v>
      </x:c>
      <x:c r="Q1276" t="n">
        <x:v>1400000</x:v>
      </x:c>
      <x:c r="R1276" t="str">
        <x:v>9d20</x:v>
      </x:c>
      <x:c r="S1276" t="str">
        <x:v>PO</x:v>
      </x:c>
      <x:c r="T1276" t="n">
        <x:v>0</x:v>
      </x:c>
      <x:c r="U1276" t="n">
        <x:v>45</x:v>
      </x:c>
      <x:c r="V1276" t="n">
        <x:v>50</x:v>
      </x:c>
      <x:c r="W1276" t="n">
        <x:v>0</x:v>
      </x:c>
      <x:c r="X1276" t="str">
        <x:v>VALUE: [[9d20]] PO 45 PO 50 PA</x:v>
      </x:c>
    </x:row>
    <x:row r="1277">
      <x:c r="P1277" t="str">
        <x:v>15|Vermine|Commune</x:v>
      </x:c>
      <x:c r="Q1277" t="n">
        <x:v>28000</x:v>
      </x:c>
      <x:c r="R1277" t="str">
        <x:v>1d4</x:v>
      </x:c>
      <x:c r="S1277" t="str">
        <x:v>PO</x:v>
      </x:c>
      <x:c r="T1277" t="n">
        <x:v>0</x:v>
      </x:c>
      <x:c r="U1277" t="n">
        <x:v>0</x:v>
      </x:c>
      <x:c r="V1277" t="n">
        <x:v>30</x:v>
      </x:c>
      <x:c r="W1277" t="n">
        <x:v>0</x:v>
      </x:c>
      <x:c r="X1277" t="str">
        <x:v>VALUE: [[1d4]] PO 30 PA</x:v>
      </x:c>
    </x:row>
    <x:row r="1278">
      <x:c r="P1278" t="str">
        <x:v>15|Vermine|Peu commune</x:v>
      </x:c>
      <x:c r="Q1278" t="n">
        <x:v>42000</x:v>
      </x:c>
      <x:c r="R1278" t="str">
        <x:v>1d4</x:v>
      </x:c>
      <x:c r="S1278" t="str">
        <x:v>PO</x:v>
      </x:c>
      <x:c r="T1278" t="n">
        <x:v>0</x:v>
      </x:c>
      <x:c r="U1278" t="n">
        <x:v>1</x:v>
      </x:c>
      <x:c r="V1278" t="n">
        <x:v>70</x:v>
      </x:c>
      <x:c r="W1278" t="n">
        <x:v>0</x:v>
      </x:c>
      <x:c r="X1278" t="str">
        <x:v>VALUE: [[1d4]] PO 1 PO 70 PA</x:v>
      </x:c>
    </x:row>
    <x:row r="1279">
      <x:c r="P1279" t="str">
        <x:v>15|Vermine|Rare</x:v>
      </x:c>
      <x:c r="Q1279" t="n">
        <x:v>70000</x:v>
      </x:c>
      <x:c r="R1279" t="str">
        <x:v>2d4</x:v>
      </x:c>
      <x:c r="S1279" t="str">
        <x:v>PO</x:v>
      </x:c>
      <x:c r="T1279" t="n">
        <x:v>0</x:v>
      </x:c>
      <x:c r="U1279" t="n">
        <x:v>2</x:v>
      </x:c>
      <x:c r="V1279" t="n">
        <x:v>0</x:v>
      </x:c>
      <x:c r="W1279" t="n">
        <x:v>0</x:v>
      </x:c>
      <x:c r="X1279" t="str">
        <x:v>VALUE: [[2d4]] PO 2 PO</x:v>
      </x:c>
    </x:row>
    <x:row r="1280">
      <x:c r="P1280" t="str">
        <x:v>15|Vermine|Précieuse</x:v>
      </x:c>
      <x:c r="Q1280" t="n">
        <x:v>112000</x:v>
      </x:c>
      <x:c r="R1280" t="str">
        <x:v>3d4</x:v>
      </x:c>
      <x:c r="S1280" t="str">
        <x:v>PO</x:v>
      </x:c>
      <x:c r="T1280" t="n">
        <x:v>0</x:v>
      </x:c>
      <x:c r="U1280" t="n">
        <x:v>3</x:v>
      </x:c>
      <x:c r="V1280" t="n">
        <x:v>70</x:v>
      </x:c>
      <x:c r="W1280" t="n">
        <x:v>0</x:v>
      </x:c>
      <x:c r="X1280" t="str">
        <x:v>VALUE: [[3d4]] PO 3 PO 70 PA</x:v>
      </x:c>
    </x:row>
    <x:row r="1281">
      <x:c r="P1281" t="str">
        <x:v>15|Vermine|Exceptionnelle</x:v>
      </x:c>
      <x:c r="Q1281" t="n">
        <x:v>196000</x:v>
      </x:c>
      <x:c r="R1281" t="str">
        <x:v>3d8</x:v>
      </x:c>
      <x:c r="S1281" t="str">
        <x:v>PO</x:v>
      </x:c>
      <x:c r="T1281" t="n">
        <x:v>0</x:v>
      </x:c>
      <x:c r="U1281" t="n">
        <x:v>6</x:v>
      </x:c>
      <x:c r="V1281" t="n">
        <x:v>10</x:v>
      </x:c>
      <x:c r="W1281" t="n">
        <x:v>0</x:v>
      </x:c>
      <x:c r="X1281" t="str">
        <x:v>VALUE: [[3d8]] PO 6 PO 10 PA</x:v>
      </x:c>
    </x:row>
    <x:row r="1282">
      <x:c r="P1282" t="str">
        <x:v>15|Bête|Commune</x:v>
      </x:c>
      <x:c r="Q1282" t="n">
        <x:v>48000</x:v>
      </x:c>
      <x:c r="R1282" t="str">
        <x:v>1d6</x:v>
      </x:c>
      <x:c r="S1282" t="str">
        <x:v>PO</x:v>
      </x:c>
      <x:c r="T1282" t="n">
        <x:v>0</x:v>
      </x:c>
      <x:c r="U1282" t="n">
        <x:v>1</x:v>
      </x:c>
      <x:c r="V1282" t="n">
        <x:v>30</x:v>
      </x:c>
      <x:c r="W1282" t="n">
        <x:v>0</x:v>
      </x:c>
      <x:c r="X1282" t="str">
        <x:v>VALUE: [[1d6]] PO 1 PO 30 PA</x:v>
      </x:c>
    </x:row>
    <x:row r="1283">
      <x:c r="P1283" t="str">
        <x:v>15|Bête|Peu commune</x:v>
      </x:c>
      <x:c r="Q1283" t="n">
        <x:v>72000</x:v>
      </x:c>
      <x:c r="R1283" t="str">
        <x:v>2d4</x:v>
      </x:c>
      <x:c r="S1283" t="str">
        <x:v>PO</x:v>
      </x:c>
      <x:c r="T1283" t="n">
        <x:v>0</x:v>
      </x:c>
      <x:c r="U1283" t="n">
        <x:v>2</x:v>
      </x:c>
      <x:c r="V1283" t="n">
        <x:v>20</x:v>
      </x:c>
      <x:c r="W1283" t="n">
        <x:v>0</x:v>
      </x:c>
      <x:c r="X1283" t="str">
        <x:v>VALUE: [[2d4]] PO 2 PO 20 PA</x:v>
      </x:c>
    </x:row>
    <x:row r="1284">
      <x:c r="P1284" t="str">
        <x:v>15|Bête|Rare</x:v>
      </x:c>
      <x:c r="Q1284" t="n">
        <x:v>120000</x:v>
      </x:c>
      <x:c r="R1284" t="str">
        <x:v>2d8</x:v>
      </x:c>
      <x:c r="S1284" t="str">
        <x:v>PO</x:v>
      </x:c>
      <x:c r="T1284" t="n">
        <x:v>0</x:v>
      </x:c>
      <x:c r="U1284" t="n">
        <x:v>3</x:v>
      </x:c>
      <x:c r="V1284" t="n">
        <x:v>0</x:v>
      </x:c>
      <x:c r="W1284" t="n">
        <x:v>0</x:v>
      </x:c>
      <x:c r="X1284" t="str">
        <x:v>VALUE: [[2d8]] PO 3 PO</x:v>
      </x:c>
    </x:row>
    <x:row r="1285">
      <x:c r="P1285" t="str">
        <x:v>15|Bête|Précieuse</x:v>
      </x:c>
      <x:c r="Q1285" t="n">
        <x:v>192000</x:v>
      </x:c>
      <x:c r="R1285" t="str">
        <x:v>3d8</x:v>
      </x:c>
      <x:c r="S1285" t="str">
        <x:v>PO</x:v>
      </x:c>
      <x:c r="T1285" t="n">
        <x:v>0</x:v>
      </x:c>
      <x:c r="U1285" t="n">
        <x:v>5</x:v>
      </x:c>
      <x:c r="V1285" t="n">
        <x:v>70</x:v>
      </x:c>
      <x:c r="W1285" t="n">
        <x:v>0</x:v>
      </x:c>
      <x:c r="X1285" t="str">
        <x:v>VALUE: [[3d8]] PO 5 PO 70 PA</x:v>
      </x:c>
    </x:row>
    <x:row r="1286">
      <x:c r="P1286" t="str">
        <x:v>15|Bête|Exceptionnelle</x:v>
      </x:c>
      <x:c r="Q1286" t="n">
        <x:v>336000</x:v>
      </x:c>
      <x:c r="R1286" t="str">
        <x:v>7d6</x:v>
      </x:c>
      <x:c r="S1286" t="str">
        <x:v>PO</x:v>
      </x:c>
      <x:c r="T1286" t="n">
        <x:v>0</x:v>
      </x:c>
      <x:c r="U1286" t="n">
        <x:v>9</x:v>
      </x:c>
      <x:c r="V1286" t="n">
        <x:v>10</x:v>
      </x:c>
      <x:c r="W1286" t="n">
        <x:v>0</x:v>
      </x:c>
      <x:c r="X1286" t="str">
        <x:v>VALUE: [[7d6]] PO 9 PO 10 PA</x:v>
      </x:c>
    </x:row>
    <x:row r="1287">
      <x:c r="P1287" t="str">
        <x:v>15|Aquatique|Commune</x:v>
      </x:c>
      <x:c r="Q1287" t="n">
        <x:v>56000</x:v>
      </x:c>
      <x:c r="R1287" t="str">
        <x:v>1d6</x:v>
      </x:c>
      <x:c r="S1287" t="str">
        <x:v>PO</x:v>
      </x:c>
      <x:c r="T1287" t="n">
        <x:v>0</x:v>
      </x:c>
      <x:c r="U1287" t="n">
        <x:v>2</x:v>
      </x:c>
      <x:c r="V1287" t="n">
        <x:v>10</x:v>
      </x:c>
      <x:c r="W1287" t="n">
        <x:v>0</x:v>
      </x:c>
      <x:c r="X1287" t="str">
        <x:v>VALUE: [[1d6]] PO 2 PO 10 PA</x:v>
      </x:c>
    </x:row>
    <x:row r="1288">
      <x:c r="P1288" t="str">
        <x:v>15|Aquatique|Peu commune</x:v>
      </x:c>
      <x:c r="Q1288" t="n">
        <x:v>84000</x:v>
      </x:c>
      <x:c r="R1288" t="str">
        <x:v>1d10</x:v>
      </x:c>
      <x:c r="S1288" t="str">
        <x:v>PO</x:v>
      </x:c>
      <x:c r="T1288" t="n">
        <x:v>0</x:v>
      </x:c>
      <x:c r="U1288" t="n">
        <x:v>2</x:v>
      </x:c>
      <x:c r="V1288" t="n">
        <x:v>90</x:v>
      </x:c>
      <x:c r="W1288" t="n">
        <x:v>0</x:v>
      </x:c>
      <x:c r="X1288" t="str">
        <x:v>VALUE: [[1d10]] PO 2 PO 90 PA</x:v>
      </x:c>
    </x:row>
    <x:row r="1289">
      <x:c r="P1289" t="str">
        <x:v>15|Aquatique|Rare</x:v>
      </x:c>
      <x:c r="Q1289" t="n">
        <x:v>140000</x:v>
      </x:c>
      <x:c r="R1289" t="str">
        <x:v>4d4</x:v>
      </x:c>
      <x:c r="S1289" t="str">
        <x:v>PO</x:v>
      </x:c>
      <x:c r="T1289" t="n">
        <x:v>0</x:v>
      </x:c>
      <x:c r="U1289" t="n">
        <x:v>4</x:v>
      </x:c>
      <x:c r="V1289" t="n">
        <x:v>0</x:v>
      </x:c>
      <x:c r="W1289" t="n">
        <x:v>0</x:v>
      </x:c>
      <x:c r="X1289" t="str">
        <x:v>VALUE: [[4d4]] PO 4 PO</x:v>
      </x:c>
    </x:row>
    <x:row r="1290">
      <x:c r="P1290" t="str">
        <x:v>15|Aquatique|Précieuse</x:v>
      </x:c>
      <x:c r="Q1290" t="n">
        <x:v>224000</x:v>
      </x:c>
      <x:c r="R1290" t="str">
        <x:v>6d4</x:v>
      </x:c>
      <x:c r="S1290" t="str">
        <x:v>PO</x:v>
      </x:c>
      <x:c r="T1290" t="n">
        <x:v>0</x:v>
      </x:c>
      <x:c r="U1290" t="n">
        <x:v>7</x:v>
      </x:c>
      <x:c r="V1290" t="n">
        <x:v>40</x:v>
      </x:c>
      <x:c r="W1290" t="n">
        <x:v>0</x:v>
      </x:c>
      <x:c r="X1290" t="str">
        <x:v>VALUE: [[6d4]] PO 7 PO 40 PA</x:v>
      </x:c>
    </x:row>
    <x:row r="1291">
      <x:c r="P1291" t="str">
        <x:v>15|Aquatique|Exceptionnelle</x:v>
      </x:c>
      <x:c r="Q1291" t="n">
        <x:v>392000</x:v>
      </x:c>
      <x:c r="R1291" t="str">
        <x:v>5d10</x:v>
      </x:c>
      <x:c r="S1291" t="str">
        <x:v>PO</x:v>
      </x:c>
      <x:c r="T1291" t="n">
        <x:v>0</x:v>
      </x:c>
      <x:c r="U1291" t="n">
        <x:v>11</x:v>
      </x:c>
      <x:c r="V1291" t="n">
        <x:v>70</x:v>
      </x:c>
      <x:c r="W1291" t="n">
        <x:v>0</x:v>
      </x:c>
      <x:c r="X1291" t="str">
        <x:v>VALUE: [[5d10]] PO 11 PO 70 PA</x:v>
      </x:c>
    </x:row>
    <x:row r="1292">
      <x:c r="P1292" t="str">
        <x:v>15|Plante|Commune</x:v>
      </x:c>
      <x:c r="Q1292" t="n">
        <x:v>64000</x:v>
      </x:c>
      <x:c r="R1292" t="str">
        <x:v>1d8</x:v>
      </x:c>
      <x:c r="S1292" t="str">
        <x:v>PO</x:v>
      </x:c>
      <x:c r="T1292" t="n">
        <x:v>0</x:v>
      </x:c>
      <x:c r="U1292" t="n">
        <x:v>1</x:v>
      </x:c>
      <x:c r="V1292" t="n">
        <x:v>90</x:v>
      </x:c>
      <x:c r="W1292" t="n">
        <x:v>0</x:v>
      </x:c>
      <x:c r="X1292" t="str">
        <x:v>VALUE: [[1d8]] PO 1 PO 90 PA</x:v>
      </x:c>
    </x:row>
    <x:row r="1293">
      <x:c r="P1293" t="str">
        <x:v>15|Plante|Peu commune</x:v>
      </x:c>
      <x:c r="Q1293" t="n">
        <x:v>96000</x:v>
      </x:c>
      <x:c r="R1293" t="str">
        <x:v>1d12</x:v>
      </x:c>
      <x:c r="S1293" t="str">
        <x:v>PO</x:v>
      </x:c>
      <x:c r="T1293" t="n">
        <x:v>0</x:v>
      </x:c>
      <x:c r="U1293" t="n">
        <x:v>3</x:v>
      </x:c>
      <x:c r="V1293" t="n">
        <x:v>10</x:v>
      </x:c>
      <x:c r="W1293" t="n">
        <x:v>0</x:v>
      </x:c>
      <x:c r="X1293" t="str">
        <x:v>VALUE: [[1d12]] PO 3 PO 10 PA</x:v>
      </x:c>
    </x:row>
    <x:row r="1294">
      <x:c r="P1294" t="str">
        <x:v>15|Plante|Rare</x:v>
      </x:c>
      <x:c r="Q1294" t="n">
        <x:v>160000</x:v>
      </x:c>
      <x:c r="R1294" t="str">
        <x:v>2d10</x:v>
      </x:c>
      <x:c r="S1294" t="str">
        <x:v>PO</x:v>
      </x:c>
      <x:c r="T1294" t="n">
        <x:v>0</x:v>
      </x:c>
      <x:c r="U1294" t="n">
        <x:v>5</x:v>
      </x:c>
      <x:c r="V1294" t="n">
        <x:v>0</x:v>
      </x:c>
      <x:c r="W1294" t="n">
        <x:v>0</x:v>
      </x:c>
      <x:c r="X1294" t="str">
        <x:v>VALUE: [[2d10]] PO 5 PO</x:v>
      </x:c>
    </x:row>
    <x:row r="1295">
      <x:c r="P1295" t="str">
        <x:v>15|Plante|Précieuse</x:v>
      </x:c>
      <x:c r="Q1295" t="n">
        <x:v>256000</x:v>
      </x:c>
      <x:c r="R1295" t="str">
        <x:v>4d8</x:v>
      </x:c>
      <x:c r="S1295" t="str">
        <x:v>PO</x:v>
      </x:c>
      <x:c r="T1295" t="n">
        <x:v>0</x:v>
      </x:c>
      <x:c r="U1295" t="n">
        <x:v>7</x:v>
      </x:c>
      <x:c r="V1295" t="n">
        <x:v>60</x:v>
      </x:c>
      <x:c r="W1295" t="n">
        <x:v>0</x:v>
      </x:c>
      <x:c r="X1295" t="str">
        <x:v>VALUE: [[4d8]] PO 7 PO 60 PA</x:v>
      </x:c>
    </x:row>
    <x:row r="1296">
      <x:c r="P1296" t="str">
        <x:v>15|Plante|Exceptionnelle</x:v>
      </x:c>
      <x:c r="Q1296" t="n">
        <x:v>448000</x:v>
      </x:c>
      <x:c r="R1296" t="str">
        <x:v>3d20</x:v>
      </x:c>
      <x:c r="S1296" t="str">
        <x:v>PO</x:v>
      </x:c>
      <x:c r="T1296" t="n">
        <x:v>0</x:v>
      </x:c>
      <x:c r="U1296" t="n">
        <x:v>13</x:v>
      </x:c>
      <x:c r="V1296" t="n">
        <x:v>30</x:v>
      </x:c>
      <x:c r="W1296" t="n">
        <x:v>0</x:v>
      </x:c>
      <x:c r="X1296" t="str">
        <x:v>VALUE: [[3d20]] PO 13 PO 30 PA</x:v>
      </x:c>
    </x:row>
    <x:row r="1297">
      <x:c r="P1297" t="str">
        <x:v>15|Humanoïde|Commune</x:v>
      </x:c>
      <x:c r="Q1297" t="n">
        <x:v>80000</x:v>
      </x:c>
      <x:c r="R1297" t="str">
        <x:v>1d10</x:v>
      </x:c>
      <x:c r="S1297" t="str">
        <x:v>PO</x:v>
      </x:c>
      <x:c r="T1297" t="n">
        <x:v>0</x:v>
      </x:c>
      <x:c r="U1297" t="n">
        <x:v>2</x:v>
      </x:c>
      <x:c r="V1297" t="n">
        <x:v>50</x:v>
      </x:c>
      <x:c r="W1297" t="n">
        <x:v>0</x:v>
      </x:c>
      <x:c r="X1297" t="str">
        <x:v>VALUE: [[1d10]] PO 2 PO 50 PA</x:v>
      </x:c>
    </x:row>
    <x:row r="1298">
      <x:c r="P1298" t="str">
        <x:v>15|Humanoïde|Peu commune</x:v>
      </x:c>
      <x:c r="Q1298" t="n">
        <x:v>120000</x:v>
      </x:c>
      <x:c r="R1298" t="str">
        <x:v>2d8</x:v>
      </x:c>
      <x:c r="S1298" t="str">
        <x:v>PO</x:v>
      </x:c>
      <x:c r="T1298" t="n">
        <x:v>0</x:v>
      </x:c>
      <x:c r="U1298" t="n">
        <x:v>3</x:v>
      </x:c>
      <x:c r="V1298" t="n">
        <x:v>0</x:v>
      </x:c>
      <x:c r="W1298" t="n">
        <x:v>0</x:v>
      </x:c>
      <x:c r="X1298" t="str">
        <x:v>VALUE: [[2d8]] PO 3 PO</x:v>
      </x:c>
    </x:row>
    <x:row r="1299">
      <x:c r="P1299" t="str">
        <x:v>15|Humanoïde|Rare</x:v>
      </x:c>
      <x:c r="Q1299" t="n">
        <x:v>200000</x:v>
      </x:c>
      <x:c r="R1299" t="str">
        <x:v>4d6</x:v>
      </x:c>
      <x:c r="S1299" t="str">
        <x:v>PO</x:v>
      </x:c>
      <x:c r="T1299" t="n">
        <x:v>0</x:v>
      </x:c>
      <x:c r="U1299" t="n">
        <x:v>6</x:v>
      </x:c>
      <x:c r="V1299" t="n">
        <x:v>0</x:v>
      </x:c>
      <x:c r="W1299" t="n">
        <x:v>0</x:v>
      </x:c>
      <x:c r="X1299" t="str">
        <x:v>VALUE: [[4d6]] PO 6 PO</x:v>
      </x:c>
    </x:row>
    <x:row r="1300">
      <x:c r="P1300" t="str">
        <x:v>15|Humanoïde|Précieuse</x:v>
      </x:c>
      <x:c r="Q1300" t="n">
        <x:v>320000</x:v>
      </x:c>
      <x:c r="R1300" t="str">
        <x:v>5d8</x:v>
      </x:c>
      <x:c r="S1300" t="str">
        <x:v>PO</x:v>
      </x:c>
      <x:c r="T1300" t="n">
        <x:v>0</x:v>
      </x:c>
      <x:c r="U1300" t="n">
        <x:v>9</x:v>
      </x:c>
      <x:c r="V1300" t="n">
        <x:v>50</x:v>
      </x:c>
      <x:c r="W1300" t="n">
        <x:v>0</x:v>
      </x:c>
      <x:c r="X1300" t="str">
        <x:v>VALUE: [[5d8]] PO 9 PO 50 PA</x:v>
      </x:c>
    </x:row>
    <x:row r="1301">
      <x:c r="P1301" t="str">
        <x:v>15|Humanoïde|Exceptionnelle</x:v>
      </x:c>
      <x:c r="Q1301" t="n">
        <x:v>560000</x:v>
      </x:c>
      <x:c r="R1301" t="str">
        <x:v>6d12</x:v>
      </x:c>
      <x:c r="S1301" t="str">
        <x:v>PO</x:v>
      </x:c>
      <x:c r="T1301" t="n">
        <x:v>0</x:v>
      </x:c>
      <x:c r="U1301" t="n">
        <x:v>17</x:v>
      </x:c>
      <x:c r="V1301" t="n">
        <x:v>0</x:v>
      </x:c>
      <x:c r="W1301" t="n">
        <x:v>0</x:v>
      </x:c>
      <x:c r="X1301" t="str">
        <x:v>VALUE: [[6d12]] PO 17 PO</x:v>
      </x:c>
    </x:row>
    <x:row r="1302">
      <x:c r="P1302" t="str">
        <x:v>15|Mort-vivant|Commune</x:v>
      </x:c>
      <x:c r="Q1302" t="n">
        <x:v>80000</x:v>
      </x:c>
      <x:c r="R1302" t="str">
        <x:v>1d10</x:v>
      </x:c>
      <x:c r="S1302" t="str">
        <x:v>PO</x:v>
      </x:c>
      <x:c r="T1302" t="n">
        <x:v>0</x:v>
      </x:c>
      <x:c r="U1302" t="n">
        <x:v>2</x:v>
      </x:c>
      <x:c r="V1302" t="n">
        <x:v>50</x:v>
      </x:c>
      <x:c r="W1302" t="n">
        <x:v>0</x:v>
      </x:c>
      <x:c r="X1302" t="str">
        <x:v>VALUE: [[1d10]] PO 2 PO 50 PA</x:v>
      </x:c>
    </x:row>
    <x:row r="1303">
      <x:c r="P1303" t="str">
        <x:v>15|Mort-vivant|Peu commune</x:v>
      </x:c>
      <x:c r="Q1303" t="n">
        <x:v>120000</x:v>
      </x:c>
      <x:c r="R1303" t="str">
        <x:v>2d8</x:v>
      </x:c>
      <x:c r="S1303" t="str">
        <x:v>PO</x:v>
      </x:c>
      <x:c r="T1303" t="n">
        <x:v>0</x:v>
      </x:c>
      <x:c r="U1303" t="n">
        <x:v>3</x:v>
      </x:c>
      <x:c r="V1303" t="n">
        <x:v>0</x:v>
      </x:c>
      <x:c r="W1303" t="n">
        <x:v>0</x:v>
      </x:c>
      <x:c r="X1303" t="str">
        <x:v>VALUE: [[2d8]] PO 3 PO</x:v>
      </x:c>
    </x:row>
    <x:row r="1304">
      <x:c r="P1304" t="str">
        <x:v>15|Mort-vivant|Rare</x:v>
      </x:c>
      <x:c r="Q1304" t="n">
        <x:v>200000</x:v>
      </x:c>
      <x:c r="R1304" t="str">
        <x:v>4d6</x:v>
      </x:c>
      <x:c r="S1304" t="str">
        <x:v>PO</x:v>
      </x:c>
      <x:c r="T1304" t="n">
        <x:v>0</x:v>
      </x:c>
      <x:c r="U1304" t="n">
        <x:v>6</x:v>
      </x:c>
      <x:c r="V1304" t="n">
        <x:v>0</x:v>
      </x:c>
      <x:c r="W1304" t="n">
        <x:v>0</x:v>
      </x:c>
      <x:c r="X1304" t="str">
        <x:v>VALUE: [[4d6]] PO 6 PO</x:v>
      </x:c>
    </x:row>
    <x:row r="1305">
      <x:c r="P1305" t="str">
        <x:v>15|Mort-vivant|Précieuse</x:v>
      </x:c>
      <x:c r="Q1305" t="n">
        <x:v>320000</x:v>
      </x:c>
      <x:c r="R1305" t="str">
        <x:v>5d8</x:v>
      </x:c>
      <x:c r="S1305" t="str">
        <x:v>PO</x:v>
      </x:c>
      <x:c r="T1305" t="n">
        <x:v>0</x:v>
      </x:c>
      <x:c r="U1305" t="n">
        <x:v>9</x:v>
      </x:c>
      <x:c r="V1305" t="n">
        <x:v>50</x:v>
      </x:c>
      <x:c r="W1305" t="n">
        <x:v>0</x:v>
      </x:c>
      <x:c r="X1305" t="str">
        <x:v>VALUE: [[5d8]] PO 9 PO 50 PA</x:v>
      </x:c>
    </x:row>
    <x:row r="1306">
      <x:c r="P1306" t="str">
        <x:v>15|Mort-vivant|Exceptionnelle</x:v>
      </x:c>
      <x:c r="Q1306" t="n">
        <x:v>560000</x:v>
      </x:c>
      <x:c r="R1306" t="str">
        <x:v>6d12</x:v>
      </x:c>
      <x:c r="S1306" t="str">
        <x:v>PO</x:v>
      </x:c>
      <x:c r="T1306" t="n">
        <x:v>0</x:v>
      </x:c>
      <x:c r="U1306" t="n">
        <x:v>17</x:v>
      </x:c>
      <x:c r="V1306" t="n">
        <x:v>0</x:v>
      </x:c>
      <x:c r="W1306" t="n">
        <x:v>0</x:v>
      </x:c>
      <x:c r="X1306" t="str">
        <x:v>VALUE: [[6d12]] PO 17 PO</x:v>
      </x:c>
    </x:row>
    <x:row r="1307">
      <x:c r="P1307" t="str">
        <x:v>15|Monstre|Commune</x:v>
      </x:c>
      <x:c r="Q1307" t="n">
        <x:v>80000</x:v>
      </x:c>
      <x:c r="R1307" t="str">
        <x:v>1d10</x:v>
      </x:c>
      <x:c r="S1307" t="str">
        <x:v>PO</x:v>
      </x:c>
      <x:c r="T1307" t="n">
        <x:v>0</x:v>
      </x:c>
      <x:c r="U1307" t="n">
        <x:v>2</x:v>
      </x:c>
      <x:c r="V1307" t="n">
        <x:v>50</x:v>
      </x:c>
      <x:c r="W1307" t="n">
        <x:v>0</x:v>
      </x:c>
      <x:c r="X1307" t="str">
        <x:v>VALUE: [[1d10]] PO 2 PO 50 PA</x:v>
      </x:c>
    </x:row>
    <x:row r="1308">
      <x:c r="P1308" t="str">
        <x:v>15|Monstre|Peu commune</x:v>
      </x:c>
      <x:c r="Q1308" t="n">
        <x:v>120000</x:v>
      </x:c>
      <x:c r="R1308" t="str">
        <x:v>2d8</x:v>
      </x:c>
      <x:c r="S1308" t="str">
        <x:v>PO</x:v>
      </x:c>
      <x:c r="T1308" t="n">
        <x:v>0</x:v>
      </x:c>
      <x:c r="U1308" t="n">
        <x:v>3</x:v>
      </x:c>
      <x:c r="V1308" t="n">
        <x:v>0</x:v>
      </x:c>
      <x:c r="W1308" t="n">
        <x:v>0</x:v>
      </x:c>
      <x:c r="X1308" t="str">
        <x:v>VALUE: [[2d8]] PO 3 PO</x:v>
      </x:c>
    </x:row>
    <x:row r="1309">
      <x:c r="P1309" t="str">
        <x:v>15|Monstre|Rare</x:v>
      </x:c>
      <x:c r="Q1309" t="n">
        <x:v>200000</x:v>
      </x:c>
      <x:c r="R1309" t="str">
        <x:v>4d6</x:v>
      </x:c>
      <x:c r="S1309" t="str">
        <x:v>PO</x:v>
      </x:c>
      <x:c r="T1309" t="n">
        <x:v>0</x:v>
      </x:c>
      <x:c r="U1309" t="n">
        <x:v>6</x:v>
      </x:c>
      <x:c r="V1309" t="n">
        <x:v>0</x:v>
      </x:c>
      <x:c r="W1309" t="n">
        <x:v>0</x:v>
      </x:c>
      <x:c r="X1309" t="str">
        <x:v>VALUE: [[4d6]] PO 6 PO</x:v>
      </x:c>
    </x:row>
    <x:row r="1310">
      <x:c r="P1310" t="str">
        <x:v>15|Monstre|Précieuse</x:v>
      </x:c>
      <x:c r="Q1310" t="n">
        <x:v>320000</x:v>
      </x:c>
      <x:c r="R1310" t="str">
        <x:v>5d8</x:v>
      </x:c>
      <x:c r="S1310" t="str">
        <x:v>PO</x:v>
      </x:c>
      <x:c r="T1310" t="n">
        <x:v>0</x:v>
      </x:c>
      <x:c r="U1310" t="n">
        <x:v>9</x:v>
      </x:c>
      <x:c r="V1310" t="n">
        <x:v>50</x:v>
      </x:c>
      <x:c r="W1310" t="n">
        <x:v>0</x:v>
      </x:c>
      <x:c r="X1310" t="str">
        <x:v>VALUE: [[5d8]] PO 9 PO 50 PA</x:v>
      </x:c>
    </x:row>
    <x:row r="1311">
      <x:c r="P1311" t="str">
        <x:v>15|Monstre|Exceptionnelle</x:v>
      </x:c>
      <x:c r="Q1311" t="n">
        <x:v>560000</x:v>
      </x:c>
      <x:c r="R1311" t="str">
        <x:v>6d12</x:v>
      </x:c>
      <x:c r="S1311" t="str">
        <x:v>PO</x:v>
      </x:c>
      <x:c r="T1311" t="n">
        <x:v>0</x:v>
      </x:c>
      <x:c r="U1311" t="n">
        <x:v>17</x:v>
      </x:c>
      <x:c r="V1311" t="n">
        <x:v>0</x:v>
      </x:c>
      <x:c r="W1311" t="n">
        <x:v>0</x:v>
      </x:c>
      <x:c r="X1311" t="str">
        <x:v>VALUE: [[6d12]] PO 17 PO</x:v>
      </x:c>
    </x:row>
    <x:row r="1312">
      <x:c r="P1312" t="str">
        <x:v>15|Vase|Commune</x:v>
      </x:c>
      <x:c r="Q1312" t="n">
        <x:v>80000</x:v>
      </x:c>
      <x:c r="R1312" t="str">
        <x:v>1d10</x:v>
      </x:c>
      <x:c r="S1312" t="str">
        <x:v>PO</x:v>
      </x:c>
      <x:c r="T1312" t="n">
        <x:v>0</x:v>
      </x:c>
      <x:c r="U1312" t="n">
        <x:v>2</x:v>
      </x:c>
      <x:c r="V1312" t="n">
        <x:v>50</x:v>
      </x:c>
      <x:c r="W1312" t="n">
        <x:v>0</x:v>
      </x:c>
      <x:c r="X1312" t="str">
        <x:v>VALUE: [[1d10]] PO 2 PO 50 PA</x:v>
      </x:c>
    </x:row>
    <x:row r="1313">
      <x:c r="P1313" t="str">
        <x:v>15|Vase|Peu commune</x:v>
      </x:c>
      <x:c r="Q1313" t="n">
        <x:v>120000</x:v>
      </x:c>
      <x:c r="R1313" t="str">
        <x:v>2d8</x:v>
      </x:c>
      <x:c r="S1313" t="str">
        <x:v>PO</x:v>
      </x:c>
      <x:c r="T1313" t="n">
        <x:v>0</x:v>
      </x:c>
      <x:c r="U1313" t="n">
        <x:v>3</x:v>
      </x:c>
      <x:c r="V1313" t="n">
        <x:v>0</x:v>
      </x:c>
      <x:c r="W1313" t="n">
        <x:v>0</x:v>
      </x:c>
      <x:c r="X1313" t="str">
        <x:v>VALUE: [[2d8]] PO 3 PO</x:v>
      </x:c>
    </x:row>
    <x:row r="1314">
      <x:c r="P1314" t="str">
        <x:v>15|Vase|Rare</x:v>
      </x:c>
      <x:c r="Q1314" t="n">
        <x:v>200000</x:v>
      </x:c>
      <x:c r="R1314" t="str">
        <x:v>4d6</x:v>
      </x:c>
      <x:c r="S1314" t="str">
        <x:v>PO</x:v>
      </x:c>
      <x:c r="T1314" t="n">
        <x:v>0</x:v>
      </x:c>
      <x:c r="U1314" t="n">
        <x:v>6</x:v>
      </x:c>
      <x:c r="V1314" t="n">
        <x:v>0</x:v>
      </x:c>
      <x:c r="W1314" t="n">
        <x:v>0</x:v>
      </x:c>
      <x:c r="X1314" t="str">
        <x:v>VALUE: [[4d6]] PO 6 PO</x:v>
      </x:c>
    </x:row>
    <x:row r="1315">
      <x:c r="P1315" t="str">
        <x:v>15|Vase|Précieuse</x:v>
      </x:c>
      <x:c r="Q1315" t="n">
        <x:v>320000</x:v>
      </x:c>
      <x:c r="R1315" t="str">
        <x:v>5d8</x:v>
      </x:c>
      <x:c r="S1315" t="str">
        <x:v>PO</x:v>
      </x:c>
      <x:c r="T1315" t="n">
        <x:v>0</x:v>
      </x:c>
      <x:c r="U1315" t="n">
        <x:v>9</x:v>
      </x:c>
      <x:c r="V1315" t="n">
        <x:v>50</x:v>
      </x:c>
      <x:c r="W1315" t="n">
        <x:v>0</x:v>
      </x:c>
      <x:c r="X1315" t="str">
        <x:v>VALUE: [[5d8]] PO 9 PO 50 PA</x:v>
      </x:c>
    </x:row>
    <x:row r="1316">
      <x:c r="P1316" t="str">
        <x:v>15|Vase|Exceptionnelle</x:v>
      </x:c>
      <x:c r="Q1316" t="n">
        <x:v>560000</x:v>
      </x:c>
      <x:c r="R1316" t="str">
        <x:v>6d12</x:v>
      </x:c>
      <x:c r="S1316" t="str">
        <x:v>PO</x:v>
      </x:c>
      <x:c r="T1316" t="n">
        <x:v>0</x:v>
      </x:c>
      <x:c r="U1316" t="n">
        <x:v>17</x:v>
      </x:c>
      <x:c r="V1316" t="n">
        <x:v>0</x:v>
      </x:c>
      <x:c r="W1316" t="n">
        <x:v>0</x:v>
      </x:c>
      <x:c r="X1316" t="str">
        <x:v>VALUE: [[6d12]] PO 17 PO</x:v>
      </x:c>
    </x:row>
    <x:row r="1317">
      <x:c r="P1317" t="str">
        <x:v>15|Géant|Commune</x:v>
      </x:c>
      <x:c r="Q1317" t="n">
        <x:v>96000</x:v>
      </x:c>
      <x:c r="R1317" t="str">
        <x:v>1d12</x:v>
      </x:c>
      <x:c r="S1317" t="str">
        <x:v>PO</x:v>
      </x:c>
      <x:c r="T1317" t="n">
        <x:v>0</x:v>
      </x:c>
      <x:c r="U1317" t="n">
        <x:v>3</x:v>
      </x:c>
      <x:c r="V1317" t="n">
        <x:v>10</x:v>
      </x:c>
      <x:c r="W1317" t="n">
        <x:v>0</x:v>
      </x:c>
      <x:c r="X1317" t="str">
        <x:v>VALUE: [[1d12]] PO 3 PO 10 PA</x:v>
      </x:c>
    </x:row>
    <x:row r="1318">
      <x:c r="P1318" t="str">
        <x:v>15|Géant|Peu commune</x:v>
      </x:c>
      <x:c r="Q1318" t="n">
        <x:v>144000</x:v>
      </x:c>
      <x:c r="R1318" t="str">
        <x:v>4d4</x:v>
      </x:c>
      <x:c r="S1318" t="str">
        <x:v>PO</x:v>
      </x:c>
      <x:c r="T1318" t="n">
        <x:v>0</x:v>
      </x:c>
      <x:c r="U1318" t="n">
        <x:v>4</x:v>
      </x:c>
      <x:c r="V1318" t="n">
        <x:v>40</x:v>
      </x:c>
      <x:c r="W1318" t="n">
        <x:v>0</x:v>
      </x:c>
      <x:c r="X1318" t="str">
        <x:v>VALUE: [[4d4]] PO 4 PO 40 PA</x:v>
      </x:c>
    </x:row>
    <x:row r="1319">
      <x:c r="P1319" t="str">
        <x:v>15|Géant|Rare</x:v>
      </x:c>
      <x:c r="Q1319" t="n">
        <x:v>240000</x:v>
      </x:c>
      <x:c r="R1319" t="str">
        <x:v>3d10</x:v>
      </x:c>
      <x:c r="S1319" t="str">
        <x:v>PO</x:v>
      </x:c>
      <x:c r="T1319" t="n">
        <x:v>0</x:v>
      </x:c>
      <x:c r="U1319" t="n">
        <x:v>7</x:v>
      </x:c>
      <x:c r="V1319" t="n">
        <x:v>50</x:v>
      </x:c>
      <x:c r="W1319" t="n">
        <x:v>0</x:v>
      </x:c>
      <x:c r="X1319" t="str">
        <x:v>VALUE: [[3d10]] PO 7 PO 50 PA</x:v>
      </x:c>
    </x:row>
    <x:row r="1320">
      <x:c r="P1320" t="str">
        <x:v>15|Géant|Précieuse</x:v>
      </x:c>
      <x:c r="Q1320" t="n">
        <x:v>384000</x:v>
      </x:c>
      <x:c r="R1320" t="str">
        <x:v>6d8</x:v>
      </x:c>
      <x:c r="S1320" t="str">
        <x:v>PO</x:v>
      </x:c>
      <x:c r="T1320" t="n">
        <x:v>0</x:v>
      </x:c>
      <x:c r="U1320" t="n">
        <x:v>11</x:v>
      </x:c>
      <x:c r="V1320" t="n">
        <x:v>40</x:v>
      </x:c>
      <x:c r="W1320" t="n">
        <x:v>0</x:v>
      </x:c>
      <x:c r="X1320" t="str">
        <x:v>VALUE: [[6d8]] PO 11 PO 40 PA</x:v>
      </x:c>
    </x:row>
    <x:row r="1321">
      <x:c r="P1321" t="str">
        <x:v>15|Géant|Exceptionnelle</x:v>
      </x:c>
      <x:c r="Q1321" t="n">
        <x:v>672000</x:v>
      </x:c>
      <x:c r="R1321" t="str">
        <x:v>7d12</x:v>
      </x:c>
      <x:c r="S1321" t="str">
        <x:v>PO</x:v>
      </x:c>
      <x:c r="T1321" t="n">
        <x:v>0</x:v>
      </x:c>
      <x:c r="U1321" t="n">
        <x:v>21</x:v>
      </x:c>
      <x:c r="V1321" t="n">
        <x:v>70</x:v>
      </x:c>
      <x:c r="W1321" t="n">
        <x:v>0</x:v>
      </x:c>
      <x:c r="X1321" t="str">
        <x:v>VALUE: [[7d12]] PO 21 PO 70 PA</x:v>
      </x:c>
    </x:row>
    <x:row r="1322">
      <x:c r="P1322" t="str">
        <x:v>15|Aberration|Commune</x:v>
      </x:c>
      <x:c r="Q1322" t="n">
        <x:v>120000</x:v>
      </x:c>
      <x:c r="R1322" t="str">
        <x:v>2d8</x:v>
      </x:c>
      <x:c r="S1322" t="str">
        <x:v>PO</x:v>
      </x:c>
      <x:c r="T1322" t="n">
        <x:v>0</x:v>
      </x:c>
      <x:c r="U1322" t="n">
        <x:v>3</x:v>
      </x:c>
      <x:c r="V1322" t="n">
        <x:v>0</x:v>
      </x:c>
      <x:c r="W1322" t="n">
        <x:v>0</x:v>
      </x:c>
      <x:c r="X1322" t="str">
        <x:v>VALUE: [[2d8]] PO 3 PO</x:v>
      </x:c>
    </x:row>
    <x:row r="1323">
      <x:c r="P1323" t="str">
        <x:v>15|Aberration|Peu commune</x:v>
      </x:c>
      <x:c r="Q1323" t="n">
        <x:v>180000</x:v>
      </x:c>
      <x:c r="R1323" t="str">
        <x:v>5d4</x:v>
      </x:c>
      <x:c r="S1323" t="str">
        <x:v>PO</x:v>
      </x:c>
      <x:c r="T1323" t="n">
        <x:v>0</x:v>
      </x:c>
      <x:c r="U1323" t="n">
        <x:v>5</x:v>
      </x:c>
      <x:c r="V1323" t="n">
        <x:v>50</x:v>
      </x:c>
      <x:c r="W1323" t="n">
        <x:v>0</x:v>
      </x:c>
      <x:c r="X1323" t="str">
        <x:v>VALUE: [[5d4]] PO 5 PO 50 PA</x:v>
      </x:c>
    </x:row>
    <x:row r="1324">
      <x:c r="P1324" t="str">
        <x:v>15|Aberration|Rare</x:v>
      </x:c>
      <x:c r="Q1324" t="n">
        <x:v>300000</x:v>
      </x:c>
      <x:c r="R1324" t="str">
        <x:v>2d20</x:v>
      </x:c>
      <x:c r="S1324" t="str">
        <x:v>PO</x:v>
      </x:c>
      <x:c r="T1324" t="n">
        <x:v>0</x:v>
      </x:c>
      <x:c r="U1324" t="n">
        <x:v>9</x:v>
      </x:c>
      <x:c r="V1324" t="n">
        <x:v>0</x:v>
      </x:c>
      <x:c r="W1324" t="n">
        <x:v>0</x:v>
      </x:c>
      <x:c r="X1324" t="str">
        <x:v>VALUE: [[2d20]] PO 9 PO</x:v>
      </x:c>
    </x:row>
    <x:row r="1325">
      <x:c r="P1325" t="str">
        <x:v>15|Aberration|Précieuse</x:v>
      </x:c>
      <x:c r="Q1325" t="n">
        <x:v>480000</x:v>
      </x:c>
      <x:c r="R1325" t="str">
        <x:v>6d10</x:v>
      </x:c>
      <x:c r="S1325" t="str">
        <x:v>PO</x:v>
      </x:c>
      <x:c r="T1325" t="n">
        <x:v>0</x:v>
      </x:c>
      <x:c r="U1325" t="n">
        <x:v>15</x:v>
      </x:c>
      <x:c r="V1325" t="n">
        <x:v>0</x:v>
      </x:c>
      <x:c r="W1325" t="n">
        <x:v>0</x:v>
      </x:c>
      <x:c r="X1325" t="str">
        <x:v>VALUE: [[6d10]] PO 15 PO</x:v>
      </x:c>
    </x:row>
    <x:row r="1326">
      <x:c r="P1326" t="str">
        <x:v>15|Aberration|Exceptionnelle</x:v>
      </x:c>
      <x:c r="Q1326" t="n">
        <x:v>840000</x:v>
      </x:c>
      <x:c r="R1326" t="str">
        <x:v>9d12</x:v>
      </x:c>
      <x:c r="S1326" t="str">
        <x:v>PO</x:v>
      </x:c>
      <x:c r="T1326" t="n">
        <x:v>0</x:v>
      </x:c>
      <x:c r="U1326" t="n">
        <x:v>25</x:v>
      </x:c>
      <x:c r="V1326" t="n">
        <x:v>50</x:v>
      </x:c>
      <x:c r="W1326" t="n">
        <x:v>0</x:v>
      </x:c>
      <x:c r="X1326" t="str">
        <x:v>VALUE: [[9d12]] PO 25 PO 50 PA</x:v>
      </x:c>
    </x:row>
    <x:row r="1327">
      <x:c r="P1327" t="str">
        <x:v>15|Fée|Commune</x:v>
      </x:c>
      <x:c r="Q1327" t="n">
        <x:v>144000</x:v>
      </x:c>
      <x:c r="R1327" t="str">
        <x:v>4d4</x:v>
      </x:c>
      <x:c r="S1327" t="str">
        <x:v>PO</x:v>
      </x:c>
      <x:c r="T1327" t="n">
        <x:v>0</x:v>
      </x:c>
      <x:c r="U1327" t="n">
        <x:v>4</x:v>
      </x:c>
      <x:c r="V1327" t="n">
        <x:v>40</x:v>
      </x:c>
      <x:c r="W1327" t="n">
        <x:v>0</x:v>
      </x:c>
      <x:c r="X1327" t="str">
        <x:v>VALUE: [[4d4]] PO 4 PO 40 PA</x:v>
      </x:c>
    </x:row>
    <x:row r="1328">
      <x:c r="P1328" t="str">
        <x:v>15|Fée|Peu commune</x:v>
      </x:c>
      <x:c r="Q1328" t="n">
        <x:v>216000</x:v>
      </x:c>
      <x:c r="R1328" t="str">
        <x:v>6d4</x:v>
      </x:c>
      <x:c r="S1328" t="str">
        <x:v>PO</x:v>
      </x:c>
      <x:c r="T1328" t="n">
        <x:v>0</x:v>
      </x:c>
      <x:c r="U1328" t="n">
        <x:v>6</x:v>
      </x:c>
      <x:c r="V1328" t="n">
        <x:v>60</x:v>
      </x:c>
      <x:c r="W1328" t="n">
        <x:v>0</x:v>
      </x:c>
      <x:c r="X1328" t="str">
        <x:v>VALUE: [[6d4]] PO 6 PO 60 PA</x:v>
      </x:c>
    </x:row>
    <x:row r="1329">
      <x:c r="P1329" t="str">
        <x:v>15|Fée|Rare</x:v>
      </x:c>
      <x:c r="Q1329" t="n">
        <x:v>360000</x:v>
      </x:c>
      <x:c r="R1329" t="str">
        <x:v>10d4</x:v>
      </x:c>
      <x:c r="S1329" t="str">
        <x:v>PO</x:v>
      </x:c>
      <x:c r="T1329" t="n">
        <x:v>0</x:v>
      </x:c>
      <x:c r="U1329" t="n">
        <x:v>11</x:v>
      </x:c>
      <x:c r="V1329" t="n">
        <x:v>0</x:v>
      </x:c>
      <x:c r="W1329" t="n">
        <x:v>0</x:v>
      </x:c>
      <x:c r="X1329" t="str">
        <x:v>VALUE: [[10d4]] PO 11 PO</x:v>
      </x:c>
    </x:row>
    <x:row r="1330">
      <x:c r="P1330" t="str">
        <x:v>15|Fée|Précieuse</x:v>
      </x:c>
      <x:c r="Q1330" t="n">
        <x:v>576000</x:v>
      </x:c>
      <x:c r="R1330" t="str">
        <x:v>9d8</x:v>
      </x:c>
      <x:c r="S1330" t="str">
        <x:v>PO</x:v>
      </x:c>
      <x:c r="T1330" t="n">
        <x:v>0</x:v>
      </x:c>
      <x:c r="U1330" t="n">
        <x:v>17</x:v>
      </x:c>
      <x:c r="V1330" t="n">
        <x:v>10</x:v>
      </x:c>
      <x:c r="W1330" t="n">
        <x:v>0</x:v>
      </x:c>
      <x:c r="X1330" t="str">
        <x:v>VALUE: [[9d8]] PO 17 PO 10 PA</x:v>
      </x:c>
    </x:row>
    <x:row r="1331">
      <x:c r="P1331" t="str">
        <x:v>15|Fée|Exceptionnelle</x:v>
      </x:c>
      <x:c r="Q1331" t="n">
        <x:v>1008000</x:v>
      </x:c>
      <x:c r="R1331" t="str">
        <x:v>7d20</x:v>
      </x:c>
      <x:c r="S1331" t="str">
        <x:v>PO</x:v>
      </x:c>
      <x:c r="T1331" t="n">
        <x:v>0</x:v>
      </x:c>
      <x:c r="U1331" t="n">
        <x:v>27</x:v>
      </x:c>
      <x:c r="V1331" t="n">
        <x:v>30</x:v>
      </x:c>
      <x:c r="W1331" t="n">
        <x:v>0</x:v>
      </x:c>
      <x:c r="X1331" t="str">
        <x:v>VALUE: [[7d20]] PO 27 PO 30 PA</x:v>
      </x:c>
    </x:row>
    <x:row r="1332">
      <x:c r="P1332" t="str">
        <x:v>15|Démon|Commune</x:v>
      </x:c>
      <x:c r="Q1332" t="n">
        <x:v>160000</x:v>
      </x:c>
      <x:c r="R1332" t="str">
        <x:v>2d10</x:v>
      </x:c>
      <x:c r="S1332" t="str">
        <x:v>PO</x:v>
      </x:c>
      <x:c r="T1332" t="n">
        <x:v>0</x:v>
      </x:c>
      <x:c r="U1332" t="n">
        <x:v>5</x:v>
      </x:c>
      <x:c r="V1332" t="n">
        <x:v>0</x:v>
      </x:c>
      <x:c r="W1332" t="n">
        <x:v>0</x:v>
      </x:c>
      <x:c r="X1332" t="str">
        <x:v>VALUE: [[2d10]] PO 5 PO</x:v>
      </x:c>
    </x:row>
    <x:row r="1333">
      <x:c r="P1333" t="str">
        <x:v>15|Démon|Peu commune</x:v>
      </x:c>
      <x:c r="Q1333" t="n">
        <x:v>240000</x:v>
      </x:c>
      <x:c r="R1333" t="str">
        <x:v>3d10</x:v>
      </x:c>
      <x:c r="S1333" t="str">
        <x:v>PO</x:v>
      </x:c>
      <x:c r="T1333" t="n">
        <x:v>0</x:v>
      </x:c>
      <x:c r="U1333" t="n">
        <x:v>7</x:v>
      </x:c>
      <x:c r="V1333" t="n">
        <x:v>50</x:v>
      </x:c>
      <x:c r="W1333" t="n">
        <x:v>0</x:v>
      </x:c>
      <x:c r="X1333" t="str">
        <x:v>VALUE: [[3d10]] PO 7 PO 50 PA</x:v>
      </x:c>
    </x:row>
    <x:row r="1334">
      <x:c r="P1334" t="str">
        <x:v>15|Démon|Rare</x:v>
      </x:c>
      <x:c r="Q1334" t="n">
        <x:v>400000</x:v>
      </x:c>
      <x:c r="R1334" t="str">
        <x:v>8d6</x:v>
      </x:c>
      <x:c r="S1334" t="str">
        <x:v>PO</x:v>
      </x:c>
      <x:c r="T1334" t="n">
        <x:v>0</x:v>
      </x:c>
      <x:c r="U1334" t="n">
        <x:v>12</x:v>
      </x:c>
      <x:c r="V1334" t="n">
        <x:v>0</x:v>
      </x:c>
      <x:c r="W1334" t="n">
        <x:v>0</x:v>
      </x:c>
      <x:c r="X1334" t="str">
        <x:v>VALUE: [[8d6]] PO 12 PO</x:v>
      </x:c>
    </x:row>
    <x:row r="1335">
      <x:c r="P1335" t="str">
        <x:v>15|Démon|Précieuse</x:v>
      </x:c>
      <x:c r="Q1335" t="n">
        <x:v>640000</x:v>
      </x:c>
      <x:c r="R1335" t="str">
        <x:v>10d8</x:v>
      </x:c>
      <x:c r="S1335" t="str">
        <x:v>PO</x:v>
      </x:c>
      <x:c r="T1335" t="n">
        <x:v>0</x:v>
      </x:c>
      <x:c r="U1335" t="n">
        <x:v>19</x:v>
      </x:c>
      <x:c r="V1335" t="n">
        <x:v>0</x:v>
      </x:c>
      <x:c r="W1335" t="n">
        <x:v>0</x:v>
      </x:c>
      <x:c r="X1335" t="str">
        <x:v>VALUE: [[10d8]] PO 19 PO</x:v>
      </x:c>
    </x:row>
    <x:row r="1336">
      <x:c r="P1336" t="str">
        <x:v>15|Démon|Exceptionnelle</x:v>
      </x:c>
      <x:c r="Q1336" t="n">
        <x:v>1120000</x:v>
      </x:c>
      <x:c r="R1336" t="str">
        <x:v>7d20</x:v>
      </x:c>
      <x:c r="S1336" t="str">
        <x:v>PO</x:v>
      </x:c>
      <x:c r="T1336" t="n">
        <x:v>0</x:v>
      </x:c>
      <x:c r="U1336" t="n">
        <x:v>38</x:v>
      </x:c>
      <x:c r="V1336" t="n">
        <x:v>50</x:v>
      </x:c>
      <x:c r="W1336" t="n">
        <x:v>0</x:v>
      </x:c>
      <x:c r="X1336" t="str">
        <x:v>VALUE: [[7d20]] PO 38 PO 50 PA</x:v>
      </x:c>
    </x:row>
    <x:row r="1337">
      <x:c r="P1337" t="str">
        <x:v>15|Artificiel|Commune</x:v>
      </x:c>
      <x:c r="Q1337" t="n">
        <x:v>160000</x:v>
      </x:c>
      <x:c r="R1337" t="str">
        <x:v>2d10</x:v>
      </x:c>
      <x:c r="S1337" t="str">
        <x:v>PO</x:v>
      </x:c>
      <x:c r="T1337" t="n">
        <x:v>0</x:v>
      </x:c>
      <x:c r="U1337" t="n">
        <x:v>5</x:v>
      </x:c>
      <x:c r="V1337" t="n">
        <x:v>0</x:v>
      </x:c>
      <x:c r="W1337" t="n">
        <x:v>0</x:v>
      </x:c>
      <x:c r="X1337" t="str">
        <x:v>VALUE: [[2d10]] PO 5 PO</x:v>
      </x:c>
    </x:row>
    <x:row r="1338">
      <x:c r="P1338" t="str">
        <x:v>15|Artificiel|Peu commune</x:v>
      </x:c>
      <x:c r="Q1338" t="n">
        <x:v>240000</x:v>
      </x:c>
      <x:c r="R1338" t="str">
        <x:v>3d10</x:v>
      </x:c>
      <x:c r="S1338" t="str">
        <x:v>PO</x:v>
      </x:c>
      <x:c r="T1338" t="n">
        <x:v>0</x:v>
      </x:c>
      <x:c r="U1338" t="n">
        <x:v>7</x:v>
      </x:c>
      <x:c r="V1338" t="n">
        <x:v>50</x:v>
      </x:c>
      <x:c r="W1338" t="n">
        <x:v>0</x:v>
      </x:c>
      <x:c r="X1338" t="str">
        <x:v>VALUE: [[3d10]] PO 7 PO 50 PA</x:v>
      </x:c>
    </x:row>
    <x:row r="1339">
      <x:c r="P1339" t="str">
        <x:v>15|Artificiel|Rare</x:v>
      </x:c>
      <x:c r="Q1339" t="n">
        <x:v>400000</x:v>
      </x:c>
      <x:c r="R1339" t="str">
        <x:v>8d6</x:v>
      </x:c>
      <x:c r="S1339" t="str">
        <x:v>PO</x:v>
      </x:c>
      <x:c r="T1339" t="n">
        <x:v>0</x:v>
      </x:c>
      <x:c r="U1339" t="n">
        <x:v>12</x:v>
      </x:c>
      <x:c r="V1339" t="n">
        <x:v>0</x:v>
      </x:c>
      <x:c r="W1339" t="n">
        <x:v>0</x:v>
      </x:c>
      <x:c r="X1339" t="str">
        <x:v>VALUE: [[8d6]] PO 12 PO</x:v>
      </x:c>
    </x:row>
    <x:row r="1340">
      <x:c r="P1340" t="str">
        <x:v>15|Artificiel|Précieuse</x:v>
      </x:c>
      <x:c r="Q1340" t="n">
        <x:v>640000</x:v>
      </x:c>
      <x:c r="R1340" t="str">
        <x:v>10d8</x:v>
      </x:c>
      <x:c r="S1340" t="str">
        <x:v>PO</x:v>
      </x:c>
      <x:c r="T1340" t="n">
        <x:v>0</x:v>
      </x:c>
      <x:c r="U1340" t="n">
        <x:v>19</x:v>
      </x:c>
      <x:c r="V1340" t="n">
        <x:v>0</x:v>
      </x:c>
      <x:c r="W1340" t="n">
        <x:v>0</x:v>
      </x:c>
      <x:c r="X1340" t="str">
        <x:v>VALUE: [[10d8]] PO 19 PO</x:v>
      </x:c>
    </x:row>
    <x:row r="1341">
      <x:c r="P1341" t="str">
        <x:v>15|Artificiel|Exceptionnelle</x:v>
      </x:c>
      <x:c r="Q1341" t="n">
        <x:v>1120000</x:v>
      </x:c>
      <x:c r="R1341" t="str">
        <x:v>7d20</x:v>
      </x:c>
      <x:c r="S1341" t="str">
        <x:v>PO</x:v>
      </x:c>
      <x:c r="T1341" t="n">
        <x:v>0</x:v>
      </x:c>
      <x:c r="U1341" t="n">
        <x:v>38</x:v>
      </x:c>
      <x:c r="V1341" t="n">
        <x:v>50</x:v>
      </x:c>
      <x:c r="W1341" t="n">
        <x:v>0</x:v>
      </x:c>
      <x:c r="X1341" t="str">
        <x:v>VALUE: [[7d20]] PO 38 PO 50 PA</x:v>
      </x:c>
    </x:row>
    <x:row r="1342">
      <x:c r="P1342" t="str">
        <x:v>15|Élémentaire|Commune</x:v>
      </x:c>
      <x:c r="Q1342" t="n">
        <x:v>200000</x:v>
      </x:c>
      <x:c r="R1342" t="str">
        <x:v>4d6</x:v>
      </x:c>
      <x:c r="S1342" t="str">
        <x:v>PO</x:v>
      </x:c>
      <x:c r="T1342" t="n">
        <x:v>0</x:v>
      </x:c>
      <x:c r="U1342" t="n">
        <x:v>6</x:v>
      </x:c>
      <x:c r="V1342" t="n">
        <x:v>0</x:v>
      </x:c>
      <x:c r="W1342" t="n">
        <x:v>0</x:v>
      </x:c>
      <x:c r="X1342" t="str">
        <x:v>VALUE: [[4d6]] PO 6 PO</x:v>
      </x:c>
    </x:row>
    <x:row r="1343">
      <x:c r="P1343" t="str">
        <x:v>15|Élémentaire|Peu commune</x:v>
      </x:c>
      <x:c r="Q1343" t="n">
        <x:v>300000</x:v>
      </x:c>
      <x:c r="R1343" t="str">
        <x:v>2d20</x:v>
      </x:c>
      <x:c r="S1343" t="str">
        <x:v>PO</x:v>
      </x:c>
      <x:c r="T1343" t="n">
        <x:v>0</x:v>
      </x:c>
      <x:c r="U1343" t="n">
        <x:v>9</x:v>
      </x:c>
      <x:c r="V1343" t="n">
        <x:v>0</x:v>
      </x:c>
      <x:c r="W1343" t="n">
        <x:v>0</x:v>
      </x:c>
      <x:c r="X1343" t="str">
        <x:v>VALUE: [[2d20]] PO 9 PO</x:v>
      </x:c>
    </x:row>
    <x:row r="1344">
      <x:c r="P1344" t="str">
        <x:v>15|Élémentaire|Rare</x:v>
      </x:c>
      <x:c r="Q1344" t="n">
        <x:v>500000</x:v>
      </x:c>
      <x:c r="R1344" t="str">
        <x:v>10d6</x:v>
      </x:c>
      <x:c r="S1344" t="str">
        <x:v>PO</x:v>
      </x:c>
      <x:c r="T1344" t="n">
        <x:v>0</x:v>
      </x:c>
      <x:c r="U1344" t="n">
        <x:v>15</x:v>
      </x:c>
      <x:c r="V1344" t="n">
        <x:v>0</x:v>
      </x:c>
      <x:c r="W1344" t="n">
        <x:v>0</x:v>
      </x:c>
      <x:c r="X1344" t="str">
        <x:v>VALUE: [[10d6]] PO 15 PO</x:v>
      </x:c>
    </x:row>
    <x:row r="1345">
      <x:c r="P1345" t="str">
        <x:v>15|Élémentaire|Précieuse</x:v>
      </x:c>
      <x:c r="Q1345" t="n">
        <x:v>800000</x:v>
      </x:c>
      <x:c r="R1345" t="str">
        <x:v>10d10</x:v>
      </x:c>
      <x:c r="S1345" t="str">
        <x:v>PO</x:v>
      </x:c>
      <x:c r="T1345" t="n">
        <x:v>0</x:v>
      </x:c>
      <x:c r="U1345" t="n">
        <x:v>25</x:v>
      </x:c>
      <x:c r="V1345" t="n">
        <x:v>0</x:v>
      </x:c>
      <x:c r="W1345" t="n">
        <x:v>0</x:v>
      </x:c>
      <x:c r="X1345" t="str">
        <x:v>VALUE: [[10d10]] PO 25 PO</x:v>
      </x:c>
    </x:row>
    <x:row r="1346">
      <x:c r="P1346" t="str">
        <x:v>15|Élémentaire|Exceptionnelle</x:v>
      </x:c>
      <x:c r="Q1346" t="n">
        <x:v>1400000</x:v>
      </x:c>
      <x:c r="R1346" t="str">
        <x:v>9d20</x:v>
      </x:c>
      <x:c r="S1346" t="str">
        <x:v>PO</x:v>
      </x:c>
      <x:c r="T1346" t="n">
        <x:v>0</x:v>
      </x:c>
      <x:c r="U1346" t="n">
        <x:v>45</x:v>
      </x:c>
      <x:c r="V1346" t="n">
        <x:v>50</x:v>
      </x:c>
      <x:c r="W1346" t="n">
        <x:v>0</x:v>
      </x:c>
      <x:c r="X1346" t="str">
        <x:v>VALUE: [[9d20]] PO 45 PO 50 PA</x:v>
      </x:c>
    </x:row>
    <x:row r="1347">
      <x:c r="P1347" t="str">
        <x:v>15|Esprit|Commune</x:v>
      </x:c>
      <x:c r="Q1347" t="n">
        <x:v>200000</x:v>
      </x:c>
      <x:c r="R1347" t="str">
        <x:v>4d6</x:v>
      </x:c>
      <x:c r="S1347" t="str">
        <x:v>PO</x:v>
      </x:c>
      <x:c r="T1347" t="n">
        <x:v>0</x:v>
      </x:c>
      <x:c r="U1347" t="n">
        <x:v>6</x:v>
      </x:c>
      <x:c r="V1347" t="n">
        <x:v>0</x:v>
      </x:c>
      <x:c r="W1347" t="n">
        <x:v>0</x:v>
      </x:c>
      <x:c r="X1347" t="str">
        <x:v>VALUE: [[4d6]] PO 6 PO</x:v>
      </x:c>
    </x:row>
    <x:row r="1348">
      <x:c r="P1348" t="str">
        <x:v>15|Esprit|Peu commune</x:v>
      </x:c>
      <x:c r="Q1348" t="n">
        <x:v>300000</x:v>
      </x:c>
      <x:c r="R1348" t="str">
        <x:v>2d20</x:v>
      </x:c>
      <x:c r="S1348" t="str">
        <x:v>PO</x:v>
      </x:c>
      <x:c r="T1348" t="n">
        <x:v>0</x:v>
      </x:c>
      <x:c r="U1348" t="n">
        <x:v>9</x:v>
      </x:c>
      <x:c r="V1348" t="n">
        <x:v>0</x:v>
      </x:c>
      <x:c r="W1348" t="n">
        <x:v>0</x:v>
      </x:c>
      <x:c r="X1348" t="str">
        <x:v>VALUE: [[2d20]] PO 9 PO</x:v>
      </x:c>
    </x:row>
    <x:row r="1349">
      <x:c r="P1349" t="str">
        <x:v>15|Esprit|Rare</x:v>
      </x:c>
      <x:c r="Q1349" t="n">
        <x:v>500000</x:v>
      </x:c>
      <x:c r="R1349" t="str">
        <x:v>10d6</x:v>
      </x:c>
      <x:c r="S1349" t="str">
        <x:v>PO</x:v>
      </x:c>
      <x:c r="T1349" t="n">
        <x:v>0</x:v>
      </x:c>
      <x:c r="U1349" t="n">
        <x:v>15</x:v>
      </x:c>
      <x:c r="V1349" t="n">
        <x:v>0</x:v>
      </x:c>
      <x:c r="W1349" t="n">
        <x:v>0</x:v>
      </x:c>
      <x:c r="X1349" t="str">
        <x:v>VALUE: [[10d6]] PO 15 PO</x:v>
      </x:c>
    </x:row>
    <x:row r="1350">
      <x:c r="P1350" t="str">
        <x:v>15|Esprit|Précieuse</x:v>
      </x:c>
      <x:c r="Q1350" t="n">
        <x:v>800000</x:v>
      </x:c>
      <x:c r="R1350" t="str">
        <x:v>10d10</x:v>
      </x:c>
      <x:c r="S1350" t="str">
        <x:v>PO</x:v>
      </x:c>
      <x:c r="T1350" t="n">
        <x:v>0</x:v>
      </x:c>
      <x:c r="U1350" t="n">
        <x:v>25</x:v>
      </x:c>
      <x:c r="V1350" t="n">
        <x:v>0</x:v>
      </x:c>
      <x:c r="W1350" t="n">
        <x:v>0</x:v>
      </x:c>
      <x:c r="X1350" t="str">
        <x:v>VALUE: [[10d10]] PO 25 PO</x:v>
      </x:c>
    </x:row>
    <x:row r="1351">
      <x:c r="P1351" t="str">
        <x:v>15|Esprit|Exceptionnelle</x:v>
      </x:c>
      <x:c r="Q1351" t="n">
        <x:v>1400000</x:v>
      </x:c>
      <x:c r="R1351" t="str">
        <x:v>9d20</x:v>
      </x:c>
      <x:c r="S1351" t="str">
        <x:v>PO</x:v>
      </x:c>
      <x:c r="T1351" t="n">
        <x:v>0</x:v>
      </x:c>
      <x:c r="U1351" t="n">
        <x:v>45</x:v>
      </x:c>
      <x:c r="V1351" t="n">
        <x:v>50</x:v>
      </x:c>
      <x:c r="W1351" t="n">
        <x:v>0</x:v>
      </x:c>
      <x:c r="X1351" t="str">
        <x:v>VALUE: [[9d20]] PO 45 PO 50 PA</x:v>
      </x:c>
    </x:row>
    <x:row r="1352">
      <x:c r="P1352" t="str">
        <x:v>15|Céleste|Commune</x:v>
      </x:c>
      <x:c r="Q1352" t="n">
        <x:v>240000</x:v>
      </x:c>
      <x:c r="R1352" t="str">
        <x:v>3d10</x:v>
      </x:c>
      <x:c r="S1352" t="str">
        <x:v>PO</x:v>
      </x:c>
      <x:c r="T1352" t="n">
        <x:v>0</x:v>
      </x:c>
      <x:c r="U1352" t="n">
        <x:v>7</x:v>
      </x:c>
      <x:c r="V1352" t="n">
        <x:v>50</x:v>
      </x:c>
      <x:c r="W1352" t="n">
        <x:v>0</x:v>
      </x:c>
      <x:c r="X1352" t="str">
        <x:v>VALUE: [[3d10]] PO 7 PO 50 PA</x:v>
      </x:c>
    </x:row>
    <x:row r="1353">
      <x:c r="P1353" t="str">
        <x:v>15|Céleste|Peu commune</x:v>
      </x:c>
      <x:c r="Q1353" t="n">
        <x:v>360000</x:v>
      </x:c>
      <x:c r="R1353" t="str">
        <x:v>10d4</x:v>
      </x:c>
      <x:c r="S1353" t="str">
        <x:v>PO</x:v>
      </x:c>
      <x:c r="T1353" t="n">
        <x:v>0</x:v>
      </x:c>
      <x:c r="U1353" t="n">
        <x:v>11</x:v>
      </x:c>
      <x:c r="V1353" t="n">
        <x:v>0</x:v>
      </x:c>
      <x:c r="W1353" t="n">
        <x:v>0</x:v>
      </x:c>
      <x:c r="X1353" t="str">
        <x:v>VALUE: [[10d4]] PO 11 PO</x:v>
      </x:c>
    </x:row>
    <x:row r="1354">
      <x:c r="P1354" t="str">
        <x:v>15|Céleste|Rare</x:v>
      </x:c>
      <x:c r="Q1354" t="n">
        <x:v>600000</x:v>
      </x:c>
      <x:c r="R1354" t="str">
        <x:v>4d20</x:v>
      </x:c>
      <x:c r="S1354" t="str">
        <x:v>PO</x:v>
      </x:c>
      <x:c r="T1354" t="n">
        <x:v>0</x:v>
      </x:c>
      <x:c r="U1354" t="n">
        <x:v>18</x:v>
      </x:c>
      <x:c r="V1354" t="n">
        <x:v>0</x:v>
      </x:c>
      <x:c r="W1354" t="n">
        <x:v>0</x:v>
      </x:c>
      <x:c r="X1354" t="str">
        <x:v>VALUE: [[4d20]] PO 18 PO</x:v>
      </x:c>
    </x:row>
    <x:row r="1355">
      <x:c r="P1355" t="str">
        <x:v>15|Céleste|Précieuse</x:v>
      </x:c>
      <x:c r="Q1355" t="n">
        <x:v>960000</x:v>
      </x:c>
      <x:c r="R1355" t="str">
        <x:v>10d12</x:v>
      </x:c>
      <x:c r="S1355" t="str">
        <x:v>PO</x:v>
      </x:c>
      <x:c r="T1355" t="n">
        <x:v>0</x:v>
      </x:c>
      <x:c r="U1355" t="n">
        <x:v>31</x:v>
      </x:c>
      <x:c r="V1355" t="n">
        <x:v>0</x:v>
      </x:c>
      <x:c r="W1355" t="n">
        <x:v>0</x:v>
      </x:c>
      <x:c r="X1355" t="str">
        <x:v>VALUE: [[10d12]] PO 31 PO</x:v>
      </x:c>
    </x:row>
    <x:row r="1356">
      <x:c r="P1356" t="str">
        <x:v>15|Céleste|Exceptionnelle</x:v>
      </x:c>
      <x:c r="Q1356" t="n">
        <x:v>1680000</x:v>
      </x:c>
      <x:c r="R1356" t="str">
        <x:v>10d20</x:v>
      </x:c>
      <x:c r="S1356" t="str">
        <x:v>PO</x:v>
      </x:c>
      <x:c r="T1356" t="n">
        <x:v>0</x:v>
      </x:c>
      <x:c r="U1356" t="n">
        <x:v>63</x:v>
      </x:c>
      <x:c r="V1356" t="n">
        <x:v>0</x:v>
      </x:c>
      <x:c r="W1356" t="n">
        <x:v>0</x:v>
      </x:c>
      <x:c r="X1356" t="str">
        <x:v>VALUE: [[10d20]] PO 63 PO</x:v>
      </x:c>
    </x:row>
    <x:row r="1357">
      <x:c r="P1357" t="str">
        <x:v>15|Dragon|Commune</x:v>
      </x:c>
      <x:c r="Q1357" t="n">
        <x:v>400000</x:v>
      </x:c>
      <x:c r="R1357" t="str">
        <x:v>8d6</x:v>
      </x:c>
      <x:c r="S1357" t="str">
        <x:v>PO</x:v>
      </x:c>
      <x:c r="T1357" t="n">
        <x:v>0</x:v>
      </x:c>
      <x:c r="U1357" t="n">
        <x:v>12</x:v>
      </x:c>
      <x:c r="V1357" t="n">
        <x:v>0</x:v>
      </x:c>
      <x:c r="W1357" t="n">
        <x:v>0</x:v>
      </x:c>
      <x:c r="X1357" t="str">
        <x:v>VALUE: [[8d6]] PO 12 PO</x:v>
      </x:c>
    </x:row>
    <x:row r="1358">
      <x:c r="P1358" t="str">
        <x:v>15|Dragon|Peu commune</x:v>
      </x:c>
      <x:c r="Q1358" t="n">
        <x:v>600000</x:v>
      </x:c>
      <x:c r="R1358" t="str">
        <x:v>4d20</x:v>
      </x:c>
      <x:c r="S1358" t="str">
        <x:v>PO</x:v>
      </x:c>
      <x:c r="T1358" t="n">
        <x:v>0</x:v>
      </x:c>
      <x:c r="U1358" t="n">
        <x:v>18</x:v>
      </x:c>
      <x:c r="V1358" t="n">
        <x:v>0</x:v>
      </x:c>
      <x:c r="W1358" t="n">
        <x:v>0</x:v>
      </x:c>
      <x:c r="X1358" t="str">
        <x:v>VALUE: [[4d20]] PO 18 PO</x:v>
      </x:c>
    </x:row>
    <x:row r="1359">
      <x:c r="P1359" t="str">
        <x:v>15|Dragon|Rare</x:v>
      </x:c>
      <x:c r="Q1359" t="n">
        <x:v>1000000</x:v>
      </x:c>
      <x:c r="R1359" t="str">
        <x:v>7d20</x:v>
      </x:c>
      <x:c r="S1359" t="str">
        <x:v>PO</x:v>
      </x:c>
      <x:c r="T1359" t="n">
        <x:v>0</x:v>
      </x:c>
      <x:c r="U1359" t="n">
        <x:v>26</x:v>
      </x:c>
      <x:c r="V1359" t="n">
        <x:v>50</x:v>
      </x:c>
      <x:c r="W1359" t="n">
        <x:v>0</x:v>
      </x:c>
      <x:c r="X1359" t="str">
        <x:v>VALUE: [[7d20]] PO 26 PO 50 PA</x:v>
      </x:c>
    </x:row>
    <x:row r="1360">
      <x:c r="P1360" t="str">
        <x:v>15|Dragon|Précieuse</x:v>
      </x:c>
      <x:c r="Q1360" t="n">
        <x:v>1600000</x:v>
      </x:c>
      <x:c r="R1360" t="str">
        <x:v>10d20</x:v>
      </x:c>
      <x:c r="S1360" t="str">
        <x:v>PO</x:v>
      </x:c>
      <x:c r="T1360" t="n">
        <x:v>0</x:v>
      </x:c>
      <x:c r="U1360" t="n">
        <x:v>55</x:v>
      </x:c>
      <x:c r="V1360" t="n">
        <x:v>0</x:v>
      </x:c>
      <x:c r="W1360" t="n">
        <x:v>0</x:v>
      </x:c>
      <x:c r="X1360" t="str">
        <x:v>VALUE: [[10d20]] PO 55 PO</x:v>
      </x:c>
    </x:row>
    <x:row r="1361">
      <x:c r="P1361" t="str">
        <x:v>15|Dragon|Exceptionnelle</x:v>
      </x:c>
      <x:c r="Q1361" t="n">
        <x:v>2800000</x:v>
      </x:c>
      <x:c r="R1361" t="str">
        <x:v>1d4</x:v>
      </x:c>
      <x:c r="S1361" t="str">
        <x:v>PP</x:v>
      </x:c>
      <x:c r="T1361" t="n">
        <x:v>0</x:v>
      </x:c>
      <x:c r="U1361" t="n">
        <x:v>30</x:v>
      </x:c>
      <x:c r="V1361" t="n">
        <x:v>0</x:v>
      </x:c>
      <x:c r="W1361" t="n">
        <x:v>0</x:v>
      </x:c>
      <x:c r="X1361" t="str">
        <x:v>VALUE: [[1d4]] PP 30 PO</x:v>
      </x:c>
    </x:row>
    <x:row r="1362">
      <x:c r="P1362" t="str">
        <x:v>16|Vermine|Commune</x:v>
      </x:c>
      <x:c r="Q1362" t="n">
        <x:v>49000</x:v>
      </x:c>
      <x:c r="R1362" t="str">
        <x:v>1d6</x:v>
      </x:c>
      <x:c r="S1362" t="str">
        <x:v>PO</x:v>
      </x:c>
      <x:c r="T1362" t="n">
        <x:v>0</x:v>
      </x:c>
      <x:c r="U1362" t="n">
        <x:v>1</x:v>
      </x:c>
      <x:c r="V1362" t="n">
        <x:v>40</x:v>
      </x:c>
      <x:c r="W1362" t="n">
        <x:v>0</x:v>
      </x:c>
      <x:c r="X1362" t="str">
        <x:v>VALUE: [[1d6]] PO 1 PO 40 PA</x:v>
      </x:c>
    </x:row>
    <x:row r="1363">
      <x:c r="P1363" t="str">
        <x:v>16|Vermine|Peu commune</x:v>
      </x:c>
      <x:c r="Q1363" t="n">
        <x:v>73500</x:v>
      </x:c>
      <x:c r="R1363" t="str">
        <x:v>2d4</x:v>
      </x:c>
      <x:c r="S1363" t="str">
        <x:v>PO</x:v>
      </x:c>
      <x:c r="T1363" t="n">
        <x:v>0</x:v>
      </x:c>
      <x:c r="U1363" t="n">
        <x:v>2</x:v>
      </x:c>
      <x:c r="V1363" t="n">
        <x:v>35</x:v>
      </x:c>
      <x:c r="W1363" t="n">
        <x:v>0</x:v>
      </x:c>
      <x:c r="X1363" t="str">
        <x:v>VALUE: [[2d4]] PO 2 PO 35 PA</x:v>
      </x:c>
    </x:row>
    <x:row r="1364">
      <x:c r="P1364" t="str">
        <x:v>16|Vermine|Rare</x:v>
      </x:c>
      <x:c r="Q1364" t="n">
        <x:v>122500</x:v>
      </x:c>
      <x:c r="R1364" t="str">
        <x:v>2d8</x:v>
      </x:c>
      <x:c r="S1364" t="str">
        <x:v>PO</x:v>
      </x:c>
      <x:c r="T1364" t="n">
        <x:v>0</x:v>
      </x:c>
      <x:c r="U1364" t="n">
        <x:v>3</x:v>
      </x:c>
      <x:c r="V1364" t="n">
        <x:v>25</x:v>
      </x:c>
      <x:c r="W1364" t="n">
        <x:v>0</x:v>
      </x:c>
      <x:c r="X1364" t="str">
        <x:v>VALUE: [[2d8]] PO 3 PO 25 PA</x:v>
      </x:c>
    </x:row>
    <x:row r="1365">
      <x:c r="P1365" t="str">
        <x:v>16|Vermine|Précieuse</x:v>
      </x:c>
      <x:c r="Q1365" t="n">
        <x:v>196000</x:v>
      </x:c>
      <x:c r="R1365" t="str">
        <x:v>3d8</x:v>
      </x:c>
      <x:c r="S1365" t="str">
        <x:v>PO</x:v>
      </x:c>
      <x:c r="T1365" t="n">
        <x:v>0</x:v>
      </x:c>
      <x:c r="U1365" t="n">
        <x:v>6</x:v>
      </x:c>
      <x:c r="V1365" t="n">
        <x:v>10</x:v>
      </x:c>
      <x:c r="W1365" t="n">
        <x:v>0</x:v>
      </x:c>
      <x:c r="X1365" t="str">
        <x:v>VALUE: [[3d8]] PO 6 PO 10 PA</x:v>
      </x:c>
    </x:row>
    <x:row r="1366">
      <x:c r="P1366" t="str">
        <x:v>16|Vermine|Exceptionnelle</x:v>
      </x:c>
      <x:c r="Q1366" t="n">
        <x:v>343000</x:v>
      </x:c>
      <x:c r="R1366" t="str">
        <x:v>7d6</x:v>
      </x:c>
      <x:c r="S1366" t="str">
        <x:v>PO</x:v>
      </x:c>
      <x:c r="T1366" t="n">
        <x:v>0</x:v>
      </x:c>
      <x:c r="U1366" t="n">
        <x:v>9</x:v>
      </x:c>
      <x:c r="V1366" t="n">
        <x:v>80</x:v>
      </x:c>
      <x:c r="W1366" t="n">
        <x:v>0</x:v>
      </x:c>
      <x:c r="X1366" t="str">
        <x:v>VALUE: [[7d6]] PO 9 PO 80 PA</x:v>
      </x:c>
    </x:row>
    <x:row r="1367">
      <x:c r="P1367" t="str">
        <x:v>16|Bête|Commune</x:v>
      </x:c>
      <x:c r="Q1367" t="n">
        <x:v>84000</x:v>
      </x:c>
      <x:c r="R1367" t="str">
        <x:v>1d10</x:v>
      </x:c>
      <x:c r="S1367" t="str">
        <x:v>PO</x:v>
      </x:c>
      <x:c r="T1367" t="n">
        <x:v>0</x:v>
      </x:c>
      <x:c r="U1367" t="n">
        <x:v>2</x:v>
      </x:c>
      <x:c r="V1367" t="n">
        <x:v>90</x:v>
      </x:c>
      <x:c r="W1367" t="n">
        <x:v>0</x:v>
      </x:c>
      <x:c r="X1367" t="str">
        <x:v>VALUE: [[1d10]] PO 2 PO 90 PA</x:v>
      </x:c>
    </x:row>
    <x:row r="1368">
      <x:c r="P1368" t="str">
        <x:v>16|Bête|Peu commune</x:v>
      </x:c>
      <x:c r="Q1368" t="n">
        <x:v>126000</x:v>
      </x:c>
      <x:c r="R1368" t="str">
        <x:v>2d8</x:v>
      </x:c>
      <x:c r="S1368" t="str">
        <x:v>PO</x:v>
      </x:c>
      <x:c r="T1368" t="n">
        <x:v>0</x:v>
      </x:c>
      <x:c r="U1368" t="n">
        <x:v>3</x:v>
      </x:c>
      <x:c r="V1368" t="n">
        <x:v>60</x:v>
      </x:c>
      <x:c r="W1368" t="n">
        <x:v>0</x:v>
      </x:c>
      <x:c r="X1368" t="str">
        <x:v>VALUE: [[2d8]] PO 3 PO 60 PA</x:v>
      </x:c>
    </x:row>
    <x:row r="1369">
      <x:c r="P1369" t="str">
        <x:v>16|Bête|Rare</x:v>
      </x:c>
      <x:c r="Q1369" t="n">
        <x:v>210000</x:v>
      </x:c>
      <x:c r="R1369" t="str">
        <x:v>6d4</x:v>
      </x:c>
      <x:c r="S1369" t="str">
        <x:v>PO</x:v>
      </x:c>
      <x:c r="T1369" t="n">
        <x:v>0</x:v>
      </x:c>
      <x:c r="U1369" t="n">
        <x:v>6</x:v>
      </x:c>
      <x:c r="V1369" t="n">
        <x:v>0</x:v>
      </x:c>
      <x:c r="W1369" t="n">
        <x:v>0</x:v>
      </x:c>
      <x:c r="X1369" t="str">
        <x:v>VALUE: [[6d4]] PO 6 PO</x:v>
      </x:c>
    </x:row>
    <x:row r="1370">
      <x:c r="P1370" t="str">
        <x:v>16|Bête|Précieuse</x:v>
      </x:c>
      <x:c r="Q1370" t="n">
        <x:v>336000</x:v>
      </x:c>
      <x:c r="R1370" t="str">
        <x:v>7d6</x:v>
      </x:c>
      <x:c r="S1370" t="str">
        <x:v>PO</x:v>
      </x:c>
      <x:c r="T1370" t="n">
        <x:v>0</x:v>
      </x:c>
      <x:c r="U1370" t="n">
        <x:v>9</x:v>
      </x:c>
      <x:c r="V1370" t="n">
        <x:v>10</x:v>
      </x:c>
      <x:c r="W1370" t="n">
        <x:v>0</x:v>
      </x:c>
      <x:c r="X1370" t="str">
        <x:v>VALUE: [[7d6]] PO 9 PO 10 PA</x:v>
      </x:c>
    </x:row>
    <x:row r="1371">
      <x:c r="P1371" t="str">
        <x:v>16|Bête|Exceptionnelle</x:v>
      </x:c>
      <x:c r="Q1371" t="n">
        <x:v>588000</x:v>
      </x:c>
      <x:c r="R1371" t="str">
        <x:v>9d8</x:v>
      </x:c>
      <x:c r="S1371" t="str">
        <x:v>PO</x:v>
      </x:c>
      <x:c r="T1371" t="n">
        <x:v>0</x:v>
      </x:c>
      <x:c r="U1371" t="n">
        <x:v>18</x:v>
      </x:c>
      <x:c r="V1371" t="n">
        <x:v>30</x:v>
      </x:c>
      <x:c r="W1371" t="n">
        <x:v>0</x:v>
      </x:c>
      <x:c r="X1371" t="str">
        <x:v>VALUE: [[9d8]] PO 18 PO 30 PA</x:v>
      </x:c>
    </x:row>
    <x:row r="1372">
      <x:c r="P1372" t="str">
        <x:v>16|Aquatique|Commune</x:v>
      </x:c>
      <x:c r="Q1372" t="n">
        <x:v>98000</x:v>
      </x:c>
      <x:c r="R1372" t="str">
        <x:v>2d6</x:v>
      </x:c>
      <x:c r="S1372" t="str">
        <x:v>PO</x:v>
      </x:c>
      <x:c r="T1372" t="n">
        <x:v>0</x:v>
      </x:c>
      <x:c r="U1372" t="n">
        <x:v>2</x:v>
      </x:c>
      <x:c r="V1372" t="n">
        <x:v>80</x:v>
      </x:c>
      <x:c r="W1372" t="n">
        <x:v>0</x:v>
      </x:c>
      <x:c r="X1372" t="str">
        <x:v>VALUE: [[2d6]] PO 2 PO 80 PA</x:v>
      </x:c>
    </x:row>
    <x:row r="1373">
      <x:c r="P1373" t="str">
        <x:v>16|Aquatique|Peu commune</x:v>
      </x:c>
      <x:c r="Q1373" t="n">
        <x:v>147000</x:v>
      </x:c>
      <x:c r="R1373" t="str">
        <x:v>1d20</x:v>
      </x:c>
      <x:c r="S1373" t="str">
        <x:v>PO</x:v>
      </x:c>
      <x:c r="T1373" t="n">
        <x:v>0</x:v>
      </x:c>
      <x:c r="U1373" t="n">
        <x:v>4</x:v>
      </x:c>
      <x:c r="V1373" t="n">
        <x:v>20</x:v>
      </x:c>
      <x:c r="W1373" t="n">
        <x:v>0</x:v>
      </x:c>
      <x:c r="X1373" t="str">
        <x:v>VALUE: [[1d20]] PO 4 PO 20 PA</x:v>
      </x:c>
    </x:row>
    <x:row r="1374">
      <x:c r="P1374" t="str">
        <x:v>16|Aquatique|Rare</x:v>
      </x:c>
      <x:c r="Q1374" t="n">
        <x:v>245000</x:v>
      </x:c>
      <x:c r="R1374" t="str">
        <x:v>5d6</x:v>
      </x:c>
      <x:c r="S1374" t="str">
        <x:v>PO</x:v>
      </x:c>
      <x:c r="T1374" t="n">
        <x:v>0</x:v>
      </x:c>
      <x:c r="U1374" t="n">
        <x:v>7</x:v>
      </x:c>
      <x:c r="V1374" t="n">
        <x:v>0</x:v>
      </x:c>
      <x:c r="W1374" t="n">
        <x:v>0</x:v>
      </x:c>
      <x:c r="X1374" t="str">
        <x:v>VALUE: [[5d6]] PO 7 PO</x:v>
      </x:c>
    </x:row>
    <x:row r="1375">
      <x:c r="P1375" t="str">
        <x:v>16|Aquatique|Précieuse</x:v>
      </x:c>
      <x:c r="Q1375" t="n">
        <x:v>392000</x:v>
      </x:c>
      <x:c r="R1375" t="str">
        <x:v>5d10</x:v>
      </x:c>
      <x:c r="S1375" t="str">
        <x:v>PO</x:v>
      </x:c>
      <x:c r="T1375" t="n">
        <x:v>0</x:v>
      </x:c>
      <x:c r="U1375" t="n">
        <x:v>11</x:v>
      </x:c>
      <x:c r="V1375" t="n">
        <x:v>70</x:v>
      </x:c>
      <x:c r="W1375" t="n">
        <x:v>0</x:v>
      </x:c>
      <x:c r="X1375" t="str">
        <x:v>VALUE: [[5d10]] PO 11 PO 70 PA</x:v>
      </x:c>
    </x:row>
    <x:row r="1376">
      <x:c r="P1376" t="str">
        <x:v>16|Aquatique|Exceptionnelle</x:v>
      </x:c>
      <x:c r="Q1376" t="n">
        <x:v>686000</x:v>
      </x:c>
      <x:c r="R1376" t="str">
        <x:v>9d10</x:v>
      </x:c>
      <x:c r="S1376" t="str">
        <x:v>PO</x:v>
      </x:c>
      <x:c r="T1376" t="n">
        <x:v>0</x:v>
      </x:c>
      <x:c r="U1376" t="n">
        <x:v>19</x:v>
      </x:c>
      <x:c r="V1376" t="n">
        <x:v>10</x:v>
      </x:c>
      <x:c r="W1376" t="n">
        <x:v>0</x:v>
      </x:c>
      <x:c r="X1376" t="str">
        <x:v>VALUE: [[9d10]] PO 19 PO 10 PA</x:v>
      </x:c>
    </x:row>
    <x:row r="1377">
      <x:c r="P1377" t="str">
        <x:v>16|Plante|Commune</x:v>
      </x:c>
      <x:c r="Q1377" t="n">
        <x:v>112000</x:v>
      </x:c>
      <x:c r="R1377" t="str">
        <x:v>3d4</x:v>
      </x:c>
      <x:c r="S1377" t="str">
        <x:v>PO</x:v>
      </x:c>
      <x:c r="T1377" t="n">
        <x:v>0</x:v>
      </x:c>
      <x:c r="U1377" t="n">
        <x:v>3</x:v>
      </x:c>
      <x:c r="V1377" t="n">
        <x:v>70</x:v>
      </x:c>
      <x:c r="W1377" t="n">
        <x:v>0</x:v>
      </x:c>
      <x:c r="X1377" t="str">
        <x:v>VALUE: [[3d4]] PO 3 PO 70 PA</x:v>
      </x:c>
    </x:row>
    <x:row r="1378">
      <x:c r="P1378" t="str">
        <x:v>16|Plante|Peu commune</x:v>
      </x:c>
      <x:c r="Q1378" t="n">
        <x:v>168000</x:v>
      </x:c>
      <x:c r="R1378" t="str">
        <x:v>5d4</x:v>
      </x:c>
      <x:c r="S1378" t="str">
        <x:v>PO</x:v>
      </x:c>
      <x:c r="T1378" t="n">
        <x:v>0</x:v>
      </x:c>
      <x:c r="U1378" t="n">
        <x:v>4</x:v>
      </x:c>
      <x:c r="V1378" t="n">
        <x:v>30</x:v>
      </x:c>
      <x:c r="W1378" t="n">
        <x:v>0</x:v>
      </x:c>
      <x:c r="X1378" t="str">
        <x:v>VALUE: [[5d4]] PO 4 PO 30 PA</x:v>
      </x:c>
    </x:row>
    <x:row r="1379">
      <x:c r="P1379" t="str">
        <x:v>16|Plante|Rare</x:v>
      </x:c>
      <x:c r="Q1379" t="n">
        <x:v>280000</x:v>
      </x:c>
      <x:c r="R1379" t="str">
        <x:v>3d12</x:v>
      </x:c>
      <x:c r="S1379" t="str">
        <x:v>PO</x:v>
      </x:c>
      <x:c r="T1379" t="n">
        <x:v>0</x:v>
      </x:c>
      <x:c r="U1379" t="n">
        <x:v>8</x:v>
      </x:c>
      <x:c r="V1379" t="n">
        <x:v>50</x:v>
      </x:c>
      <x:c r="W1379" t="n">
        <x:v>0</x:v>
      </x:c>
      <x:c r="X1379" t="str">
        <x:v>VALUE: [[3d12]] PO 8 PO 50 PA</x:v>
      </x:c>
    </x:row>
    <x:row r="1380">
      <x:c r="P1380" t="str">
        <x:v>16|Plante|Précieuse</x:v>
      </x:c>
      <x:c r="Q1380" t="n">
        <x:v>448000</x:v>
      </x:c>
      <x:c r="R1380" t="str">
        <x:v>3d20</x:v>
      </x:c>
      <x:c r="S1380" t="str">
        <x:v>PO</x:v>
      </x:c>
      <x:c r="T1380" t="n">
        <x:v>0</x:v>
      </x:c>
      <x:c r="U1380" t="n">
        <x:v>13</x:v>
      </x:c>
      <x:c r="V1380" t="n">
        <x:v>30</x:v>
      </x:c>
      <x:c r="W1380" t="n">
        <x:v>0</x:v>
      </x:c>
      <x:c r="X1380" t="str">
        <x:v>VALUE: [[3d20]] PO 13 PO 30 PA</x:v>
      </x:c>
    </x:row>
    <x:row r="1381">
      <x:c r="P1381" t="str">
        <x:v>16|Plante|Exceptionnelle</x:v>
      </x:c>
      <x:c r="Q1381" t="n">
        <x:v>784000</x:v>
      </x:c>
      <x:c r="R1381" t="str">
        <x:v>10d10</x:v>
      </x:c>
      <x:c r="S1381" t="str">
        <x:v>PO</x:v>
      </x:c>
      <x:c r="T1381" t="n">
        <x:v>0</x:v>
      </x:c>
      <x:c r="U1381" t="n">
        <x:v>23</x:v>
      </x:c>
      <x:c r="V1381" t="n">
        <x:v>40</x:v>
      </x:c>
      <x:c r="W1381" t="n">
        <x:v>0</x:v>
      </x:c>
      <x:c r="X1381" t="str">
        <x:v>VALUE: [[10d10]] PO 23 PO 40 PA</x:v>
      </x:c>
    </x:row>
    <x:row r="1382">
      <x:c r="P1382" t="str">
        <x:v>16|Humanoïde|Commune</x:v>
      </x:c>
      <x:c r="Q1382" t="n">
        <x:v>140000</x:v>
      </x:c>
      <x:c r="R1382" t="str">
        <x:v>4d4</x:v>
      </x:c>
      <x:c r="S1382" t="str">
        <x:v>PO</x:v>
      </x:c>
      <x:c r="T1382" t="n">
        <x:v>0</x:v>
      </x:c>
      <x:c r="U1382" t="n">
        <x:v>4</x:v>
      </x:c>
      <x:c r="V1382" t="n">
        <x:v>0</x:v>
      </x:c>
      <x:c r="W1382" t="n">
        <x:v>0</x:v>
      </x:c>
      <x:c r="X1382" t="str">
        <x:v>VALUE: [[4d4]] PO 4 PO</x:v>
      </x:c>
    </x:row>
    <x:row r="1383">
      <x:c r="P1383" t="str">
        <x:v>16|Humanoïde|Peu commune</x:v>
      </x:c>
      <x:c r="Q1383" t="n">
        <x:v>210000</x:v>
      </x:c>
      <x:c r="R1383" t="str">
        <x:v>6d4</x:v>
      </x:c>
      <x:c r="S1383" t="str">
        <x:v>PO</x:v>
      </x:c>
      <x:c r="T1383" t="n">
        <x:v>0</x:v>
      </x:c>
      <x:c r="U1383" t="n">
        <x:v>6</x:v>
      </x:c>
      <x:c r="V1383" t="n">
        <x:v>0</x:v>
      </x:c>
      <x:c r="W1383" t="n">
        <x:v>0</x:v>
      </x:c>
      <x:c r="X1383" t="str">
        <x:v>VALUE: [[6d4]] PO 6 PO</x:v>
      </x:c>
    </x:row>
    <x:row r="1384">
      <x:c r="P1384" t="str">
        <x:v>16|Humanoïde|Rare</x:v>
      </x:c>
      <x:c r="Q1384" t="n">
        <x:v>350000</x:v>
      </x:c>
      <x:c r="R1384" t="str">
        <x:v>7d6</x:v>
      </x:c>
      <x:c r="S1384" t="str">
        <x:v>PO</x:v>
      </x:c>
      <x:c r="T1384" t="n">
        <x:v>0</x:v>
      </x:c>
      <x:c r="U1384" t="n">
        <x:v>10</x:v>
      </x:c>
      <x:c r="V1384" t="n">
        <x:v>50</x:v>
      </x:c>
      <x:c r="W1384" t="n">
        <x:v>0</x:v>
      </x:c>
      <x:c r="X1384" t="str">
        <x:v>VALUE: [[7d6]] PO 10 PO 50 PA</x:v>
      </x:c>
    </x:row>
    <x:row r="1385">
      <x:c r="P1385" t="str">
        <x:v>16|Humanoïde|Précieuse</x:v>
      </x:c>
      <x:c r="Q1385" t="n">
        <x:v>560000</x:v>
      </x:c>
      <x:c r="R1385" t="str">
        <x:v>6d12</x:v>
      </x:c>
      <x:c r="S1385" t="str">
        <x:v>PO</x:v>
      </x:c>
      <x:c r="T1385" t="n">
        <x:v>0</x:v>
      </x:c>
      <x:c r="U1385" t="n">
        <x:v>17</x:v>
      </x:c>
      <x:c r="V1385" t="n">
        <x:v>0</x:v>
      </x:c>
      <x:c r="W1385" t="n">
        <x:v>0</x:v>
      </x:c>
      <x:c r="X1385" t="str">
        <x:v>VALUE: [[6d12]] PO 17 PO</x:v>
      </x:c>
    </x:row>
    <x:row r="1386">
      <x:c r="P1386" t="str">
        <x:v>16|Humanoïde|Exceptionnelle</x:v>
      </x:c>
      <x:c r="Q1386" t="n">
        <x:v>980000</x:v>
      </x:c>
      <x:c r="R1386" t="str">
        <x:v>10d12</x:v>
      </x:c>
      <x:c r="S1386" t="str">
        <x:v>PO</x:v>
      </x:c>
      <x:c r="T1386" t="n">
        <x:v>0</x:v>
      </x:c>
      <x:c r="U1386" t="n">
        <x:v>33</x:v>
      </x:c>
      <x:c r="V1386" t="n">
        <x:v>0</x:v>
      </x:c>
      <x:c r="W1386" t="n">
        <x:v>0</x:v>
      </x:c>
      <x:c r="X1386" t="str">
        <x:v>VALUE: [[10d12]] PO 33 PO</x:v>
      </x:c>
    </x:row>
    <x:row r="1387">
      <x:c r="P1387" t="str">
        <x:v>16|Mort-vivant|Commune</x:v>
      </x:c>
      <x:c r="Q1387" t="n">
        <x:v>140000</x:v>
      </x:c>
      <x:c r="R1387" t="str">
        <x:v>4d4</x:v>
      </x:c>
      <x:c r="S1387" t="str">
        <x:v>PO</x:v>
      </x:c>
      <x:c r="T1387" t="n">
        <x:v>0</x:v>
      </x:c>
      <x:c r="U1387" t="n">
        <x:v>4</x:v>
      </x:c>
      <x:c r="V1387" t="n">
        <x:v>0</x:v>
      </x:c>
      <x:c r="W1387" t="n">
        <x:v>0</x:v>
      </x:c>
      <x:c r="X1387" t="str">
        <x:v>VALUE: [[4d4]] PO 4 PO</x:v>
      </x:c>
    </x:row>
    <x:row r="1388">
      <x:c r="P1388" t="str">
        <x:v>16|Mort-vivant|Peu commune</x:v>
      </x:c>
      <x:c r="Q1388" t="n">
        <x:v>210000</x:v>
      </x:c>
      <x:c r="R1388" t="str">
        <x:v>6d4</x:v>
      </x:c>
      <x:c r="S1388" t="str">
        <x:v>PO</x:v>
      </x:c>
      <x:c r="T1388" t="n">
        <x:v>0</x:v>
      </x:c>
      <x:c r="U1388" t="n">
        <x:v>6</x:v>
      </x:c>
      <x:c r="V1388" t="n">
        <x:v>0</x:v>
      </x:c>
      <x:c r="W1388" t="n">
        <x:v>0</x:v>
      </x:c>
      <x:c r="X1388" t="str">
        <x:v>VALUE: [[6d4]] PO 6 PO</x:v>
      </x:c>
    </x:row>
    <x:row r="1389">
      <x:c r="P1389" t="str">
        <x:v>16|Mort-vivant|Rare</x:v>
      </x:c>
      <x:c r="Q1389" t="n">
        <x:v>350000</x:v>
      </x:c>
      <x:c r="R1389" t="str">
        <x:v>7d6</x:v>
      </x:c>
      <x:c r="S1389" t="str">
        <x:v>PO</x:v>
      </x:c>
      <x:c r="T1389" t="n">
        <x:v>0</x:v>
      </x:c>
      <x:c r="U1389" t="n">
        <x:v>10</x:v>
      </x:c>
      <x:c r="V1389" t="n">
        <x:v>50</x:v>
      </x:c>
      <x:c r="W1389" t="n">
        <x:v>0</x:v>
      </x:c>
      <x:c r="X1389" t="str">
        <x:v>VALUE: [[7d6]] PO 10 PO 50 PA</x:v>
      </x:c>
    </x:row>
    <x:row r="1390">
      <x:c r="P1390" t="str">
        <x:v>16|Mort-vivant|Précieuse</x:v>
      </x:c>
      <x:c r="Q1390" t="n">
        <x:v>560000</x:v>
      </x:c>
      <x:c r="R1390" t="str">
        <x:v>6d12</x:v>
      </x:c>
      <x:c r="S1390" t="str">
        <x:v>PO</x:v>
      </x:c>
      <x:c r="T1390" t="n">
        <x:v>0</x:v>
      </x:c>
      <x:c r="U1390" t="n">
        <x:v>17</x:v>
      </x:c>
      <x:c r="V1390" t="n">
        <x:v>0</x:v>
      </x:c>
      <x:c r="W1390" t="n">
        <x:v>0</x:v>
      </x:c>
      <x:c r="X1390" t="str">
        <x:v>VALUE: [[6d12]] PO 17 PO</x:v>
      </x:c>
    </x:row>
    <x:row r="1391">
      <x:c r="P1391" t="str">
        <x:v>16|Mort-vivant|Exceptionnelle</x:v>
      </x:c>
      <x:c r="Q1391" t="n">
        <x:v>980000</x:v>
      </x:c>
      <x:c r="R1391" t="str">
        <x:v>10d12</x:v>
      </x:c>
      <x:c r="S1391" t="str">
        <x:v>PO</x:v>
      </x:c>
      <x:c r="T1391" t="n">
        <x:v>0</x:v>
      </x:c>
      <x:c r="U1391" t="n">
        <x:v>33</x:v>
      </x:c>
      <x:c r="V1391" t="n">
        <x:v>0</x:v>
      </x:c>
      <x:c r="W1391" t="n">
        <x:v>0</x:v>
      </x:c>
      <x:c r="X1391" t="str">
        <x:v>VALUE: [[10d12]] PO 33 PO</x:v>
      </x:c>
    </x:row>
    <x:row r="1392">
      <x:c r="P1392" t="str">
        <x:v>16|Monstre|Commune</x:v>
      </x:c>
      <x:c r="Q1392" t="n">
        <x:v>140000</x:v>
      </x:c>
      <x:c r="R1392" t="str">
        <x:v>4d4</x:v>
      </x:c>
      <x:c r="S1392" t="str">
        <x:v>PO</x:v>
      </x:c>
      <x:c r="T1392" t="n">
        <x:v>0</x:v>
      </x:c>
      <x:c r="U1392" t="n">
        <x:v>4</x:v>
      </x:c>
      <x:c r="V1392" t="n">
        <x:v>0</x:v>
      </x:c>
      <x:c r="W1392" t="n">
        <x:v>0</x:v>
      </x:c>
      <x:c r="X1392" t="str">
        <x:v>VALUE: [[4d4]] PO 4 PO</x:v>
      </x:c>
    </x:row>
    <x:row r="1393">
      <x:c r="P1393" t="str">
        <x:v>16|Monstre|Peu commune</x:v>
      </x:c>
      <x:c r="Q1393" t="n">
        <x:v>210000</x:v>
      </x:c>
      <x:c r="R1393" t="str">
        <x:v>6d4</x:v>
      </x:c>
      <x:c r="S1393" t="str">
        <x:v>PO</x:v>
      </x:c>
      <x:c r="T1393" t="n">
        <x:v>0</x:v>
      </x:c>
      <x:c r="U1393" t="n">
        <x:v>6</x:v>
      </x:c>
      <x:c r="V1393" t="n">
        <x:v>0</x:v>
      </x:c>
      <x:c r="W1393" t="n">
        <x:v>0</x:v>
      </x:c>
      <x:c r="X1393" t="str">
        <x:v>VALUE: [[6d4]] PO 6 PO</x:v>
      </x:c>
    </x:row>
    <x:row r="1394">
      <x:c r="P1394" t="str">
        <x:v>16|Monstre|Rare</x:v>
      </x:c>
      <x:c r="Q1394" t="n">
        <x:v>350000</x:v>
      </x:c>
      <x:c r="R1394" t="str">
        <x:v>7d6</x:v>
      </x:c>
      <x:c r="S1394" t="str">
        <x:v>PO</x:v>
      </x:c>
      <x:c r="T1394" t="n">
        <x:v>0</x:v>
      </x:c>
      <x:c r="U1394" t="n">
        <x:v>10</x:v>
      </x:c>
      <x:c r="V1394" t="n">
        <x:v>50</x:v>
      </x:c>
      <x:c r="W1394" t="n">
        <x:v>0</x:v>
      </x:c>
      <x:c r="X1394" t="str">
        <x:v>VALUE: [[7d6]] PO 10 PO 50 PA</x:v>
      </x:c>
    </x:row>
    <x:row r="1395">
      <x:c r="P1395" t="str">
        <x:v>16|Monstre|Précieuse</x:v>
      </x:c>
      <x:c r="Q1395" t="n">
        <x:v>560000</x:v>
      </x:c>
      <x:c r="R1395" t="str">
        <x:v>6d12</x:v>
      </x:c>
      <x:c r="S1395" t="str">
        <x:v>PO</x:v>
      </x:c>
      <x:c r="T1395" t="n">
        <x:v>0</x:v>
      </x:c>
      <x:c r="U1395" t="n">
        <x:v>17</x:v>
      </x:c>
      <x:c r="V1395" t="n">
        <x:v>0</x:v>
      </x:c>
      <x:c r="W1395" t="n">
        <x:v>0</x:v>
      </x:c>
      <x:c r="X1395" t="str">
        <x:v>VALUE: [[6d12]] PO 17 PO</x:v>
      </x:c>
    </x:row>
    <x:row r="1396">
      <x:c r="P1396" t="str">
        <x:v>16|Monstre|Exceptionnelle</x:v>
      </x:c>
      <x:c r="Q1396" t="n">
        <x:v>980000</x:v>
      </x:c>
      <x:c r="R1396" t="str">
        <x:v>10d12</x:v>
      </x:c>
      <x:c r="S1396" t="str">
        <x:v>PO</x:v>
      </x:c>
      <x:c r="T1396" t="n">
        <x:v>0</x:v>
      </x:c>
      <x:c r="U1396" t="n">
        <x:v>33</x:v>
      </x:c>
      <x:c r="V1396" t="n">
        <x:v>0</x:v>
      </x:c>
      <x:c r="W1396" t="n">
        <x:v>0</x:v>
      </x:c>
      <x:c r="X1396" t="str">
        <x:v>VALUE: [[10d12]] PO 33 PO</x:v>
      </x:c>
    </x:row>
    <x:row r="1397">
      <x:c r="P1397" t="str">
        <x:v>16|Vase|Commune</x:v>
      </x:c>
      <x:c r="Q1397" t="n">
        <x:v>140000</x:v>
      </x:c>
      <x:c r="R1397" t="str">
        <x:v>4d4</x:v>
      </x:c>
      <x:c r="S1397" t="str">
        <x:v>PO</x:v>
      </x:c>
      <x:c r="T1397" t="n">
        <x:v>0</x:v>
      </x:c>
      <x:c r="U1397" t="n">
        <x:v>4</x:v>
      </x:c>
      <x:c r="V1397" t="n">
        <x:v>0</x:v>
      </x:c>
      <x:c r="W1397" t="n">
        <x:v>0</x:v>
      </x:c>
      <x:c r="X1397" t="str">
        <x:v>VALUE: [[4d4]] PO 4 PO</x:v>
      </x:c>
    </x:row>
    <x:row r="1398">
      <x:c r="P1398" t="str">
        <x:v>16|Vase|Peu commune</x:v>
      </x:c>
      <x:c r="Q1398" t="n">
        <x:v>210000</x:v>
      </x:c>
      <x:c r="R1398" t="str">
        <x:v>6d4</x:v>
      </x:c>
      <x:c r="S1398" t="str">
        <x:v>PO</x:v>
      </x:c>
      <x:c r="T1398" t="n">
        <x:v>0</x:v>
      </x:c>
      <x:c r="U1398" t="n">
        <x:v>6</x:v>
      </x:c>
      <x:c r="V1398" t="n">
        <x:v>0</x:v>
      </x:c>
      <x:c r="W1398" t="n">
        <x:v>0</x:v>
      </x:c>
      <x:c r="X1398" t="str">
        <x:v>VALUE: [[6d4]] PO 6 PO</x:v>
      </x:c>
    </x:row>
    <x:row r="1399">
      <x:c r="P1399" t="str">
        <x:v>16|Vase|Rare</x:v>
      </x:c>
      <x:c r="Q1399" t="n">
        <x:v>350000</x:v>
      </x:c>
      <x:c r="R1399" t="str">
        <x:v>7d6</x:v>
      </x:c>
      <x:c r="S1399" t="str">
        <x:v>PO</x:v>
      </x:c>
      <x:c r="T1399" t="n">
        <x:v>0</x:v>
      </x:c>
      <x:c r="U1399" t="n">
        <x:v>10</x:v>
      </x:c>
      <x:c r="V1399" t="n">
        <x:v>50</x:v>
      </x:c>
      <x:c r="W1399" t="n">
        <x:v>0</x:v>
      </x:c>
      <x:c r="X1399" t="str">
        <x:v>VALUE: [[7d6]] PO 10 PO 50 PA</x:v>
      </x:c>
    </x:row>
    <x:row r="1400">
      <x:c r="P1400" t="str">
        <x:v>16|Vase|Précieuse</x:v>
      </x:c>
      <x:c r="Q1400" t="n">
        <x:v>560000</x:v>
      </x:c>
      <x:c r="R1400" t="str">
        <x:v>6d12</x:v>
      </x:c>
      <x:c r="S1400" t="str">
        <x:v>PO</x:v>
      </x:c>
      <x:c r="T1400" t="n">
        <x:v>0</x:v>
      </x:c>
      <x:c r="U1400" t="n">
        <x:v>17</x:v>
      </x:c>
      <x:c r="V1400" t="n">
        <x:v>0</x:v>
      </x:c>
      <x:c r="W1400" t="n">
        <x:v>0</x:v>
      </x:c>
      <x:c r="X1400" t="str">
        <x:v>VALUE: [[6d12]] PO 17 PO</x:v>
      </x:c>
    </x:row>
    <x:row r="1401">
      <x:c r="P1401" t="str">
        <x:v>16|Vase|Exceptionnelle</x:v>
      </x:c>
      <x:c r="Q1401" t="n">
        <x:v>980000</x:v>
      </x:c>
      <x:c r="R1401" t="str">
        <x:v>10d12</x:v>
      </x:c>
      <x:c r="S1401" t="str">
        <x:v>PO</x:v>
      </x:c>
      <x:c r="T1401" t="n">
        <x:v>0</x:v>
      </x:c>
      <x:c r="U1401" t="n">
        <x:v>33</x:v>
      </x:c>
      <x:c r="V1401" t="n">
        <x:v>0</x:v>
      </x:c>
      <x:c r="W1401" t="n">
        <x:v>0</x:v>
      </x:c>
      <x:c r="X1401" t="str">
        <x:v>VALUE: [[10d12]] PO 33 PO</x:v>
      </x:c>
    </x:row>
    <x:row r="1402">
      <x:c r="P1402" t="str">
        <x:v>16|Géant|Commune</x:v>
      </x:c>
      <x:c r="Q1402" t="n">
        <x:v>168000</x:v>
      </x:c>
      <x:c r="R1402" t="str">
        <x:v>5d4</x:v>
      </x:c>
      <x:c r="S1402" t="str">
        <x:v>PO</x:v>
      </x:c>
      <x:c r="T1402" t="n">
        <x:v>0</x:v>
      </x:c>
      <x:c r="U1402" t="n">
        <x:v>4</x:v>
      </x:c>
      <x:c r="V1402" t="n">
        <x:v>30</x:v>
      </x:c>
      <x:c r="W1402" t="n">
        <x:v>0</x:v>
      </x:c>
      <x:c r="X1402" t="str">
        <x:v>VALUE: [[5d4]] PO 4 PO 30 PA</x:v>
      </x:c>
    </x:row>
    <x:row r="1403">
      <x:c r="P1403" t="str">
        <x:v>16|Géant|Peu commune</x:v>
      </x:c>
      <x:c r="Q1403" t="n">
        <x:v>252000</x:v>
      </x:c>
      <x:c r="R1403" t="str">
        <x:v>5d6</x:v>
      </x:c>
      <x:c r="S1403" t="str">
        <x:v>PO</x:v>
      </x:c>
      <x:c r="T1403" t="n">
        <x:v>0</x:v>
      </x:c>
      <x:c r="U1403" t="n">
        <x:v>7</x:v>
      </x:c>
      <x:c r="V1403" t="n">
        <x:v>70</x:v>
      </x:c>
      <x:c r="W1403" t="n">
        <x:v>0</x:v>
      </x:c>
      <x:c r="X1403" t="str">
        <x:v>VALUE: [[5d6]] PO 7 PO 70 PA</x:v>
      </x:c>
    </x:row>
    <x:row r="1404">
      <x:c r="P1404" t="str">
        <x:v>16|Géant|Rare</x:v>
      </x:c>
      <x:c r="Q1404" t="n">
        <x:v>420000</x:v>
      </x:c>
      <x:c r="R1404" t="str">
        <x:v>8d6</x:v>
      </x:c>
      <x:c r="S1404" t="str">
        <x:v>PO</x:v>
      </x:c>
      <x:c r="T1404" t="n">
        <x:v>0</x:v>
      </x:c>
      <x:c r="U1404" t="n">
        <x:v>14</x:v>
      </x:c>
      <x:c r="V1404" t="n">
        <x:v>0</x:v>
      </x:c>
      <x:c r="W1404" t="n">
        <x:v>0</x:v>
      </x:c>
      <x:c r="X1404" t="str">
        <x:v>VALUE: [[8d6]] PO 14 PO</x:v>
      </x:c>
    </x:row>
    <x:row r="1405">
      <x:c r="P1405" t="str">
        <x:v>16|Géant|Précieuse</x:v>
      </x:c>
      <x:c r="Q1405" t="n">
        <x:v>672000</x:v>
      </x:c>
      <x:c r="R1405" t="str">
        <x:v>7d12</x:v>
      </x:c>
      <x:c r="S1405" t="str">
        <x:v>PO</x:v>
      </x:c>
      <x:c r="T1405" t="n">
        <x:v>0</x:v>
      </x:c>
      <x:c r="U1405" t="n">
        <x:v>21</x:v>
      </x:c>
      <x:c r="V1405" t="n">
        <x:v>70</x:v>
      </x:c>
      <x:c r="W1405" t="n">
        <x:v>0</x:v>
      </x:c>
      <x:c r="X1405" t="str">
        <x:v>VALUE: [[7d12]] PO 21 PO 70 PA</x:v>
      </x:c>
    </x:row>
    <x:row r="1406">
      <x:c r="P1406" t="str">
        <x:v>16|Géant|Exceptionnelle</x:v>
      </x:c>
      <x:c r="Q1406" t="n">
        <x:v>1176000</x:v>
      </x:c>
      <x:c r="R1406" t="str">
        <x:v>8d20</x:v>
      </x:c>
      <x:c r="S1406" t="str">
        <x:v>PO</x:v>
      </x:c>
      <x:c r="T1406" t="n">
        <x:v>0</x:v>
      </x:c>
      <x:c r="U1406" t="n">
        <x:v>33</x:v>
      </x:c>
      <x:c r="V1406" t="n">
        <x:v>60</x:v>
      </x:c>
      <x:c r="W1406" t="n">
        <x:v>0</x:v>
      </x:c>
      <x:c r="X1406" t="str">
        <x:v>VALUE: [[8d20]] PO 33 PO 60 PA</x:v>
      </x:c>
    </x:row>
    <x:row r="1407">
      <x:c r="P1407" t="str">
        <x:v>16|Aberration|Commune</x:v>
      </x:c>
      <x:c r="Q1407" t="n">
        <x:v>210000</x:v>
      </x:c>
      <x:c r="R1407" t="str">
        <x:v>6d4</x:v>
      </x:c>
      <x:c r="S1407" t="str">
        <x:v>PO</x:v>
      </x:c>
      <x:c r="T1407" t="n">
        <x:v>0</x:v>
      </x:c>
      <x:c r="U1407" t="n">
        <x:v>6</x:v>
      </x:c>
      <x:c r="V1407" t="n">
        <x:v>0</x:v>
      </x:c>
      <x:c r="W1407" t="n">
        <x:v>0</x:v>
      </x:c>
      <x:c r="X1407" t="str">
        <x:v>VALUE: [[6d4]] PO 6 PO</x:v>
      </x:c>
    </x:row>
    <x:row r="1408">
      <x:c r="P1408" t="str">
        <x:v>16|Aberration|Peu commune</x:v>
      </x:c>
      <x:c r="Q1408" t="n">
        <x:v>315000</x:v>
      </x:c>
      <x:c r="R1408" t="str">
        <x:v>4d10</x:v>
      </x:c>
      <x:c r="S1408" t="str">
        <x:v>PO</x:v>
      </x:c>
      <x:c r="T1408" t="n">
        <x:v>0</x:v>
      </x:c>
      <x:c r="U1408" t="n">
        <x:v>9</x:v>
      </x:c>
      <x:c r="V1408" t="n">
        <x:v>50</x:v>
      </x:c>
      <x:c r="W1408" t="n">
        <x:v>0</x:v>
      </x:c>
      <x:c r="X1408" t="str">
        <x:v>VALUE: [[4d10]] PO 9 PO 50 PA</x:v>
      </x:c>
    </x:row>
    <x:row r="1409">
      <x:c r="P1409" t="str">
        <x:v>16|Aberration|Rare</x:v>
      </x:c>
      <x:c r="Q1409" t="n">
        <x:v>525000</x:v>
      </x:c>
      <x:c r="R1409" t="str">
        <x:v>8d8</x:v>
      </x:c>
      <x:c r="S1409" t="str">
        <x:v>PO</x:v>
      </x:c>
      <x:c r="T1409" t="n">
        <x:v>0</x:v>
      </x:c>
      <x:c r="U1409" t="n">
        <x:v>16</x:v>
      </x:c>
      <x:c r="V1409" t="n">
        <x:v>50</x:v>
      </x:c>
      <x:c r="W1409" t="n">
        <x:v>0</x:v>
      </x:c>
      <x:c r="X1409" t="str">
        <x:v>VALUE: [[8d8]] PO 16 PO 50 PA</x:v>
      </x:c>
    </x:row>
    <x:row r="1410">
      <x:c r="P1410" t="str">
        <x:v>16|Aberration|Précieuse</x:v>
      </x:c>
      <x:c r="Q1410" t="n">
        <x:v>840000</x:v>
      </x:c>
      <x:c r="R1410" t="str">
        <x:v>9d12</x:v>
      </x:c>
      <x:c r="S1410" t="str">
        <x:v>PO</x:v>
      </x:c>
      <x:c r="T1410" t="n">
        <x:v>0</x:v>
      </x:c>
      <x:c r="U1410" t="n">
        <x:v>25</x:v>
      </x:c>
      <x:c r="V1410" t="n">
        <x:v>50</x:v>
      </x:c>
      <x:c r="W1410" t="n">
        <x:v>0</x:v>
      </x:c>
      <x:c r="X1410" t="str">
        <x:v>VALUE: [[9d12]] PO 25 PO 50 PA</x:v>
      </x:c>
    </x:row>
    <x:row r="1411">
      <x:c r="P1411" t="str">
        <x:v>16|Aberration|Exceptionnelle</x:v>
      </x:c>
      <x:c r="Q1411" t="n">
        <x:v>1470000</x:v>
      </x:c>
      <x:c r="R1411" t="str">
        <x:v>10d20</x:v>
      </x:c>
      <x:c r="S1411" t="str">
        <x:v>PO</x:v>
      </x:c>
      <x:c r="T1411" t="n">
        <x:v>0</x:v>
      </x:c>
      <x:c r="U1411" t="n">
        <x:v>42</x:v>
      </x:c>
      <x:c r="V1411" t="n">
        <x:v>0</x:v>
      </x:c>
      <x:c r="W1411" t="n">
        <x:v>0</x:v>
      </x:c>
      <x:c r="X1411" t="str">
        <x:v>VALUE: [[10d20]] PO 42 PO</x:v>
      </x:c>
    </x:row>
    <x:row r="1412">
      <x:c r="P1412" t="str">
        <x:v>16|Fée|Commune</x:v>
      </x:c>
      <x:c r="Q1412" t="n">
        <x:v>252000</x:v>
      </x:c>
      <x:c r="R1412" t="str">
        <x:v>5d6</x:v>
      </x:c>
      <x:c r="S1412" t="str">
        <x:v>PO</x:v>
      </x:c>
      <x:c r="T1412" t="n">
        <x:v>0</x:v>
      </x:c>
      <x:c r="U1412" t="n">
        <x:v>7</x:v>
      </x:c>
      <x:c r="V1412" t="n">
        <x:v>70</x:v>
      </x:c>
      <x:c r="W1412" t="n">
        <x:v>0</x:v>
      </x:c>
      <x:c r="X1412" t="str">
        <x:v>VALUE: [[5d6]] PO 7 PO 70 PA</x:v>
      </x:c>
    </x:row>
    <x:row r="1413">
      <x:c r="P1413" t="str">
        <x:v>16|Fée|Peu commune</x:v>
      </x:c>
      <x:c r="Q1413" t="n">
        <x:v>378000</x:v>
      </x:c>
      <x:c r="R1413" t="str">
        <x:v>4d12</x:v>
      </x:c>
      <x:c r="S1413" t="str">
        <x:v>PO</x:v>
      </x:c>
      <x:c r="T1413" t="n">
        <x:v>0</x:v>
      </x:c>
      <x:c r="U1413" t="n">
        <x:v>11</x:v>
      </x:c>
      <x:c r="V1413" t="n">
        <x:v>80</x:v>
      </x:c>
      <x:c r="W1413" t="n">
        <x:v>0</x:v>
      </x:c>
      <x:c r="X1413" t="str">
        <x:v>VALUE: [[4d12]] PO 11 PO 80 PA</x:v>
      </x:c>
    </x:row>
    <x:row r="1414">
      <x:c r="P1414" t="str">
        <x:v>16|Fée|Rare</x:v>
      </x:c>
      <x:c r="Q1414" t="n">
        <x:v>630000</x:v>
      </x:c>
      <x:c r="R1414" t="str">
        <x:v>8d10</x:v>
      </x:c>
      <x:c r="S1414" t="str">
        <x:v>PO</x:v>
      </x:c>
      <x:c r="T1414" t="n">
        <x:v>0</x:v>
      </x:c>
      <x:c r="U1414" t="n">
        <x:v>19</x:v>
      </x:c>
      <x:c r="V1414" t="n">
        <x:v>0</x:v>
      </x:c>
      <x:c r="W1414" t="n">
        <x:v>0</x:v>
      </x:c>
      <x:c r="X1414" t="str">
        <x:v>VALUE: [[8d10]] PO 19 PO</x:v>
      </x:c>
    </x:row>
    <x:row r="1415">
      <x:c r="P1415" t="str">
        <x:v>16|Fée|Précieuse</x:v>
      </x:c>
      <x:c r="Q1415" t="n">
        <x:v>1008000</x:v>
      </x:c>
      <x:c r="R1415" t="str">
        <x:v>7d20</x:v>
      </x:c>
      <x:c r="S1415" t="str">
        <x:v>PO</x:v>
      </x:c>
      <x:c r="T1415" t="n">
        <x:v>0</x:v>
      </x:c>
      <x:c r="U1415" t="n">
        <x:v>27</x:v>
      </x:c>
      <x:c r="V1415" t="n">
        <x:v>30</x:v>
      </x:c>
      <x:c r="W1415" t="n">
        <x:v>0</x:v>
      </x:c>
      <x:c r="X1415" t="str">
        <x:v>VALUE: [[7d20]] PO 27 PO 30 PA</x:v>
      </x:c>
    </x:row>
    <x:row r="1416">
      <x:c r="P1416" t="str">
        <x:v>16|Fée|Exceptionnelle</x:v>
      </x:c>
      <x:c r="Q1416" t="n">
        <x:v>1764000</x:v>
      </x:c>
      <x:c r="R1416" t="str">
        <x:v>10d20</x:v>
      </x:c>
      <x:c r="S1416" t="str">
        <x:v>PO</x:v>
      </x:c>
      <x:c r="T1416" t="n">
        <x:v>0</x:v>
      </x:c>
      <x:c r="U1416" t="n">
        <x:v>71</x:v>
      </x:c>
      <x:c r="V1416" t="n">
        <x:v>40</x:v>
      </x:c>
      <x:c r="W1416" t="n">
        <x:v>0</x:v>
      </x:c>
      <x:c r="X1416" t="str">
        <x:v>VALUE: [[10d20]] PO 71 PO 40 PA</x:v>
      </x:c>
    </x:row>
    <x:row r="1417">
      <x:c r="P1417" t="str">
        <x:v>16|Démon|Commune</x:v>
      </x:c>
      <x:c r="Q1417" t="n">
        <x:v>280000</x:v>
      </x:c>
      <x:c r="R1417" t="str">
        <x:v>3d12</x:v>
      </x:c>
      <x:c r="S1417" t="str">
        <x:v>PO</x:v>
      </x:c>
      <x:c r="T1417" t="n">
        <x:v>0</x:v>
      </x:c>
      <x:c r="U1417" t="n">
        <x:v>8</x:v>
      </x:c>
      <x:c r="V1417" t="n">
        <x:v>50</x:v>
      </x:c>
      <x:c r="W1417" t="n">
        <x:v>0</x:v>
      </x:c>
      <x:c r="X1417" t="str">
        <x:v>VALUE: [[3d12]] PO 8 PO 50 PA</x:v>
      </x:c>
    </x:row>
    <x:row r="1418">
      <x:c r="P1418" t="str">
        <x:v>16|Démon|Peu commune</x:v>
      </x:c>
      <x:c r="Q1418" t="n">
        <x:v>420000</x:v>
      </x:c>
      <x:c r="R1418" t="str">
        <x:v>8d6</x:v>
      </x:c>
      <x:c r="S1418" t="str">
        <x:v>PO</x:v>
      </x:c>
      <x:c r="T1418" t="n">
        <x:v>0</x:v>
      </x:c>
      <x:c r="U1418" t="n">
        <x:v>14</x:v>
      </x:c>
      <x:c r="V1418" t="n">
        <x:v>0</x:v>
      </x:c>
      <x:c r="W1418" t="n">
        <x:v>0</x:v>
      </x:c>
      <x:c r="X1418" t="str">
        <x:v>VALUE: [[8d6]] PO 14 PO</x:v>
      </x:c>
    </x:row>
    <x:row r="1419">
      <x:c r="P1419" t="str">
        <x:v>16|Démon|Rare</x:v>
      </x:c>
      <x:c r="Q1419" t="n">
        <x:v>700000</x:v>
      </x:c>
      <x:c r="R1419" t="str">
        <x:v>9d10</x:v>
      </x:c>
      <x:c r="S1419" t="str">
        <x:v>PO</x:v>
      </x:c>
      <x:c r="T1419" t="n">
        <x:v>0</x:v>
      </x:c>
      <x:c r="U1419" t="n">
        <x:v>20</x:v>
      </x:c>
      <x:c r="V1419" t="n">
        <x:v>50</x:v>
      </x:c>
      <x:c r="W1419" t="n">
        <x:v>0</x:v>
      </x:c>
      <x:c r="X1419" t="str">
        <x:v>VALUE: [[9d10]] PO 20 PO 50 PA</x:v>
      </x:c>
    </x:row>
    <x:row r="1420">
      <x:c r="P1420" t="str">
        <x:v>16|Démon|Précieuse</x:v>
      </x:c>
      <x:c r="Q1420" t="n">
        <x:v>1120000</x:v>
      </x:c>
      <x:c r="R1420" t="str">
        <x:v>7d20</x:v>
      </x:c>
      <x:c r="S1420" t="str">
        <x:v>PO</x:v>
      </x:c>
      <x:c r="T1420" t="n">
        <x:v>0</x:v>
      </x:c>
      <x:c r="U1420" t="n">
        <x:v>38</x:v>
      </x:c>
      <x:c r="V1420" t="n">
        <x:v>50</x:v>
      </x:c>
      <x:c r="W1420" t="n">
        <x:v>0</x:v>
      </x:c>
      <x:c r="X1420" t="str">
        <x:v>VALUE: [[7d20]] PO 38 PO 50 PA</x:v>
      </x:c>
    </x:row>
    <x:row r="1421">
      <x:c r="P1421" t="str">
        <x:v>16|Démon|Exceptionnelle</x:v>
      </x:c>
      <x:c r="Q1421" t="n">
        <x:v>1960000</x:v>
      </x:c>
      <x:c r="R1421" t="str">
        <x:v>10d20</x:v>
      </x:c>
      <x:c r="S1421" t="str">
        <x:v>PO</x:v>
      </x:c>
      <x:c r="T1421" t="n">
        <x:v>0</x:v>
      </x:c>
      <x:c r="U1421" t="n">
        <x:v>91</x:v>
      </x:c>
      <x:c r="V1421" t="n">
        <x:v>0</x:v>
      </x:c>
      <x:c r="W1421" t="n">
        <x:v>0</x:v>
      </x:c>
      <x:c r="X1421" t="str">
        <x:v>VALUE: [[10d20]] PO 91 PO</x:v>
      </x:c>
    </x:row>
    <x:row r="1422">
      <x:c r="P1422" t="str">
        <x:v>16|Artificiel|Commune</x:v>
      </x:c>
      <x:c r="Q1422" t="n">
        <x:v>280000</x:v>
      </x:c>
      <x:c r="R1422" t="str">
        <x:v>3d12</x:v>
      </x:c>
      <x:c r="S1422" t="str">
        <x:v>PO</x:v>
      </x:c>
      <x:c r="T1422" t="n">
        <x:v>0</x:v>
      </x:c>
      <x:c r="U1422" t="n">
        <x:v>8</x:v>
      </x:c>
      <x:c r="V1422" t="n">
        <x:v>50</x:v>
      </x:c>
      <x:c r="W1422" t="n">
        <x:v>0</x:v>
      </x:c>
      <x:c r="X1422" t="str">
        <x:v>VALUE: [[3d12]] PO 8 PO 50 PA</x:v>
      </x:c>
    </x:row>
    <x:row r="1423">
      <x:c r="P1423" t="str">
        <x:v>16|Artificiel|Peu commune</x:v>
      </x:c>
      <x:c r="Q1423" t="n">
        <x:v>420000</x:v>
      </x:c>
      <x:c r="R1423" t="str">
        <x:v>8d6</x:v>
      </x:c>
      <x:c r="S1423" t="str">
        <x:v>PO</x:v>
      </x:c>
      <x:c r="T1423" t="n">
        <x:v>0</x:v>
      </x:c>
      <x:c r="U1423" t="n">
        <x:v>14</x:v>
      </x:c>
      <x:c r="V1423" t="n">
        <x:v>0</x:v>
      </x:c>
      <x:c r="W1423" t="n">
        <x:v>0</x:v>
      </x:c>
      <x:c r="X1423" t="str">
        <x:v>VALUE: [[8d6]] PO 14 PO</x:v>
      </x:c>
    </x:row>
    <x:row r="1424">
      <x:c r="P1424" t="str">
        <x:v>16|Artificiel|Rare</x:v>
      </x:c>
      <x:c r="Q1424" t="n">
        <x:v>700000</x:v>
      </x:c>
      <x:c r="R1424" t="str">
        <x:v>9d10</x:v>
      </x:c>
      <x:c r="S1424" t="str">
        <x:v>PO</x:v>
      </x:c>
      <x:c r="T1424" t="n">
        <x:v>0</x:v>
      </x:c>
      <x:c r="U1424" t="n">
        <x:v>20</x:v>
      </x:c>
      <x:c r="V1424" t="n">
        <x:v>50</x:v>
      </x:c>
      <x:c r="W1424" t="n">
        <x:v>0</x:v>
      </x:c>
      <x:c r="X1424" t="str">
        <x:v>VALUE: [[9d10]] PO 20 PO 50 PA</x:v>
      </x:c>
    </x:row>
    <x:row r="1425">
      <x:c r="P1425" t="str">
        <x:v>16|Artificiel|Précieuse</x:v>
      </x:c>
      <x:c r="Q1425" t="n">
        <x:v>1120000</x:v>
      </x:c>
      <x:c r="R1425" t="str">
        <x:v>7d20</x:v>
      </x:c>
      <x:c r="S1425" t="str">
        <x:v>PO</x:v>
      </x:c>
      <x:c r="T1425" t="n">
        <x:v>0</x:v>
      </x:c>
      <x:c r="U1425" t="n">
        <x:v>38</x:v>
      </x:c>
      <x:c r="V1425" t="n">
        <x:v>50</x:v>
      </x:c>
      <x:c r="W1425" t="n">
        <x:v>0</x:v>
      </x:c>
      <x:c r="X1425" t="str">
        <x:v>VALUE: [[7d20]] PO 38 PO 50 PA</x:v>
      </x:c>
    </x:row>
    <x:row r="1426">
      <x:c r="P1426" t="str">
        <x:v>16|Artificiel|Exceptionnelle</x:v>
      </x:c>
      <x:c r="Q1426" t="n">
        <x:v>1960000</x:v>
      </x:c>
      <x:c r="R1426" t="str">
        <x:v>10d20</x:v>
      </x:c>
      <x:c r="S1426" t="str">
        <x:v>PO</x:v>
      </x:c>
      <x:c r="T1426" t="n">
        <x:v>0</x:v>
      </x:c>
      <x:c r="U1426" t="n">
        <x:v>91</x:v>
      </x:c>
      <x:c r="V1426" t="n">
        <x:v>0</x:v>
      </x:c>
      <x:c r="W1426" t="n">
        <x:v>0</x:v>
      </x:c>
      <x:c r="X1426" t="str">
        <x:v>VALUE: [[10d20]] PO 91 PO</x:v>
      </x:c>
    </x:row>
    <x:row r="1427">
      <x:c r="P1427" t="str">
        <x:v>16|Élémentaire|Commune</x:v>
      </x:c>
      <x:c r="Q1427" t="n">
        <x:v>350000</x:v>
      </x:c>
      <x:c r="R1427" t="str">
        <x:v>7d6</x:v>
      </x:c>
      <x:c r="S1427" t="str">
        <x:v>PO</x:v>
      </x:c>
      <x:c r="T1427" t="n">
        <x:v>0</x:v>
      </x:c>
      <x:c r="U1427" t="n">
        <x:v>10</x:v>
      </x:c>
      <x:c r="V1427" t="n">
        <x:v>50</x:v>
      </x:c>
      <x:c r="W1427" t="n">
        <x:v>0</x:v>
      </x:c>
      <x:c r="X1427" t="str">
        <x:v>VALUE: [[7d6]] PO 10 PO 50 PA</x:v>
      </x:c>
    </x:row>
    <x:row r="1428">
      <x:c r="P1428" t="str">
        <x:v>16|Élémentaire|Peu commune</x:v>
      </x:c>
      <x:c r="Q1428" t="n">
        <x:v>525000</x:v>
      </x:c>
      <x:c r="R1428" t="str">
        <x:v>8d8</x:v>
      </x:c>
      <x:c r="S1428" t="str">
        <x:v>PO</x:v>
      </x:c>
      <x:c r="T1428" t="n">
        <x:v>0</x:v>
      </x:c>
      <x:c r="U1428" t="n">
        <x:v>16</x:v>
      </x:c>
      <x:c r="V1428" t="n">
        <x:v>50</x:v>
      </x:c>
      <x:c r="W1428" t="n">
        <x:v>0</x:v>
      </x:c>
      <x:c r="X1428" t="str">
        <x:v>VALUE: [[8d8]] PO 16 PO 50 PA</x:v>
      </x:c>
    </x:row>
    <x:row r="1429">
      <x:c r="P1429" t="str">
        <x:v>16|Élémentaire|Rare</x:v>
      </x:c>
      <x:c r="Q1429" t="n">
        <x:v>875000</x:v>
      </x:c>
      <x:c r="R1429" t="str">
        <x:v>6d20</x:v>
      </x:c>
      <x:c r="S1429" t="str">
        <x:v>PO</x:v>
      </x:c>
      <x:c r="T1429" t="n">
        <x:v>0</x:v>
      </x:c>
      <x:c r="U1429" t="n">
        <x:v>24</x:v>
      </x:c>
      <x:c r="V1429" t="n">
        <x:v>50</x:v>
      </x:c>
      <x:c r="W1429" t="n">
        <x:v>0</x:v>
      </x:c>
      <x:c r="X1429" t="str">
        <x:v>VALUE: [[6d20]] PO 24 PO 50 PA</x:v>
      </x:c>
    </x:row>
    <x:row r="1430">
      <x:c r="P1430" t="str">
        <x:v>16|Élémentaire|Précieuse</x:v>
      </x:c>
      <x:c r="Q1430" t="n">
        <x:v>1400000</x:v>
      </x:c>
      <x:c r="R1430" t="str">
        <x:v>9d20</x:v>
      </x:c>
      <x:c r="S1430" t="str">
        <x:v>PO</x:v>
      </x:c>
      <x:c r="T1430" t="n">
        <x:v>0</x:v>
      </x:c>
      <x:c r="U1430" t="n">
        <x:v>45</x:v>
      </x:c>
      <x:c r="V1430" t="n">
        <x:v>50</x:v>
      </x:c>
      <x:c r="W1430" t="n">
        <x:v>0</x:v>
      </x:c>
      <x:c r="X1430" t="str">
        <x:v>VALUE: [[9d20]] PO 45 PO 50 PA</x:v>
      </x:c>
    </x:row>
    <x:row r="1431">
      <x:c r="P1431" t="str">
        <x:v>16|Élémentaire|Exceptionnelle</x:v>
      </x:c>
      <x:c r="Q1431" t="n">
        <x:v>2450000</x:v>
      </x:c>
      <x:c r="R1431" t="str">
        <x:v>10d20</x:v>
      </x:c>
      <x:c r="S1431" t="str">
        <x:v>PO</x:v>
      </x:c>
      <x:c r="T1431" t="n">
        <x:v>1</x:v>
      </x:c>
      <x:c r="U1431" t="n">
        <x:v>40</x:v>
      </x:c>
      <x:c r="V1431" t="n">
        <x:v>0</x:v>
      </x:c>
      <x:c r="W1431" t="n">
        <x:v>0</x:v>
      </x:c>
      <x:c r="X1431" t="str">
        <x:v>VALUE: [[10d20]] PO 1 PP 40 PO</x:v>
      </x:c>
    </x:row>
    <x:row r="1432">
      <x:c r="P1432" t="str">
        <x:v>16|Esprit|Commune</x:v>
      </x:c>
      <x:c r="Q1432" t="n">
        <x:v>350000</x:v>
      </x:c>
      <x:c r="R1432" t="str">
        <x:v>7d6</x:v>
      </x:c>
      <x:c r="S1432" t="str">
        <x:v>PO</x:v>
      </x:c>
      <x:c r="T1432" t="n">
        <x:v>0</x:v>
      </x:c>
      <x:c r="U1432" t="n">
        <x:v>10</x:v>
      </x:c>
      <x:c r="V1432" t="n">
        <x:v>50</x:v>
      </x:c>
      <x:c r="W1432" t="n">
        <x:v>0</x:v>
      </x:c>
      <x:c r="X1432" t="str">
        <x:v>VALUE: [[7d6]] PO 10 PO 50 PA</x:v>
      </x:c>
    </x:row>
    <x:row r="1433">
      <x:c r="P1433" t="str">
        <x:v>16|Esprit|Peu commune</x:v>
      </x:c>
      <x:c r="Q1433" t="n">
        <x:v>525000</x:v>
      </x:c>
      <x:c r="R1433" t="str">
        <x:v>8d8</x:v>
      </x:c>
      <x:c r="S1433" t="str">
        <x:v>PO</x:v>
      </x:c>
      <x:c r="T1433" t="n">
        <x:v>0</x:v>
      </x:c>
      <x:c r="U1433" t="n">
        <x:v>16</x:v>
      </x:c>
      <x:c r="V1433" t="n">
        <x:v>50</x:v>
      </x:c>
      <x:c r="W1433" t="n">
        <x:v>0</x:v>
      </x:c>
      <x:c r="X1433" t="str">
        <x:v>VALUE: [[8d8]] PO 16 PO 50 PA</x:v>
      </x:c>
    </x:row>
    <x:row r="1434">
      <x:c r="P1434" t="str">
        <x:v>16|Esprit|Rare</x:v>
      </x:c>
      <x:c r="Q1434" t="n">
        <x:v>875000</x:v>
      </x:c>
      <x:c r="R1434" t="str">
        <x:v>6d20</x:v>
      </x:c>
      <x:c r="S1434" t="str">
        <x:v>PO</x:v>
      </x:c>
      <x:c r="T1434" t="n">
        <x:v>0</x:v>
      </x:c>
      <x:c r="U1434" t="n">
        <x:v>24</x:v>
      </x:c>
      <x:c r="V1434" t="n">
        <x:v>50</x:v>
      </x:c>
      <x:c r="W1434" t="n">
        <x:v>0</x:v>
      </x:c>
      <x:c r="X1434" t="str">
        <x:v>VALUE: [[6d20]] PO 24 PO 50 PA</x:v>
      </x:c>
    </x:row>
    <x:row r="1435">
      <x:c r="P1435" t="str">
        <x:v>16|Esprit|Précieuse</x:v>
      </x:c>
      <x:c r="Q1435" t="n">
        <x:v>1400000</x:v>
      </x:c>
      <x:c r="R1435" t="str">
        <x:v>9d20</x:v>
      </x:c>
      <x:c r="S1435" t="str">
        <x:v>PO</x:v>
      </x:c>
      <x:c r="T1435" t="n">
        <x:v>0</x:v>
      </x:c>
      <x:c r="U1435" t="n">
        <x:v>45</x:v>
      </x:c>
      <x:c r="V1435" t="n">
        <x:v>50</x:v>
      </x:c>
      <x:c r="W1435" t="n">
        <x:v>0</x:v>
      </x:c>
      <x:c r="X1435" t="str">
        <x:v>VALUE: [[9d20]] PO 45 PO 50 PA</x:v>
      </x:c>
    </x:row>
    <x:row r="1436">
      <x:c r="P1436" t="str">
        <x:v>16|Esprit|Exceptionnelle</x:v>
      </x:c>
      <x:c r="Q1436" t="n">
        <x:v>2450000</x:v>
      </x:c>
      <x:c r="R1436" t="str">
        <x:v>10d20</x:v>
      </x:c>
      <x:c r="S1436" t="str">
        <x:v>PO</x:v>
      </x:c>
      <x:c r="T1436" t="n">
        <x:v>1</x:v>
      </x:c>
      <x:c r="U1436" t="n">
        <x:v>40</x:v>
      </x:c>
      <x:c r="V1436" t="n">
        <x:v>0</x:v>
      </x:c>
      <x:c r="W1436" t="n">
        <x:v>0</x:v>
      </x:c>
      <x:c r="X1436" t="str">
        <x:v>VALUE: [[10d20]] PO 1 PP 40 PO</x:v>
      </x:c>
    </x:row>
    <x:row r="1437">
      <x:c r="P1437" t="str">
        <x:v>16|Céleste|Commune</x:v>
      </x:c>
      <x:c r="Q1437" t="n">
        <x:v>420000</x:v>
      </x:c>
      <x:c r="R1437" t="str">
        <x:v>8d6</x:v>
      </x:c>
      <x:c r="S1437" t="str">
        <x:v>PO</x:v>
      </x:c>
      <x:c r="T1437" t="n">
        <x:v>0</x:v>
      </x:c>
      <x:c r="U1437" t="n">
        <x:v>14</x:v>
      </x:c>
      <x:c r="V1437" t="n">
        <x:v>0</x:v>
      </x:c>
      <x:c r="W1437" t="n">
        <x:v>0</x:v>
      </x:c>
      <x:c r="X1437" t="str">
        <x:v>VALUE: [[8d6]] PO 14 PO</x:v>
      </x:c>
    </x:row>
    <x:row r="1438">
      <x:c r="P1438" t="str">
        <x:v>16|Céleste|Peu commune</x:v>
      </x:c>
      <x:c r="Q1438" t="n">
        <x:v>630000</x:v>
      </x:c>
      <x:c r="R1438" t="str">
        <x:v>8d10</x:v>
      </x:c>
      <x:c r="S1438" t="str">
        <x:v>PO</x:v>
      </x:c>
      <x:c r="T1438" t="n">
        <x:v>0</x:v>
      </x:c>
      <x:c r="U1438" t="n">
        <x:v>19</x:v>
      </x:c>
      <x:c r="V1438" t="n">
        <x:v>0</x:v>
      </x:c>
      <x:c r="W1438" t="n">
        <x:v>0</x:v>
      </x:c>
      <x:c r="X1438" t="str">
        <x:v>VALUE: [[8d10]] PO 19 PO</x:v>
      </x:c>
    </x:row>
    <x:row r="1439">
      <x:c r="P1439" t="str">
        <x:v>16|Céleste|Rare</x:v>
      </x:c>
      <x:c r="Q1439" t="n">
        <x:v>1050000</x:v>
      </x:c>
      <x:c r="R1439" t="str">
        <x:v>7d20</x:v>
      </x:c>
      <x:c r="S1439" t="str">
        <x:v>PO</x:v>
      </x:c>
      <x:c r="T1439" t="n">
        <x:v>0</x:v>
      </x:c>
      <x:c r="U1439" t="n">
        <x:v>31</x:v>
      </x:c>
      <x:c r="V1439" t="n">
        <x:v>50</x:v>
      </x:c>
      <x:c r="W1439" t="n">
        <x:v>0</x:v>
      </x:c>
      <x:c r="X1439" t="str">
        <x:v>VALUE: [[7d20]] PO 31 PO 50 PA</x:v>
      </x:c>
    </x:row>
    <x:row r="1440">
      <x:c r="P1440" t="str">
        <x:v>16|Céleste|Précieuse</x:v>
      </x:c>
      <x:c r="Q1440" t="n">
        <x:v>1680000</x:v>
      </x:c>
      <x:c r="R1440" t="str">
        <x:v>10d20</x:v>
      </x:c>
      <x:c r="S1440" t="str">
        <x:v>PO</x:v>
      </x:c>
      <x:c r="T1440" t="n">
        <x:v>0</x:v>
      </x:c>
      <x:c r="U1440" t="n">
        <x:v>63</x:v>
      </x:c>
      <x:c r="V1440" t="n">
        <x:v>0</x:v>
      </x:c>
      <x:c r="W1440" t="n">
        <x:v>0</x:v>
      </x:c>
      <x:c r="X1440" t="str">
        <x:v>VALUE: [[10d20]] PO 63 PO</x:v>
      </x:c>
    </x:row>
    <x:row r="1441">
      <x:c r="P1441" t="str">
        <x:v>16|Céleste|Exceptionnelle</x:v>
      </x:c>
      <x:c r="Q1441" t="n">
        <x:v>2940000</x:v>
      </x:c>
      <x:c r="R1441" t="str">
        <x:v>1d4</x:v>
      </x:c>
      <x:c r="S1441" t="str">
        <x:v>PP</x:v>
      </x:c>
      <x:c r="T1441" t="n">
        <x:v>0</x:v>
      </x:c>
      <x:c r="U1441" t="n">
        <x:v>44</x:v>
      </x:c>
      <x:c r="V1441" t="n">
        <x:v>0</x:v>
      </x:c>
      <x:c r="W1441" t="n">
        <x:v>0</x:v>
      </x:c>
      <x:c r="X1441" t="str">
        <x:v>VALUE: [[1d4]] PP 44 PO</x:v>
      </x:c>
    </x:row>
    <x:row r="1442">
      <x:c r="P1442" t="str">
        <x:v>16|Dragon|Commune</x:v>
      </x:c>
      <x:c r="Q1442" t="n">
        <x:v>700000</x:v>
      </x:c>
      <x:c r="R1442" t="str">
        <x:v>9d10</x:v>
      </x:c>
      <x:c r="S1442" t="str">
        <x:v>PO</x:v>
      </x:c>
      <x:c r="T1442" t="n">
        <x:v>0</x:v>
      </x:c>
      <x:c r="U1442" t="n">
        <x:v>20</x:v>
      </x:c>
      <x:c r="V1442" t="n">
        <x:v>50</x:v>
      </x:c>
      <x:c r="W1442" t="n">
        <x:v>0</x:v>
      </x:c>
      <x:c r="X1442" t="str">
        <x:v>VALUE: [[9d10]] PO 20 PO 50 PA</x:v>
      </x:c>
    </x:row>
    <x:row r="1443">
      <x:c r="P1443" t="str">
        <x:v>16|Dragon|Peu commune</x:v>
      </x:c>
      <x:c r="Q1443" t="n">
        <x:v>1050000</x:v>
      </x:c>
      <x:c r="R1443" t="str">
        <x:v>7d20</x:v>
      </x:c>
      <x:c r="S1443" t="str">
        <x:v>PO</x:v>
      </x:c>
      <x:c r="T1443" t="n">
        <x:v>0</x:v>
      </x:c>
      <x:c r="U1443" t="n">
        <x:v>31</x:v>
      </x:c>
      <x:c r="V1443" t="n">
        <x:v>50</x:v>
      </x:c>
      <x:c r="W1443" t="n">
        <x:v>0</x:v>
      </x:c>
      <x:c r="X1443" t="str">
        <x:v>VALUE: [[7d20]] PO 31 PO 50 PA</x:v>
      </x:c>
    </x:row>
    <x:row r="1444">
      <x:c r="P1444" t="str">
        <x:v>16|Dragon|Rare</x:v>
      </x:c>
      <x:c r="Q1444" t="n">
        <x:v>1750000</x:v>
      </x:c>
      <x:c r="R1444" t="str">
        <x:v>10d20</x:v>
      </x:c>
      <x:c r="S1444" t="str">
        <x:v>PO</x:v>
      </x:c>
      <x:c r="T1444" t="n">
        <x:v>0</x:v>
      </x:c>
      <x:c r="U1444" t="n">
        <x:v>70</x:v>
      </x:c>
      <x:c r="V1444" t="n">
        <x:v>0</x:v>
      </x:c>
      <x:c r="W1444" t="n">
        <x:v>0</x:v>
      </x:c>
      <x:c r="X1444" t="str">
        <x:v>VALUE: [[10d20]] PO 70 PO</x:v>
      </x:c>
    </x:row>
    <x:row r="1445">
      <x:c r="P1445" t="str">
        <x:v>16|Dragon|Précieuse</x:v>
      </x:c>
      <x:c r="Q1445" t="n">
        <x:v>2800000</x:v>
      </x:c>
      <x:c r="R1445" t="str">
        <x:v>1d4</x:v>
      </x:c>
      <x:c r="S1445" t="str">
        <x:v>PP</x:v>
      </x:c>
      <x:c r="T1445" t="n">
        <x:v>0</x:v>
      </x:c>
      <x:c r="U1445" t="n">
        <x:v>30</x:v>
      </x:c>
      <x:c r="V1445" t="n">
        <x:v>0</x:v>
      </x:c>
      <x:c r="W1445" t="n">
        <x:v>0</x:v>
      </x:c>
      <x:c r="X1445" t="str">
        <x:v>VALUE: [[1d4]] PP 30 PO</x:v>
      </x:c>
    </x:row>
    <x:row r="1446">
      <x:c r="P1446" t="str">
        <x:v>16|Dragon|Exceptionnelle</x:v>
      </x:c>
      <x:c r="Q1446" t="n">
        <x:v>4900000</x:v>
      </x:c>
      <x:c r="R1446" t="str">
        <x:v>1d6</x:v>
      </x:c>
      <x:c r="S1446" t="str">
        <x:v>PP</x:v>
      </x:c>
      <x:c r="T1446" t="n">
        <x:v>1</x:v>
      </x:c>
      <x:c r="U1446" t="n">
        <x:v>40</x:v>
      </x:c>
      <x:c r="V1446" t="n">
        <x:v>0</x:v>
      </x:c>
      <x:c r="W1446" t="n">
        <x:v>0</x:v>
      </x:c>
      <x:c r="X1446" t="str">
        <x:v>VALUE: [[1d6]] PP 1 PP 40 PO</x:v>
      </x:c>
    </x:row>
    <x:row r="1447">
      <x:c r="P1447" t="str">
        <x:v>17|Vermine|Commune</x:v>
      </x:c>
      <x:c r="Q1447" t="n">
        <x:v>87500</x:v>
      </x:c>
      <x:c r="R1447" t="str">
        <x:v>1d12</x:v>
      </x:c>
      <x:c r="S1447" t="str">
        <x:v>PO</x:v>
      </x:c>
      <x:c r="T1447" t="n">
        <x:v>0</x:v>
      </x:c>
      <x:c r="U1447" t="n">
        <x:v>2</x:v>
      </x:c>
      <x:c r="V1447" t="n">
        <x:v>25</x:v>
      </x:c>
      <x:c r="W1447" t="n">
        <x:v>0</x:v>
      </x:c>
      <x:c r="X1447" t="str">
        <x:v>VALUE: [[1d12]] PO 2 PO 25 PA</x:v>
      </x:c>
    </x:row>
    <x:row r="1448">
      <x:c r="P1448" t="str">
        <x:v>17|Vermine|Peu commune</x:v>
      </x:c>
      <x:c r="Q1448" t="n">
        <x:v>131250</x:v>
      </x:c>
      <x:c r="R1448" t="str">
        <x:v>2d8</x:v>
      </x:c>
      <x:c r="S1448" t="str">
        <x:v>PO</x:v>
      </x:c>
      <x:c r="T1448" t="n">
        <x:v>0</x:v>
      </x:c>
      <x:c r="U1448" t="n">
        <x:v>4</x:v>
      </x:c>
      <x:c r="V1448" t="n">
        <x:v>12</x:v>
      </x:c>
      <x:c r="W1448" t="n">
        <x:v>50</x:v>
      </x:c>
      <x:c r="X1448" t="str">
        <x:v>VALUE: [[2d8]] PO 4 PO 12 PA 50 PC</x:v>
      </x:c>
    </x:row>
    <x:row r="1449">
      <x:c r="P1449" t="str">
        <x:v>17|Vermine|Rare</x:v>
      </x:c>
      <x:c r="Q1449" t="n">
        <x:v>218750</x:v>
      </x:c>
      <x:c r="R1449" t="str">
        <x:v>6d4</x:v>
      </x:c>
      <x:c r="S1449" t="str">
        <x:v>PO</x:v>
      </x:c>
      <x:c r="T1449" t="n">
        <x:v>0</x:v>
      </x:c>
      <x:c r="U1449" t="n">
        <x:v>6</x:v>
      </x:c>
      <x:c r="V1449" t="n">
        <x:v>87</x:v>
      </x:c>
      <x:c r="W1449" t="n">
        <x:v>50</x:v>
      </x:c>
      <x:c r="X1449" t="str">
        <x:v>VALUE: [[6d4]] PO 6 PO 87 PA 50 PC</x:v>
      </x:c>
    </x:row>
    <x:row r="1450">
      <x:c r="P1450" t="str">
        <x:v>17|Vermine|Précieuse</x:v>
      </x:c>
      <x:c r="Q1450" t="n">
        <x:v>350000</x:v>
      </x:c>
      <x:c r="R1450" t="str">
        <x:v>7d6</x:v>
      </x:c>
      <x:c r="S1450" t="str">
        <x:v>PO</x:v>
      </x:c>
      <x:c r="T1450" t="n">
        <x:v>0</x:v>
      </x:c>
      <x:c r="U1450" t="n">
        <x:v>10</x:v>
      </x:c>
      <x:c r="V1450" t="n">
        <x:v>50</x:v>
      </x:c>
      <x:c r="W1450" t="n">
        <x:v>0</x:v>
      </x:c>
      <x:c r="X1450" t="str">
        <x:v>VALUE: [[7d6]] PO 10 PO 50 PA</x:v>
      </x:c>
    </x:row>
    <x:row r="1451">
      <x:c r="P1451" t="str">
        <x:v>17|Vermine|Exceptionnelle</x:v>
      </x:c>
      <x:c r="Q1451" t="n">
        <x:v>612500</x:v>
      </x:c>
      <x:c r="R1451" t="str">
        <x:v>4d20</x:v>
      </x:c>
      <x:c r="S1451" t="str">
        <x:v>PO</x:v>
      </x:c>
      <x:c r="T1451" t="n">
        <x:v>0</x:v>
      </x:c>
      <x:c r="U1451" t="n">
        <x:v>19</x:v>
      </x:c>
      <x:c r="V1451" t="n">
        <x:v>25</x:v>
      </x:c>
      <x:c r="W1451" t="n">
        <x:v>0</x:v>
      </x:c>
      <x:c r="X1451" t="str">
        <x:v>VALUE: [[4d20]] PO 19 PO 25 PA</x:v>
      </x:c>
    </x:row>
    <x:row r="1452">
      <x:c r="P1452" t="str">
        <x:v>17|Bête|Commune</x:v>
      </x:c>
      <x:c r="Q1452" t="n">
        <x:v>150000</x:v>
      </x:c>
      <x:c r="R1452" t="str">
        <x:v>1d20</x:v>
      </x:c>
      <x:c r="S1452" t="str">
        <x:v>PO</x:v>
      </x:c>
      <x:c r="T1452" t="n">
        <x:v>0</x:v>
      </x:c>
      <x:c r="U1452" t="n">
        <x:v>4</x:v>
      </x:c>
      <x:c r="V1452" t="n">
        <x:v>50</x:v>
      </x:c>
      <x:c r="W1452" t="n">
        <x:v>0</x:v>
      </x:c>
      <x:c r="X1452" t="str">
        <x:v>VALUE: [[1d20]] PO 4 PO 50 PA</x:v>
      </x:c>
    </x:row>
    <x:row r="1453">
      <x:c r="P1453" t="str">
        <x:v>17|Bête|Peu commune</x:v>
      </x:c>
      <x:c r="Q1453" t="n">
        <x:v>225000</x:v>
      </x:c>
      <x:c r="R1453" t="str">
        <x:v>3d10</x:v>
      </x:c>
      <x:c r="S1453" t="str">
        <x:v>PO</x:v>
      </x:c>
      <x:c r="T1453" t="n">
        <x:v>0</x:v>
      </x:c>
      <x:c r="U1453" t="n">
        <x:v>6</x:v>
      </x:c>
      <x:c r="V1453" t="n">
        <x:v>0</x:v>
      </x:c>
      <x:c r="W1453" t="n">
        <x:v>0</x:v>
      </x:c>
      <x:c r="X1453" t="str">
        <x:v>VALUE: [[3d10]] PO 6 PO</x:v>
      </x:c>
    </x:row>
    <x:row r="1454">
      <x:c r="P1454" t="str">
        <x:v>17|Bête|Rare</x:v>
      </x:c>
      <x:c r="Q1454" t="n">
        <x:v>375000</x:v>
      </x:c>
      <x:c r="R1454" t="str">
        <x:v>4d12</x:v>
      </x:c>
      <x:c r="S1454" t="str">
        <x:v>PO</x:v>
      </x:c>
      <x:c r="T1454" t="n">
        <x:v>0</x:v>
      </x:c>
      <x:c r="U1454" t="n">
        <x:v>11</x:v>
      </x:c>
      <x:c r="V1454" t="n">
        <x:v>50</x:v>
      </x:c>
      <x:c r="W1454" t="n">
        <x:v>0</x:v>
      </x:c>
      <x:c r="X1454" t="str">
        <x:v>VALUE: [[4d12]] PO 11 PO 50 PA</x:v>
      </x:c>
    </x:row>
    <x:row r="1455">
      <x:c r="P1455" t="str">
        <x:v>17|Bête|Précieuse</x:v>
      </x:c>
      <x:c r="Q1455" t="n">
        <x:v>600000</x:v>
      </x:c>
      <x:c r="R1455" t="str">
        <x:v>4d20</x:v>
      </x:c>
      <x:c r="S1455" t="str">
        <x:v>PO</x:v>
      </x:c>
      <x:c r="T1455" t="n">
        <x:v>0</x:v>
      </x:c>
      <x:c r="U1455" t="n">
        <x:v>18</x:v>
      </x:c>
      <x:c r="V1455" t="n">
        <x:v>0</x:v>
      </x:c>
      <x:c r="W1455" t="n">
        <x:v>0</x:v>
      </x:c>
      <x:c r="X1455" t="str">
        <x:v>VALUE: [[4d20]] PO 18 PO</x:v>
      </x:c>
    </x:row>
    <x:row r="1456">
      <x:c r="P1456" t="str">
        <x:v>17|Bête|Exceptionnelle</x:v>
      </x:c>
      <x:c r="Q1456" t="n">
        <x:v>1050000</x:v>
      </x:c>
      <x:c r="R1456" t="str">
        <x:v>7d20</x:v>
      </x:c>
      <x:c r="S1456" t="str">
        <x:v>PO</x:v>
      </x:c>
      <x:c r="T1456" t="n">
        <x:v>0</x:v>
      </x:c>
      <x:c r="U1456" t="n">
        <x:v>31</x:v>
      </x:c>
      <x:c r="V1456" t="n">
        <x:v>50</x:v>
      </x:c>
      <x:c r="W1456" t="n">
        <x:v>0</x:v>
      </x:c>
      <x:c r="X1456" t="str">
        <x:v>VALUE: [[7d20]] PO 31 PO 50 PA</x:v>
      </x:c>
    </x:row>
    <x:row r="1457">
      <x:c r="P1457" t="str">
        <x:v>17|Aquatique|Commune</x:v>
      </x:c>
      <x:c r="Q1457" t="n">
        <x:v>175000</x:v>
      </x:c>
      <x:c r="R1457" t="str">
        <x:v>5d4</x:v>
      </x:c>
      <x:c r="S1457" t="str">
        <x:v>PO</x:v>
      </x:c>
      <x:c r="T1457" t="n">
        <x:v>0</x:v>
      </x:c>
      <x:c r="U1457" t="n">
        <x:v>5</x:v>
      </x:c>
      <x:c r="V1457" t="n">
        <x:v>0</x:v>
      </x:c>
      <x:c r="W1457" t="n">
        <x:v>0</x:v>
      </x:c>
      <x:c r="X1457" t="str">
        <x:v>VALUE: [[5d4]] PO 5 PO</x:v>
      </x:c>
    </x:row>
    <x:row r="1458">
      <x:c r="P1458" t="str">
        <x:v>17|Aquatique|Peu commune</x:v>
      </x:c>
      <x:c r="Q1458" t="n">
        <x:v>262500</x:v>
      </x:c>
      <x:c r="R1458" t="str">
        <x:v>4d8</x:v>
      </x:c>
      <x:c r="S1458" t="str">
        <x:v>PO</x:v>
      </x:c>
      <x:c r="T1458" t="n">
        <x:v>0</x:v>
      </x:c>
      <x:c r="U1458" t="n">
        <x:v>8</x:v>
      </x:c>
      <x:c r="V1458" t="n">
        <x:v>25</x:v>
      </x:c>
      <x:c r="W1458" t="n">
        <x:v>0</x:v>
      </x:c>
      <x:c r="X1458" t="str">
        <x:v>VALUE: [[4d8]] PO 8 PO 25 PA</x:v>
      </x:c>
    </x:row>
    <x:row r="1459">
      <x:c r="P1459" t="str">
        <x:v>17|Aquatique|Rare</x:v>
      </x:c>
      <x:c r="Q1459" t="n">
        <x:v>437500</x:v>
      </x:c>
      <x:c r="R1459" t="str">
        <x:v>3d20</x:v>
      </x:c>
      <x:c r="S1459" t="str">
        <x:v>PO</x:v>
      </x:c>
      <x:c r="T1459" t="n">
        <x:v>0</x:v>
      </x:c>
      <x:c r="U1459" t="n">
        <x:v>12</x:v>
      </x:c>
      <x:c r="V1459" t="n">
        <x:v>25</x:v>
      </x:c>
      <x:c r="W1459" t="n">
        <x:v>0</x:v>
      </x:c>
      <x:c r="X1459" t="str">
        <x:v>VALUE: [[3d20]] PO 12 PO 25 PA</x:v>
      </x:c>
    </x:row>
    <x:row r="1460">
      <x:c r="P1460" t="str">
        <x:v>17|Aquatique|Précieuse</x:v>
      </x:c>
      <x:c r="Q1460" t="n">
        <x:v>700000</x:v>
      </x:c>
      <x:c r="R1460" t="str">
        <x:v>9d10</x:v>
      </x:c>
      <x:c r="S1460" t="str">
        <x:v>PO</x:v>
      </x:c>
      <x:c r="T1460" t="n">
        <x:v>0</x:v>
      </x:c>
      <x:c r="U1460" t="n">
        <x:v>20</x:v>
      </x:c>
      <x:c r="V1460" t="n">
        <x:v>50</x:v>
      </x:c>
      <x:c r="W1460" t="n">
        <x:v>0</x:v>
      </x:c>
      <x:c r="X1460" t="str">
        <x:v>VALUE: [[9d10]] PO 20 PO 50 PA</x:v>
      </x:c>
    </x:row>
    <x:row r="1461">
      <x:c r="P1461" t="str">
        <x:v>17|Aquatique|Exceptionnelle</x:v>
      </x:c>
      <x:c r="Q1461" t="n">
        <x:v>1225000</x:v>
      </x:c>
      <x:c r="R1461" t="str">
        <x:v>8d20</x:v>
      </x:c>
      <x:c r="S1461" t="str">
        <x:v>PO</x:v>
      </x:c>
      <x:c r="T1461" t="n">
        <x:v>0</x:v>
      </x:c>
      <x:c r="U1461" t="n">
        <x:v>38</x:v>
      </x:c>
      <x:c r="V1461" t="n">
        <x:v>50</x:v>
      </x:c>
      <x:c r="W1461" t="n">
        <x:v>0</x:v>
      </x:c>
      <x:c r="X1461" t="str">
        <x:v>VALUE: [[8d20]] PO 38 PO 50 PA</x:v>
      </x:c>
    </x:row>
    <x:row r="1462">
      <x:c r="P1462" t="str">
        <x:v>17|Plante|Commune</x:v>
      </x:c>
      <x:c r="Q1462" t="n">
        <x:v>200000</x:v>
      </x:c>
      <x:c r="R1462" t="str">
        <x:v>4d6</x:v>
      </x:c>
      <x:c r="S1462" t="str">
        <x:v>PO</x:v>
      </x:c>
      <x:c r="T1462" t="n">
        <x:v>0</x:v>
      </x:c>
      <x:c r="U1462" t="n">
        <x:v>6</x:v>
      </x:c>
      <x:c r="V1462" t="n">
        <x:v>0</x:v>
      </x:c>
      <x:c r="W1462" t="n">
        <x:v>0</x:v>
      </x:c>
      <x:c r="X1462" t="str">
        <x:v>VALUE: [[4d6]] PO 6 PO</x:v>
      </x:c>
    </x:row>
    <x:row r="1463">
      <x:c r="P1463" t="str">
        <x:v>17|Plante|Peu commune</x:v>
      </x:c>
      <x:c r="Q1463" t="n">
        <x:v>300000</x:v>
      </x:c>
      <x:c r="R1463" t="str">
        <x:v>2d20</x:v>
      </x:c>
      <x:c r="S1463" t="str">
        <x:v>PO</x:v>
      </x:c>
      <x:c r="T1463" t="n">
        <x:v>0</x:v>
      </x:c>
      <x:c r="U1463" t="n">
        <x:v>9</x:v>
      </x:c>
      <x:c r="V1463" t="n">
        <x:v>0</x:v>
      </x:c>
      <x:c r="W1463" t="n">
        <x:v>0</x:v>
      </x:c>
      <x:c r="X1463" t="str">
        <x:v>VALUE: [[2d20]] PO 9 PO</x:v>
      </x:c>
    </x:row>
    <x:row r="1464">
      <x:c r="P1464" t="str">
        <x:v>17|Plante|Rare</x:v>
      </x:c>
      <x:c r="Q1464" t="n">
        <x:v>500000</x:v>
      </x:c>
      <x:c r="R1464" t="str">
        <x:v>10d6</x:v>
      </x:c>
      <x:c r="S1464" t="str">
        <x:v>PO</x:v>
      </x:c>
      <x:c r="T1464" t="n">
        <x:v>0</x:v>
      </x:c>
      <x:c r="U1464" t="n">
        <x:v>15</x:v>
      </x:c>
      <x:c r="V1464" t="n">
        <x:v>0</x:v>
      </x:c>
      <x:c r="W1464" t="n">
        <x:v>0</x:v>
      </x:c>
      <x:c r="X1464" t="str">
        <x:v>VALUE: [[10d6]] PO 15 PO</x:v>
      </x:c>
    </x:row>
    <x:row r="1465">
      <x:c r="P1465" t="str">
        <x:v>17|Plante|Précieuse</x:v>
      </x:c>
      <x:c r="Q1465" t="n">
        <x:v>800000</x:v>
      </x:c>
      <x:c r="R1465" t="str">
        <x:v>10d10</x:v>
      </x:c>
      <x:c r="S1465" t="str">
        <x:v>PO</x:v>
      </x:c>
      <x:c r="T1465" t="n">
        <x:v>0</x:v>
      </x:c>
      <x:c r="U1465" t="n">
        <x:v>25</x:v>
      </x:c>
      <x:c r="V1465" t="n">
        <x:v>0</x:v>
      </x:c>
      <x:c r="W1465" t="n">
        <x:v>0</x:v>
      </x:c>
      <x:c r="X1465" t="str">
        <x:v>VALUE: [[10d10]] PO 25 PO</x:v>
      </x:c>
    </x:row>
    <x:row r="1466">
      <x:c r="P1466" t="str">
        <x:v>17|Plante|Exceptionnelle</x:v>
      </x:c>
      <x:c r="Q1466" t="n">
        <x:v>1400000</x:v>
      </x:c>
      <x:c r="R1466" t="str">
        <x:v>9d20</x:v>
      </x:c>
      <x:c r="S1466" t="str">
        <x:v>PO</x:v>
      </x:c>
      <x:c r="T1466" t="n">
        <x:v>0</x:v>
      </x:c>
      <x:c r="U1466" t="n">
        <x:v>45</x:v>
      </x:c>
      <x:c r="V1466" t="n">
        <x:v>50</x:v>
      </x:c>
      <x:c r="W1466" t="n">
        <x:v>0</x:v>
      </x:c>
      <x:c r="X1466" t="str">
        <x:v>VALUE: [[9d20]] PO 45 PO 50 PA</x:v>
      </x:c>
    </x:row>
    <x:row r="1467">
      <x:c r="P1467" t="str">
        <x:v>17|Humanoïde|Commune</x:v>
      </x:c>
      <x:c r="Q1467" t="n">
        <x:v>250000</x:v>
      </x:c>
      <x:c r="R1467" t="str">
        <x:v>5d6</x:v>
      </x:c>
      <x:c r="S1467" t="str">
        <x:v>PO</x:v>
      </x:c>
      <x:c r="T1467" t="n">
        <x:v>0</x:v>
      </x:c>
      <x:c r="U1467" t="n">
        <x:v>7</x:v>
      </x:c>
      <x:c r="V1467" t="n">
        <x:v>50</x:v>
      </x:c>
      <x:c r="W1467" t="n">
        <x:v>0</x:v>
      </x:c>
      <x:c r="X1467" t="str">
        <x:v>VALUE: [[5d6]] PO 7 PO 50 PA</x:v>
      </x:c>
    </x:row>
    <x:row r="1468">
      <x:c r="P1468" t="str">
        <x:v>17|Humanoïde|Peu commune</x:v>
      </x:c>
      <x:c r="Q1468" t="n">
        <x:v>375000</x:v>
      </x:c>
      <x:c r="R1468" t="str">
        <x:v>4d12</x:v>
      </x:c>
      <x:c r="S1468" t="str">
        <x:v>PO</x:v>
      </x:c>
      <x:c r="T1468" t="n">
        <x:v>0</x:v>
      </x:c>
      <x:c r="U1468" t="n">
        <x:v>11</x:v>
      </x:c>
      <x:c r="V1468" t="n">
        <x:v>50</x:v>
      </x:c>
      <x:c r="W1468" t="n">
        <x:v>0</x:v>
      </x:c>
      <x:c r="X1468" t="str">
        <x:v>VALUE: [[4d12]] PO 11 PO 50 PA</x:v>
      </x:c>
    </x:row>
    <x:row r="1469">
      <x:c r="P1469" t="str">
        <x:v>17|Humanoïde|Rare</x:v>
      </x:c>
      <x:c r="Q1469" t="n">
        <x:v>625000</x:v>
      </x:c>
      <x:c r="R1469" t="str">
        <x:v>8d10</x:v>
      </x:c>
      <x:c r="S1469" t="str">
        <x:v>PO</x:v>
      </x:c>
      <x:c r="T1469" t="n">
        <x:v>0</x:v>
      </x:c>
      <x:c r="U1469" t="n">
        <x:v>18</x:v>
      </x:c>
      <x:c r="V1469" t="n">
        <x:v>50</x:v>
      </x:c>
      <x:c r="W1469" t="n">
        <x:v>0</x:v>
      </x:c>
      <x:c r="X1469" t="str">
        <x:v>VALUE: [[8d10]] PO 18 PO 50 PA</x:v>
      </x:c>
    </x:row>
    <x:row r="1470">
      <x:c r="P1470" t="str">
        <x:v>17|Humanoïde|Précieuse</x:v>
      </x:c>
      <x:c r="Q1470" t="n">
        <x:v>1000000</x:v>
      </x:c>
      <x:c r="R1470" t="str">
        <x:v>7d20</x:v>
      </x:c>
      <x:c r="S1470" t="str">
        <x:v>PO</x:v>
      </x:c>
      <x:c r="T1470" t="n">
        <x:v>0</x:v>
      </x:c>
      <x:c r="U1470" t="n">
        <x:v>26</x:v>
      </x:c>
      <x:c r="V1470" t="n">
        <x:v>50</x:v>
      </x:c>
      <x:c r="W1470" t="n">
        <x:v>0</x:v>
      </x:c>
      <x:c r="X1470" t="str">
        <x:v>VALUE: [[7d20]] PO 26 PO 50 PA</x:v>
      </x:c>
    </x:row>
    <x:row r="1471">
      <x:c r="P1471" t="str">
        <x:v>17|Humanoïde|Exceptionnelle</x:v>
      </x:c>
      <x:c r="Q1471" t="n">
        <x:v>1750000</x:v>
      </x:c>
      <x:c r="R1471" t="str">
        <x:v>10d20</x:v>
      </x:c>
      <x:c r="S1471" t="str">
        <x:v>PO</x:v>
      </x:c>
      <x:c r="T1471" t="n">
        <x:v>0</x:v>
      </x:c>
      <x:c r="U1471" t="n">
        <x:v>70</x:v>
      </x:c>
      <x:c r="V1471" t="n">
        <x:v>0</x:v>
      </x:c>
      <x:c r="W1471" t="n">
        <x:v>0</x:v>
      </x:c>
      <x:c r="X1471" t="str">
        <x:v>VALUE: [[10d20]] PO 70 PO</x:v>
      </x:c>
    </x:row>
    <x:row r="1472">
      <x:c r="P1472" t="str">
        <x:v>17|Mort-vivant|Commune</x:v>
      </x:c>
      <x:c r="Q1472" t="n">
        <x:v>250000</x:v>
      </x:c>
      <x:c r="R1472" t="str">
        <x:v>5d6</x:v>
      </x:c>
      <x:c r="S1472" t="str">
        <x:v>PO</x:v>
      </x:c>
      <x:c r="T1472" t="n">
        <x:v>0</x:v>
      </x:c>
      <x:c r="U1472" t="n">
        <x:v>7</x:v>
      </x:c>
      <x:c r="V1472" t="n">
        <x:v>50</x:v>
      </x:c>
      <x:c r="W1472" t="n">
        <x:v>0</x:v>
      </x:c>
      <x:c r="X1472" t="str">
        <x:v>VALUE: [[5d6]] PO 7 PO 50 PA</x:v>
      </x:c>
    </x:row>
    <x:row r="1473">
      <x:c r="P1473" t="str">
        <x:v>17|Mort-vivant|Peu commune</x:v>
      </x:c>
      <x:c r="Q1473" t="n">
        <x:v>375000</x:v>
      </x:c>
      <x:c r="R1473" t="str">
        <x:v>4d12</x:v>
      </x:c>
      <x:c r="S1473" t="str">
        <x:v>PO</x:v>
      </x:c>
      <x:c r="T1473" t="n">
        <x:v>0</x:v>
      </x:c>
      <x:c r="U1473" t="n">
        <x:v>11</x:v>
      </x:c>
      <x:c r="V1473" t="n">
        <x:v>50</x:v>
      </x:c>
      <x:c r="W1473" t="n">
        <x:v>0</x:v>
      </x:c>
      <x:c r="X1473" t="str">
        <x:v>VALUE: [[4d12]] PO 11 PO 50 PA</x:v>
      </x:c>
    </x:row>
    <x:row r="1474">
      <x:c r="P1474" t="str">
        <x:v>17|Mort-vivant|Rare</x:v>
      </x:c>
      <x:c r="Q1474" t="n">
        <x:v>625000</x:v>
      </x:c>
      <x:c r="R1474" t="str">
        <x:v>8d10</x:v>
      </x:c>
      <x:c r="S1474" t="str">
        <x:v>PO</x:v>
      </x:c>
      <x:c r="T1474" t="n">
        <x:v>0</x:v>
      </x:c>
      <x:c r="U1474" t="n">
        <x:v>18</x:v>
      </x:c>
      <x:c r="V1474" t="n">
        <x:v>50</x:v>
      </x:c>
      <x:c r="W1474" t="n">
        <x:v>0</x:v>
      </x:c>
      <x:c r="X1474" t="str">
        <x:v>VALUE: [[8d10]] PO 18 PO 50 PA</x:v>
      </x:c>
    </x:row>
    <x:row r="1475">
      <x:c r="P1475" t="str">
        <x:v>17|Mort-vivant|Précieuse</x:v>
      </x:c>
      <x:c r="Q1475" t="n">
        <x:v>1000000</x:v>
      </x:c>
      <x:c r="R1475" t="str">
        <x:v>7d20</x:v>
      </x:c>
      <x:c r="S1475" t="str">
        <x:v>PO</x:v>
      </x:c>
      <x:c r="T1475" t="n">
        <x:v>0</x:v>
      </x:c>
      <x:c r="U1475" t="n">
        <x:v>26</x:v>
      </x:c>
      <x:c r="V1475" t="n">
        <x:v>50</x:v>
      </x:c>
      <x:c r="W1475" t="n">
        <x:v>0</x:v>
      </x:c>
      <x:c r="X1475" t="str">
        <x:v>VALUE: [[7d20]] PO 26 PO 50 PA</x:v>
      </x:c>
    </x:row>
    <x:row r="1476">
      <x:c r="P1476" t="str">
        <x:v>17|Mort-vivant|Exceptionnelle</x:v>
      </x:c>
      <x:c r="Q1476" t="n">
        <x:v>1750000</x:v>
      </x:c>
      <x:c r="R1476" t="str">
        <x:v>10d20</x:v>
      </x:c>
      <x:c r="S1476" t="str">
        <x:v>PO</x:v>
      </x:c>
      <x:c r="T1476" t="n">
        <x:v>0</x:v>
      </x:c>
      <x:c r="U1476" t="n">
        <x:v>70</x:v>
      </x:c>
      <x:c r="V1476" t="n">
        <x:v>0</x:v>
      </x:c>
      <x:c r="W1476" t="n">
        <x:v>0</x:v>
      </x:c>
      <x:c r="X1476" t="str">
        <x:v>VALUE: [[10d20]] PO 70 PO</x:v>
      </x:c>
    </x:row>
    <x:row r="1477">
      <x:c r="P1477" t="str">
        <x:v>17|Monstre|Commune</x:v>
      </x:c>
      <x:c r="Q1477" t="n">
        <x:v>250000</x:v>
      </x:c>
      <x:c r="R1477" t="str">
        <x:v>5d6</x:v>
      </x:c>
      <x:c r="S1477" t="str">
        <x:v>PO</x:v>
      </x:c>
      <x:c r="T1477" t="n">
        <x:v>0</x:v>
      </x:c>
      <x:c r="U1477" t="n">
        <x:v>7</x:v>
      </x:c>
      <x:c r="V1477" t="n">
        <x:v>50</x:v>
      </x:c>
      <x:c r="W1477" t="n">
        <x:v>0</x:v>
      </x:c>
      <x:c r="X1477" t="str">
        <x:v>VALUE: [[5d6]] PO 7 PO 50 PA</x:v>
      </x:c>
    </x:row>
    <x:row r="1478">
      <x:c r="P1478" t="str">
        <x:v>17|Monstre|Peu commune</x:v>
      </x:c>
      <x:c r="Q1478" t="n">
        <x:v>375000</x:v>
      </x:c>
      <x:c r="R1478" t="str">
        <x:v>4d12</x:v>
      </x:c>
      <x:c r="S1478" t="str">
        <x:v>PO</x:v>
      </x:c>
      <x:c r="T1478" t="n">
        <x:v>0</x:v>
      </x:c>
      <x:c r="U1478" t="n">
        <x:v>11</x:v>
      </x:c>
      <x:c r="V1478" t="n">
        <x:v>50</x:v>
      </x:c>
      <x:c r="W1478" t="n">
        <x:v>0</x:v>
      </x:c>
      <x:c r="X1478" t="str">
        <x:v>VALUE: [[4d12]] PO 11 PO 50 PA</x:v>
      </x:c>
    </x:row>
    <x:row r="1479">
      <x:c r="P1479" t="str">
        <x:v>17|Monstre|Rare</x:v>
      </x:c>
      <x:c r="Q1479" t="n">
        <x:v>625000</x:v>
      </x:c>
      <x:c r="R1479" t="str">
        <x:v>8d10</x:v>
      </x:c>
      <x:c r="S1479" t="str">
        <x:v>PO</x:v>
      </x:c>
      <x:c r="T1479" t="n">
        <x:v>0</x:v>
      </x:c>
      <x:c r="U1479" t="n">
        <x:v>18</x:v>
      </x:c>
      <x:c r="V1479" t="n">
        <x:v>50</x:v>
      </x:c>
      <x:c r="W1479" t="n">
        <x:v>0</x:v>
      </x:c>
      <x:c r="X1479" t="str">
        <x:v>VALUE: [[8d10]] PO 18 PO 50 PA</x:v>
      </x:c>
    </x:row>
    <x:row r="1480">
      <x:c r="P1480" t="str">
        <x:v>17|Monstre|Précieuse</x:v>
      </x:c>
      <x:c r="Q1480" t="n">
        <x:v>1000000</x:v>
      </x:c>
      <x:c r="R1480" t="str">
        <x:v>7d20</x:v>
      </x:c>
      <x:c r="S1480" t="str">
        <x:v>PO</x:v>
      </x:c>
      <x:c r="T1480" t="n">
        <x:v>0</x:v>
      </x:c>
      <x:c r="U1480" t="n">
        <x:v>26</x:v>
      </x:c>
      <x:c r="V1480" t="n">
        <x:v>50</x:v>
      </x:c>
      <x:c r="W1480" t="n">
        <x:v>0</x:v>
      </x:c>
      <x:c r="X1480" t="str">
        <x:v>VALUE: [[7d20]] PO 26 PO 50 PA</x:v>
      </x:c>
    </x:row>
    <x:row r="1481">
      <x:c r="P1481" t="str">
        <x:v>17|Monstre|Exceptionnelle</x:v>
      </x:c>
      <x:c r="Q1481" t="n">
        <x:v>1750000</x:v>
      </x:c>
      <x:c r="R1481" t="str">
        <x:v>10d20</x:v>
      </x:c>
      <x:c r="S1481" t="str">
        <x:v>PO</x:v>
      </x:c>
      <x:c r="T1481" t="n">
        <x:v>0</x:v>
      </x:c>
      <x:c r="U1481" t="n">
        <x:v>70</x:v>
      </x:c>
      <x:c r="V1481" t="n">
        <x:v>0</x:v>
      </x:c>
      <x:c r="W1481" t="n">
        <x:v>0</x:v>
      </x:c>
      <x:c r="X1481" t="str">
        <x:v>VALUE: [[10d20]] PO 70 PO</x:v>
      </x:c>
    </x:row>
    <x:row r="1482">
      <x:c r="P1482" t="str">
        <x:v>17|Vase|Commune</x:v>
      </x:c>
      <x:c r="Q1482" t="n">
        <x:v>250000</x:v>
      </x:c>
      <x:c r="R1482" t="str">
        <x:v>5d6</x:v>
      </x:c>
      <x:c r="S1482" t="str">
        <x:v>PO</x:v>
      </x:c>
      <x:c r="T1482" t="n">
        <x:v>0</x:v>
      </x:c>
      <x:c r="U1482" t="n">
        <x:v>7</x:v>
      </x:c>
      <x:c r="V1482" t="n">
        <x:v>50</x:v>
      </x:c>
      <x:c r="W1482" t="n">
        <x:v>0</x:v>
      </x:c>
      <x:c r="X1482" t="str">
        <x:v>VALUE: [[5d6]] PO 7 PO 50 PA</x:v>
      </x:c>
    </x:row>
    <x:row r="1483">
      <x:c r="P1483" t="str">
        <x:v>17|Vase|Peu commune</x:v>
      </x:c>
      <x:c r="Q1483" t="n">
        <x:v>375000</x:v>
      </x:c>
      <x:c r="R1483" t="str">
        <x:v>4d12</x:v>
      </x:c>
      <x:c r="S1483" t="str">
        <x:v>PO</x:v>
      </x:c>
      <x:c r="T1483" t="n">
        <x:v>0</x:v>
      </x:c>
      <x:c r="U1483" t="n">
        <x:v>11</x:v>
      </x:c>
      <x:c r="V1483" t="n">
        <x:v>50</x:v>
      </x:c>
      <x:c r="W1483" t="n">
        <x:v>0</x:v>
      </x:c>
      <x:c r="X1483" t="str">
        <x:v>VALUE: [[4d12]] PO 11 PO 50 PA</x:v>
      </x:c>
    </x:row>
    <x:row r="1484">
      <x:c r="P1484" t="str">
        <x:v>17|Vase|Rare</x:v>
      </x:c>
      <x:c r="Q1484" t="n">
        <x:v>625000</x:v>
      </x:c>
      <x:c r="R1484" t="str">
        <x:v>8d10</x:v>
      </x:c>
      <x:c r="S1484" t="str">
        <x:v>PO</x:v>
      </x:c>
      <x:c r="T1484" t="n">
        <x:v>0</x:v>
      </x:c>
      <x:c r="U1484" t="n">
        <x:v>18</x:v>
      </x:c>
      <x:c r="V1484" t="n">
        <x:v>50</x:v>
      </x:c>
      <x:c r="W1484" t="n">
        <x:v>0</x:v>
      </x:c>
      <x:c r="X1484" t="str">
        <x:v>VALUE: [[8d10]] PO 18 PO 50 PA</x:v>
      </x:c>
    </x:row>
    <x:row r="1485">
      <x:c r="P1485" t="str">
        <x:v>17|Vase|Précieuse</x:v>
      </x:c>
      <x:c r="Q1485" t="n">
        <x:v>1000000</x:v>
      </x:c>
      <x:c r="R1485" t="str">
        <x:v>7d20</x:v>
      </x:c>
      <x:c r="S1485" t="str">
        <x:v>PO</x:v>
      </x:c>
      <x:c r="T1485" t="n">
        <x:v>0</x:v>
      </x:c>
      <x:c r="U1485" t="n">
        <x:v>26</x:v>
      </x:c>
      <x:c r="V1485" t="n">
        <x:v>50</x:v>
      </x:c>
      <x:c r="W1485" t="n">
        <x:v>0</x:v>
      </x:c>
      <x:c r="X1485" t="str">
        <x:v>VALUE: [[7d20]] PO 26 PO 50 PA</x:v>
      </x:c>
    </x:row>
    <x:row r="1486">
      <x:c r="P1486" t="str">
        <x:v>17|Vase|Exceptionnelle</x:v>
      </x:c>
      <x:c r="Q1486" t="n">
        <x:v>1750000</x:v>
      </x:c>
      <x:c r="R1486" t="str">
        <x:v>10d20</x:v>
      </x:c>
      <x:c r="S1486" t="str">
        <x:v>PO</x:v>
      </x:c>
      <x:c r="T1486" t="n">
        <x:v>0</x:v>
      </x:c>
      <x:c r="U1486" t="n">
        <x:v>70</x:v>
      </x:c>
      <x:c r="V1486" t="n">
        <x:v>0</x:v>
      </x:c>
      <x:c r="W1486" t="n">
        <x:v>0</x:v>
      </x:c>
      <x:c r="X1486" t="str">
        <x:v>VALUE: [[10d20]] PO 70 PO</x:v>
      </x:c>
    </x:row>
    <x:row r="1487">
      <x:c r="P1487" t="str">
        <x:v>17|Géant|Commune</x:v>
      </x:c>
      <x:c r="Q1487" t="n">
        <x:v>300000</x:v>
      </x:c>
      <x:c r="R1487" t="str">
        <x:v>2d20</x:v>
      </x:c>
      <x:c r="S1487" t="str">
        <x:v>PO</x:v>
      </x:c>
      <x:c r="T1487" t="n">
        <x:v>0</x:v>
      </x:c>
      <x:c r="U1487" t="n">
        <x:v>9</x:v>
      </x:c>
      <x:c r="V1487" t="n">
        <x:v>0</x:v>
      </x:c>
      <x:c r="W1487" t="n">
        <x:v>0</x:v>
      </x:c>
      <x:c r="X1487" t="str">
        <x:v>VALUE: [[2d20]] PO 9 PO</x:v>
      </x:c>
    </x:row>
    <x:row r="1488">
      <x:c r="P1488" t="str">
        <x:v>17|Géant|Peu commune</x:v>
      </x:c>
      <x:c r="Q1488" t="n">
        <x:v>450000</x:v>
      </x:c>
      <x:c r="R1488" t="str">
        <x:v>3d20</x:v>
      </x:c>
      <x:c r="S1488" t="str">
        <x:v>PO</x:v>
      </x:c>
      <x:c r="T1488" t="n">
        <x:v>0</x:v>
      </x:c>
      <x:c r="U1488" t="n">
        <x:v>13</x:v>
      </x:c>
      <x:c r="V1488" t="n">
        <x:v>50</x:v>
      </x:c>
      <x:c r="W1488" t="n">
        <x:v>0</x:v>
      </x:c>
      <x:c r="X1488" t="str">
        <x:v>VALUE: [[3d20]] PO 13 PO 50 PA</x:v>
      </x:c>
    </x:row>
    <x:row r="1489">
      <x:c r="P1489" t="str">
        <x:v>17|Géant|Rare</x:v>
      </x:c>
      <x:c r="Q1489" t="n">
        <x:v>750000</x:v>
      </x:c>
      <x:c r="R1489" t="str">
        <x:v>5d20</x:v>
      </x:c>
      <x:c r="S1489" t="str">
        <x:v>PO</x:v>
      </x:c>
      <x:c r="T1489" t="n">
        <x:v>0</x:v>
      </x:c>
      <x:c r="U1489" t="n">
        <x:v>22</x:v>
      </x:c>
      <x:c r="V1489" t="n">
        <x:v>50</x:v>
      </x:c>
      <x:c r="W1489" t="n">
        <x:v>0</x:v>
      </x:c>
      <x:c r="X1489" t="str">
        <x:v>VALUE: [[5d20]] PO 22 PO 50 PA</x:v>
      </x:c>
    </x:row>
    <x:row r="1490">
      <x:c r="P1490" t="str">
        <x:v>17|Géant|Précieuse</x:v>
      </x:c>
      <x:c r="Q1490" t="n">
        <x:v>1200000</x:v>
      </x:c>
      <x:c r="R1490" t="str">
        <x:v>8d20</x:v>
      </x:c>
      <x:c r="S1490" t="str">
        <x:v>PO</x:v>
      </x:c>
      <x:c r="T1490" t="n">
        <x:v>0</x:v>
      </x:c>
      <x:c r="U1490" t="n">
        <x:v>36</x:v>
      </x:c>
      <x:c r="V1490" t="n">
        <x:v>0</x:v>
      </x:c>
      <x:c r="W1490" t="n">
        <x:v>0</x:v>
      </x:c>
      <x:c r="X1490" t="str">
        <x:v>VALUE: [[8d20]] PO 36 PO</x:v>
      </x:c>
    </x:row>
    <x:row r="1491">
      <x:c r="P1491" t="str">
        <x:v>17|Géant|Exceptionnelle</x:v>
      </x:c>
      <x:c r="Q1491" t="n">
        <x:v>2100000</x:v>
      </x:c>
      <x:c r="R1491" t="str">
        <x:v>10d20</x:v>
      </x:c>
      <x:c r="S1491" t="str">
        <x:v>PO</x:v>
      </x:c>
      <x:c r="T1491" t="n">
        <x:v>1</x:v>
      </x:c>
      <x:c r="U1491" t="n">
        <x:v>5</x:v>
      </x:c>
      <x:c r="V1491" t="n">
        <x:v>0</x:v>
      </x:c>
      <x:c r="W1491" t="n">
        <x:v>0</x:v>
      </x:c>
      <x:c r="X1491" t="str">
        <x:v>VALUE: [[10d20]] PO 1 PP 5 PO</x:v>
      </x:c>
    </x:row>
    <x:row r="1492">
      <x:c r="P1492" t="str">
        <x:v>17|Aberration|Commune</x:v>
      </x:c>
      <x:c r="Q1492" t="n">
        <x:v>375000</x:v>
      </x:c>
      <x:c r="R1492" t="str">
        <x:v>4d12</x:v>
      </x:c>
      <x:c r="S1492" t="str">
        <x:v>PO</x:v>
      </x:c>
      <x:c r="T1492" t="n">
        <x:v>0</x:v>
      </x:c>
      <x:c r="U1492" t="n">
        <x:v>11</x:v>
      </x:c>
      <x:c r="V1492" t="n">
        <x:v>50</x:v>
      </x:c>
      <x:c r="W1492" t="n">
        <x:v>0</x:v>
      </x:c>
      <x:c r="X1492" t="str">
        <x:v>VALUE: [[4d12]] PO 11 PO 50 PA</x:v>
      </x:c>
    </x:row>
    <x:row r="1493">
      <x:c r="P1493" t="str">
        <x:v>17|Aberration|Peu commune</x:v>
      </x:c>
      <x:c r="Q1493" t="n">
        <x:v>562500</x:v>
      </x:c>
      <x:c r="R1493" t="str">
        <x:v>6d12</x:v>
      </x:c>
      <x:c r="S1493" t="str">
        <x:v>PO</x:v>
      </x:c>
      <x:c r="T1493" t="n">
        <x:v>0</x:v>
      </x:c>
      <x:c r="U1493" t="n">
        <x:v>17</x:v>
      </x:c>
      <x:c r="V1493" t="n">
        <x:v>25</x:v>
      </x:c>
      <x:c r="W1493" t="n">
        <x:v>0</x:v>
      </x:c>
      <x:c r="X1493" t="str">
        <x:v>VALUE: [[6d12]] PO 17 PO 25 PA</x:v>
      </x:c>
    </x:row>
    <x:row r="1494">
      <x:c r="P1494" t="str">
        <x:v>17|Aberration|Rare</x:v>
      </x:c>
      <x:c r="Q1494" t="n">
        <x:v>937500</x:v>
      </x:c>
      <x:c r="R1494" t="str">
        <x:v>10d12</x:v>
      </x:c>
      <x:c r="S1494" t="str">
        <x:v>PO</x:v>
      </x:c>
      <x:c r="T1494" t="n">
        <x:v>0</x:v>
      </x:c>
      <x:c r="U1494" t="n">
        <x:v>28</x:v>
      </x:c>
      <x:c r="V1494" t="n">
        <x:v>75</x:v>
      </x:c>
      <x:c r="W1494" t="n">
        <x:v>0</x:v>
      </x:c>
      <x:c r="X1494" t="str">
        <x:v>VALUE: [[10d12]] PO 28 PO 75 PA</x:v>
      </x:c>
    </x:row>
    <x:row r="1495">
      <x:c r="P1495" t="str">
        <x:v>17|Aberration|Précieuse</x:v>
      </x:c>
      <x:c r="Q1495" t="n">
        <x:v>1500000</x:v>
      </x:c>
      <x:c r="R1495" t="str">
        <x:v>10d20</x:v>
      </x:c>
      <x:c r="S1495" t="str">
        <x:v>PO</x:v>
      </x:c>
      <x:c r="T1495" t="n">
        <x:v>0</x:v>
      </x:c>
      <x:c r="U1495" t="n">
        <x:v>45</x:v>
      </x:c>
      <x:c r="V1495" t="n">
        <x:v>0</x:v>
      </x:c>
      <x:c r="W1495" t="n">
        <x:v>0</x:v>
      </x:c>
      <x:c r="X1495" t="str">
        <x:v>VALUE: [[10d20]] PO 45 PO</x:v>
      </x:c>
    </x:row>
    <x:row r="1496">
      <x:c r="P1496" t="str">
        <x:v>17|Aberration|Exceptionnelle</x:v>
      </x:c>
      <x:c r="Q1496" t="n">
        <x:v>2625000</x:v>
      </x:c>
      <x:c r="R1496" t="str">
        <x:v>1d4</x:v>
      </x:c>
      <x:c r="S1496" t="str">
        <x:v>PP</x:v>
      </x:c>
      <x:c r="T1496" t="n">
        <x:v>0</x:v>
      </x:c>
      <x:c r="U1496" t="n">
        <x:v>12</x:v>
      </x:c>
      <x:c r="V1496" t="n">
        <x:v>50</x:v>
      </x:c>
      <x:c r="W1496" t="n">
        <x:v>0</x:v>
      </x:c>
      <x:c r="X1496" t="str">
        <x:v>VALUE: [[1d4]] PP 12 PO 50 PA</x:v>
      </x:c>
    </x:row>
    <x:row r="1497">
      <x:c r="P1497" t="str">
        <x:v>17|Fée|Commune</x:v>
      </x:c>
      <x:c r="Q1497" t="n">
        <x:v>450000</x:v>
      </x:c>
      <x:c r="R1497" t="str">
        <x:v>3d20</x:v>
      </x:c>
      <x:c r="S1497" t="str">
        <x:v>PO</x:v>
      </x:c>
      <x:c r="T1497" t="n">
        <x:v>0</x:v>
      </x:c>
      <x:c r="U1497" t="n">
        <x:v>13</x:v>
      </x:c>
      <x:c r="V1497" t="n">
        <x:v>50</x:v>
      </x:c>
      <x:c r="W1497" t="n">
        <x:v>0</x:v>
      </x:c>
      <x:c r="X1497" t="str">
        <x:v>VALUE: [[3d20]] PO 13 PO 50 PA</x:v>
      </x:c>
    </x:row>
    <x:row r="1498">
      <x:c r="P1498" t="str">
        <x:v>17|Fée|Peu commune</x:v>
      </x:c>
      <x:c r="Q1498" t="n">
        <x:v>675000</x:v>
      </x:c>
      <x:c r="R1498" t="str">
        <x:v>7d12</x:v>
      </x:c>
      <x:c r="S1498" t="str">
        <x:v>PO</x:v>
      </x:c>
      <x:c r="T1498" t="n">
        <x:v>0</x:v>
      </x:c>
      <x:c r="U1498" t="n">
        <x:v>22</x:v>
      </x:c>
      <x:c r="V1498" t="n">
        <x:v>0</x:v>
      </x:c>
      <x:c r="W1498" t="n">
        <x:v>0</x:v>
      </x:c>
      <x:c r="X1498" t="str">
        <x:v>VALUE: [[7d12]] PO 22 PO</x:v>
      </x:c>
    </x:row>
    <x:row r="1499">
      <x:c r="P1499" t="str">
        <x:v>17|Fée|Rare</x:v>
      </x:c>
      <x:c r="Q1499" t="n">
        <x:v>1125000</x:v>
      </x:c>
      <x:c r="R1499" t="str">
        <x:v>7d20</x:v>
      </x:c>
      <x:c r="S1499" t="str">
        <x:v>PO</x:v>
      </x:c>
      <x:c r="T1499" t="n">
        <x:v>0</x:v>
      </x:c>
      <x:c r="U1499" t="n">
        <x:v>39</x:v>
      </x:c>
      <x:c r="V1499" t="n">
        <x:v>0</x:v>
      </x:c>
      <x:c r="W1499" t="n">
        <x:v>0</x:v>
      </x:c>
      <x:c r="X1499" t="str">
        <x:v>VALUE: [[7d20]] PO 39 PO</x:v>
      </x:c>
    </x:row>
    <x:row r="1500">
      <x:c r="P1500" t="str">
        <x:v>17|Fée|Précieuse</x:v>
      </x:c>
      <x:c r="Q1500" t="n">
        <x:v>1800000</x:v>
      </x:c>
      <x:c r="R1500" t="str">
        <x:v>10d20</x:v>
      </x:c>
      <x:c r="S1500" t="str">
        <x:v>PO</x:v>
      </x:c>
      <x:c r="T1500" t="n">
        <x:v>0</x:v>
      </x:c>
      <x:c r="U1500" t="n">
        <x:v>75</x:v>
      </x:c>
      <x:c r="V1500" t="n">
        <x:v>0</x:v>
      </x:c>
      <x:c r="W1500" t="n">
        <x:v>0</x:v>
      </x:c>
      <x:c r="X1500" t="str">
        <x:v>VALUE: [[10d20]] PO 75 PO</x:v>
      </x:c>
    </x:row>
    <x:row r="1501">
      <x:c r="P1501" t="str">
        <x:v>17|Fée|Exceptionnelle</x:v>
      </x:c>
      <x:c r="Q1501" t="n">
        <x:v>3150000</x:v>
      </x:c>
      <x:c r="R1501" t="str">
        <x:v>1d4</x:v>
      </x:c>
      <x:c r="S1501" t="str">
        <x:v>PP</x:v>
      </x:c>
      <x:c r="T1501" t="n">
        <x:v>0</x:v>
      </x:c>
      <x:c r="U1501" t="n">
        <x:v>65</x:v>
      </x:c>
      <x:c r="V1501" t="n">
        <x:v>0</x:v>
      </x:c>
      <x:c r="W1501" t="n">
        <x:v>0</x:v>
      </x:c>
      <x:c r="X1501" t="str">
        <x:v>VALUE: [[1d4]] PP 65 PO</x:v>
      </x:c>
    </x:row>
    <x:row r="1502">
      <x:c r="P1502" t="str">
        <x:v>17|Démon|Commune</x:v>
      </x:c>
      <x:c r="Q1502" t="n">
        <x:v>500000</x:v>
      </x:c>
      <x:c r="R1502" t="str">
        <x:v>10d6</x:v>
      </x:c>
      <x:c r="S1502" t="str">
        <x:v>PO</x:v>
      </x:c>
      <x:c r="T1502" t="n">
        <x:v>0</x:v>
      </x:c>
      <x:c r="U1502" t="n">
        <x:v>15</x:v>
      </x:c>
      <x:c r="V1502" t="n">
        <x:v>0</x:v>
      </x:c>
      <x:c r="W1502" t="n">
        <x:v>0</x:v>
      </x:c>
      <x:c r="X1502" t="str">
        <x:v>VALUE: [[10d6]] PO 15 PO</x:v>
      </x:c>
    </x:row>
    <x:row r="1503">
      <x:c r="P1503" t="str">
        <x:v>17|Démon|Peu commune</x:v>
      </x:c>
      <x:c r="Q1503" t="n">
        <x:v>750000</x:v>
      </x:c>
      <x:c r="R1503" t="str">
        <x:v>5d20</x:v>
      </x:c>
      <x:c r="S1503" t="str">
        <x:v>PO</x:v>
      </x:c>
      <x:c r="T1503" t="n">
        <x:v>0</x:v>
      </x:c>
      <x:c r="U1503" t="n">
        <x:v>22</x:v>
      </x:c>
      <x:c r="V1503" t="n">
        <x:v>50</x:v>
      </x:c>
      <x:c r="W1503" t="n">
        <x:v>0</x:v>
      </x:c>
      <x:c r="X1503" t="str">
        <x:v>VALUE: [[5d20]] PO 22 PO 50 PA</x:v>
      </x:c>
    </x:row>
    <x:row r="1504">
      <x:c r="P1504" t="str">
        <x:v>17|Démon|Rare</x:v>
      </x:c>
      <x:c r="Q1504" t="n">
        <x:v>1250000</x:v>
      </x:c>
      <x:c r="R1504" t="str">
        <x:v>8d20</x:v>
      </x:c>
      <x:c r="S1504" t="str">
        <x:v>PO</x:v>
      </x:c>
      <x:c r="T1504" t="n">
        <x:v>0</x:v>
      </x:c>
      <x:c r="U1504" t="n">
        <x:v>41</x:v>
      </x:c>
      <x:c r="V1504" t="n">
        <x:v>0</x:v>
      </x:c>
      <x:c r="W1504" t="n">
        <x:v>0</x:v>
      </x:c>
      <x:c r="X1504" t="str">
        <x:v>VALUE: [[8d20]] PO 41 PO</x:v>
      </x:c>
    </x:row>
    <x:row r="1505">
      <x:c r="P1505" t="str">
        <x:v>17|Démon|Précieuse</x:v>
      </x:c>
      <x:c r="Q1505" t="n">
        <x:v>2000000</x:v>
      </x:c>
      <x:c r="R1505" t="str">
        <x:v>10d20</x:v>
      </x:c>
      <x:c r="S1505" t="str">
        <x:v>PO</x:v>
      </x:c>
      <x:c r="T1505" t="n">
        <x:v>0</x:v>
      </x:c>
      <x:c r="U1505" t="n">
        <x:v>95</x:v>
      </x:c>
      <x:c r="V1505" t="n">
        <x:v>0</x:v>
      </x:c>
      <x:c r="W1505" t="n">
        <x:v>0</x:v>
      </x:c>
      <x:c r="X1505" t="str">
        <x:v>VALUE: [[10d20]] PO 95 PO</x:v>
      </x:c>
    </x:row>
    <x:row r="1506">
      <x:c r="P1506" t="str">
        <x:v>17|Démon|Exceptionnelle</x:v>
      </x:c>
      <x:c r="Q1506" t="n">
        <x:v>3500000</x:v>
      </x:c>
      <x:c r="R1506" t="str">
        <x:v>1d4</x:v>
      </x:c>
      <x:c r="S1506" t="str">
        <x:v>PP</x:v>
      </x:c>
      <x:c r="T1506" t="n">
        <x:v>1</x:v>
      </x:c>
      <x:c r="U1506" t="n">
        <x:v>0</x:v>
      </x:c>
      <x:c r="V1506" t="n">
        <x:v>0</x:v>
      </x:c>
      <x:c r="W1506" t="n">
        <x:v>0</x:v>
      </x:c>
      <x:c r="X1506" t="str">
        <x:v>VALUE: [[1d4]] PP 1 PP</x:v>
      </x:c>
    </x:row>
    <x:row r="1507">
      <x:c r="P1507" t="str">
        <x:v>17|Artificiel|Commune</x:v>
      </x:c>
      <x:c r="Q1507" t="n">
        <x:v>500000</x:v>
      </x:c>
      <x:c r="R1507" t="str">
        <x:v>10d6</x:v>
      </x:c>
      <x:c r="S1507" t="str">
        <x:v>PO</x:v>
      </x:c>
      <x:c r="T1507" t="n">
        <x:v>0</x:v>
      </x:c>
      <x:c r="U1507" t="n">
        <x:v>15</x:v>
      </x:c>
      <x:c r="V1507" t="n">
        <x:v>0</x:v>
      </x:c>
      <x:c r="W1507" t="n">
        <x:v>0</x:v>
      </x:c>
      <x:c r="X1507" t="str">
        <x:v>VALUE: [[10d6]] PO 15 PO</x:v>
      </x:c>
    </x:row>
    <x:row r="1508">
      <x:c r="P1508" t="str">
        <x:v>17|Artificiel|Peu commune</x:v>
      </x:c>
      <x:c r="Q1508" t="n">
        <x:v>750000</x:v>
      </x:c>
      <x:c r="R1508" t="str">
        <x:v>5d20</x:v>
      </x:c>
      <x:c r="S1508" t="str">
        <x:v>PO</x:v>
      </x:c>
      <x:c r="T1508" t="n">
        <x:v>0</x:v>
      </x:c>
      <x:c r="U1508" t="n">
        <x:v>22</x:v>
      </x:c>
      <x:c r="V1508" t="n">
        <x:v>50</x:v>
      </x:c>
      <x:c r="W1508" t="n">
        <x:v>0</x:v>
      </x:c>
      <x:c r="X1508" t="str">
        <x:v>VALUE: [[5d20]] PO 22 PO 50 PA</x:v>
      </x:c>
    </x:row>
    <x:row r="1509">
      <x:c r="P1509" t="str">
        <x:v>17|Artificiel|Rare</x:v>
      </x:c>
      <x:c r="Q1509" t="n">
        <x:v>1250000</x:v>
      </x:c>
      <x:c r="R1509" t="str">
        <x:v>8d20</x:v>
      </x:c>
      <x:c r="S1509" t="str">
        <x:v>PO</x:v>
      </x:c>
      <x:c r="T1509" t="n">
        <x:v>0</x:v>
      </x:c>
      <x:c r="U1509" t="n">
        <x:v>41</x:v>
      </x:c>
      <x:c r="V1509" t="n">
        <x:v>0</x:v>
      </x:c>
      <x:c r="W1509" t="n">
        <x:v>0</x:v>
      </x:c>
      <x:c r="X1509" t="str">
        <x:v>VALUE: [[8d20]] PO 41 PO</x:v>
      </x:c>
    </x:row>
    <x:row r="1510">
      <x:c r="P1510" t="str">
        <x:v>17|Artificiel|Précieuse</x:v>
      </x:c>
      <x:c r="Q1510" t="n">
        <x:v>2000000</x:v>
      </x:c>
      <x:c r="R1510" t="str">
        <x:v>10d20</x:v>
      </x:c>
      <x:c r="S1510" t="str">
        <x:v>PO</x:v>
      </x:c>
      <x:c r="T1510" t="n">
        <x:v>0</x:v>
      </x:c>
      <x:c r="U1510" t="n">
        <x:v>95</x:v>
      </x:c>
      <x:c r="V1510" t="n">
        <x:v>0</x:v>
      </x:c>
      <x:c r="W1510" t="n">
        <x:v>0</x:v>
      </x:c>
      <x:c r="X1510" t="str">
        <x:v>VALUE: [[10d20]] PO 95 PO</x:v>
      </x:c>
    </x:row>
    <x:row r="1511">
      <x:c r="P1511" t="str">
        <x:v>17|Artificiel|Exceptionnelle</x:v>
      </x:c>
      <x:c r="Q1511" t="n">
        <x:v>3500000</x:v>
      </x:c>
      <x:c r="R1511" t="str">
        <x:v>1d4</x:v>
      </x:c>
      <x:c r="S1511" t="str">
        <x:v>PP</x:v>
      </x:c>
      <x:c r="T1511" t="n">
        <x:v>1</x:v>
      </x:c>
      <x:c r="U1511" t="n">
        <x:v>0</x:v>
      </x:c>
      <x:c r="V1511" t="n">
        <x:v>0</x:v>
      </x:c>
      <x:c r="W1511" t="n">
        <x:v>0</x:v>
      </x:c>
      <x:c r="X1511" t="str">
        <x:v>VALUE: [[1d4]] PP 1 PP</x:v>
      </x:c>
    </x:row>
    <x:row r="1512">
      <x:c r="P1512" t="str">
        <x:v>17|Élémentaire|Commune</x:v>
      </x:c>
      <x:c r="Q1512" t="n">
        <x:v>625000</x:v>
      </x:c>
      <x:c r="R1512" t="str">
        <x:v>8d10</x:v>
      </x:c>
      <x:c r="S1512" t="str">
        <x:v>PO</x:v>
      </x:c>
      <x:c r="T1512" t="n">
        <x:v>0</x:v>
      </x:c>
      <x:c r="U1512" t="n">
        <x:v>18</x:v>
      </x:c>
      <x:c r="V1512" t="n">
        <x:v>50</x:v>
      </x:c>
      <x:c r="W1512" t="n">
        <x:v>0</x:v>
      </x:c>
      <x:c r="X1512" t="str">
        <x:v>VALUE: [[8d10]] PO 18 PO 50 PA</x:v>
      </x:c>
    </x:row>
    <x:row r="1513">
      <x:c r="P1513" t="str">
        <x:v>17|Élémentaire|Peu commune</x:v>
      </x:c>
      <x:c r="Q1513" t="n">
        <x:v>937500</x:v>
      </x:c>
      <x:c r="R1513" t="str">
        <x:v>10d12</x:v>
      </x:c>
      <x:c r="S1513" t="str">
        <x:v>PO</x:v>
      </x:c>
      <x:c r="T1513" t="n">
        <x:v>0</x:v>
      </x:c>
      <x:c r="U1513" t="n">
        <x:v>28</x:v>
      </x:c>
      <x:c r="V1513" t="n">
        <x:v>75</x:v>
      </x:c>
      <x:c r="W1513" t="n">
        <x:v>0</x:v>
      </x:c>
      <x:c r="X1513" t="str">
        <x:v>VALUE: [[10d12]] PO 28 PO 75 PA</x:v>
      </x:c>
    </x:row>
    <x:row r="1514">
      <x:c r="P1514" t="str">
        <x:v>17|Élémentaire|Rare</x:v>
      </x:c>
      <x:c r="Q1514" t="n">
        <x:v>1562500</x:v>
      </x:c>
      <x:c r="R1514" t="str">
        <x:v>10d20</x:v>
      </x:c>
      <x:c r="S1514" t="str">
        <x:v>PO</x:v>
      </x:c>
      <x:c r="T1514" t="n">
        <x:v>0</x:v>
      </x:c>
      <x:c r="U1514" t="n">
        <x:v>51</x:v>
      </x:c>
      <x:c r="V1514" t="n">
        <x:v>25</x:v>
      </x:c>
      <x:c r="W1514" t="n">
        <x:v>0</x:v>
      </x:c>
      <x:c r="X1514" t="str">
        <x:v>VALUE: [[10d20]] PO 51 PO 25 PA</x:v>
      </x:c>
    </x:row>
    <x:row r="1515">
      <x:c r="P1515" t="str">
        <x:v>17|Élémentaire|Précieuse</x:v>
      </x:c>
      <x:c r="Q1515" t="n">
        <x:v>2500000</x:v>
      </x:c>
      <x:c r="R1515" t="str">
        <x:v>10d20</x:v>
      </x:c>
      <x:c r="S1515" t="str">
        <x:v>PO</x:v>
      </x:c>
      <x:c r="T1515" t="n">
        <x:v>1</x:v>
      </x:c>
      <x:c r="U1515" t="n">
        <x:v>45</x:v>
      </x:c>
      <x:c r="V1515" t="n">
        <x:v>0</x:v>
      </x:c>
      <x:c r="W1515" t="n">
        <x:v>0</x:v>
      </x:c>
      <x:c r="X1515" t="str">
        <x:v>VALUE: [[10d20]] PO 1 PP 45 PO</x:v>
      </x:c>
    </x:row>
    <x:row r="1516">
      <x:c r="P1516" t="str">
        <x:v>17|Élémentaire|Exceptionnelle</x:v>
      </x:c>
      <x:c r="Q1516" t="n">
        <x:v>4375000</x:v>
      </x:c>
      <x:c r="R1516" t="str">
        <x:v>1d6</x:v>
      </x:c>
      <x:c r="S1516" t="str">
        <x:v>PP</x:v>
      </x:c>
      <x:c r="T1516" t="n">
        <x:v>0</x:v>
      </x:c>
      <x:c r="U1516" t="n">
        <x:v>87</x:v>
      </x:c>
      <x:c r="V1516" t="n">
        <x:v>50</x:v>
      </x:c>
      <x:c r="W1516" t="n">
        <x:v>0</x:v>
      </x:c>
      <x:c r="X1516" t="str">
        <x:v>VALUE: [[1d6]] PP 87 PO 50 PA</x:v>
      </x:c>
    </x:row>
    <x:row r="1517">
      <x:c r="P1517" t="str">
        <x:v>17|Esprit|Commune</x:v>
      </x:c>
      <x:c r="Q1517" t="n">
        <x:v>625000</x:v>
      </x:c>
      <x:c r="R1517" t="str">
        <x:v>8d10</x:v>
      </x:c>
      <x:c r="S1517" t="str">
        <x:v>PO</x:v>
      </x:c>
      <x:c r="T1517" t="n">
        <x:v>0</x:v>
      </x:c>
      <x:c r="U1517" t="n">
        <x:v>18</x:v>
      </x:c>
      <x:c r="V1517" t="n">
        <x:v>50</x:v>
      </x:c>
      <x:c r="W1517" t="n">
        <x:v>0</x:v>
      </x:c>
      <x:c r="X1517" t="str">
        <x:v>VALUE: [[8d10]] PO 18 PO 50 PA</x:v>
      </x:c>
    </x:row>
    <x:row r="1518">
      <x:c r="P1518" t="str">
        <x:v>17|Esprit|Peu commune</x:v>
      </x:c>
      <x:c r="Q1518" t="n">
        <x:v>937500</x:v>
      </x:c>
      <x:c r="R1518" t="str">
        <x:v>10d12</x:v>
      </x:c>
      <x:c r="S1518" t="str">
        <x:v>PO</x:v>
      </x:c>
      <x:c r="T1518" t="n">
        <x:v>0</x:v>
      </x:c>
      <x:c r="U1518" t="n">
        <x:v>28</x:v>
      </x:c>
      <x:c r="V1518" t="n">
        <x:v>75</x:v>
      </x:c>
      <x:c r="W1518" t="n">
        <x:v>0</x:v>
      </x:c>
      <x:c r="X1518" t="str">
        <x:v>VALUE: [[10d12]] PO 28 PO 75 PA</x:v>
      </x:c>
    </x:row>
    <x:row r="1519">
      <x:c r="P1519" t="str">
        <x:v>17|Esprit|Rare</x:v>
      </x:c>
      <x:c r="Q1519" t="n">
        <x:v>1562500</x:v>
      </x:c>
      <x:c r="R1519" t="str">
        <x:v>10d20</x:v>
      </x:c>
      <x:c r="S1519" t="str">
        <x:v>PO</x:v>
      </x:c>
      <x:c r="T1519" t="n">
        <x:v>0</x:v>
      </x:c>
      <x:c r="U1519" t="n">
        <x:v>51</x:v>
      </x:c>
      <x:c r="V1519" t="n">
        <x:v>25</x:v>
      </x:c>
      <x:c r="W1519" t="n">
        <x:v>0</x:v>
      </x:c>
      <x:c r="X1519" t="str">
        <x:v>VALUE: [[10d20]] PO 51 PO 25 PA</x:v>
      </x:c>
    </x:row>
    <x:row r="1520">
      <x:c r="P1520" t="str">
        <x:v>17|Esprit|Précieuse</x:v>
      </x:c>
      <x:c r="Q1520" t="n">
        <x:v>2500000</x:v>
      </x:c>
      <x:c r="R1520" t="str">
        <x:v>10d20</x:v>
      </x:c>
      <x:c r="S1520" t="str">
        <x:v>PO</x:v>
      </x:c>
      <x:c r="T1520" t="n">
        <x:v>1</x:v>
      </x:c>
      <x:c r="U1520" t="n">
        <x:v>45</x:v>
      </x:c>
      <x:c r="V1520" t="n">
        <x:v>0</x:v>
      </x:c>
      <x:c r="W1520" t="n">
        <x:v>0</x:v>
      </x:c>
      <x:c r="X1520" t="str">
        <x:v>VALUE: [[10d20]] PO 1 PP 45 PO</x:v>
      </x:c>
    </x:row>
    <x:row r="1521">
      <x:c r="P1521" t="str">
        <x:v>17|Esprit|Exceptionnelle</x:v>
      </x:c>
      <x:c r="Q1521" t="n">
        <x:v>4375000</x:v>
      </x:c>
      <x:c r="R1521" t="str">
        <x:v>1d6</x:v>
      </x:c>
      <x:c r="S1521" t="str">
        <x:v>PP</x:v>
      </x:c>
      <x:c r="T1521" t="n">
        <x:v>0</x:v>
      </x:c>
      <x:c r="U1521" t="n">
        <x:v>87</x:v>
      </x:c>
      <x:c r="V1521" t="n">
        <x:v>50</x:v>
      </x:c>
      <x:c r="W1521" t="n">
        <x:v>0</x:v>
      </x:c>
      <x:c r="X1521" t="str">
        <x:v>VALUE: [[1d6]] PP 87 PO 50 PA</x:v>
      </x:c>
    </x:row>
    <x:row r="1522">
      <x:c r="P1522" t="str">
        <x:v>17|Céleste|Commune</x:v>
      </x:c>
      <x:c r="Q1522" t="n">
        <x:v>750000</x:v>
      </x:c>
      <x:c r="R1522" t="str">
        <x:v>5d20</x:v>
      </x:c>
      <x:c r="S1522" t="str">
        <x:v>PO</x:v>
      </x:c>
      <x:c r="T1522" t="n">
        <x:v>0</x:v>
      </x:c>
      <x:c r="U1522" t="n">
        <x:v>22</x:v>
      </x:c>
      <x:c r="V1522" t="n">
        <x:v>50</x:v>
      </x:c>
      <x:c r="W1522" t="n">
        <x:v>0</x:v>
      </x:c>
      <x:c r="X1522" t="str">
        <x:v>VALUE: [[5d20]] PO 22 PO 50 PA</x:v>
      </x:c>
    </x:row>
    <x:row r="1523">
      <x:c r="P1523" t="str">
        <x:v>17|Céleste|Peu commune</x:v>
      </x:c>
      <x:c r="Q1523" t="n">
        <x:v>1125000</x:v>
      </x:c>
      <x:c r="R1523" t="str">
        <x:v>7d20</x:v>
      </x:c>
      <x:c r="S1523" t="str">
        <x:v>PO</x:v>
      </x:c>
      <x:c r="T1523" t="n">
        <x:v>0</x:v>
      </x:c>
      <x:c r="U1523" t="n">
        <x:v>39</x:v>
      </x:c>
      <x:c r="V1523" t="n">
        <x:v>0</x:v>
      </x:c>
      <x:c r="W1523" t="n">
        <x:v>0</x:v>
      </x:c>
      <x:c r="X1523" t="str">
        <x:v>VALUE: [[7d20]] PO 39 PO</x:v>
      </x:c>
    </x:row>
    <x:row r="1524">
      <x:c r="P1524" t="str">
        <x:v>17|Céleste|Rare</x:v>
      </x:c>
      <x:c r="Q1524" t="n">
        <x:v>1875000</x:v>
      </x:c>
      <x:c r="R1524" t="str">
        <x:v>10d20</x:v>
      </x:c>
      <x:c r="S1524" t="str">
        <x:v>PO</x:v>
      </x:c>
      <x:c r="T1524" t="n">
        <x:v>0</x:v>
      </x:c>
      <x:c r="U1524" t="n">
        <x:v>82</x:v>
      </x:c>
      <x:c r="V1524" t="n">
        <x:v>50</x:v>
      </x:c>
      <x:c r="W1524" t="n">
        <x:v>0</x:v>
      </x:c>
      <x:c r="X1524" t="str">
        <x:v>VALUE: [[10d20]] PO 82 PO 50 PA</x:v>
      </x:c>
    </x:row>
    <x:row r="1525">
      <x:c r="P1525" t="str">
        <x:v>17|Céleste|Précieuse</x:v>
      </x:c>
      <x:c r="Q1525" t="n">
        <x:v>3000000</x:v>
      </x:c>
      <x:c r="R1525" t="str">
        <x:v>1d4</x:v>
      </x:c>
      <x:c r="S1525" t="str">
        <x:v>PP</x:v>
      </x:c>
      <x:c r="T1525" t="n">
        <x:v>0</x:v>
      </x:c>
      <x:c r="U1525" t="n">
        <x:v>50</x:v>
      </x:c>
      <x:c r="V1525" t="n">
        <x:v>0</x:v>
      </x:c>
      <x:c r="W1525" t="n">
        <x:v>0</x:v>
      </x:c>
      <x:c r="X1525" t="str">
        <x:v>VALUE: [[1d4]] PP 50 PO</x:v>
      </x:c>
    </x:row>
    <x:row r="1526">
      <x:c r="P1526" t="str">
        <x:v>17|Céleste|Exceptionnelle</x:v>
      </x:c>
      <x:c r="Q1526" t="n">
        <x:v>5250000</x:v>
      </x:c>
      <x:c r="R1526" t="str">
        <x:v>1d6</x:v>
      </x:c>
      <x:c r="S1526" t="str">
        <x:v>PP</x:v>
      </x:c>
      <x:c r="T1526" t="n">
        <x:v>1</x:v>
      </x:c>
      <x:c r="U1526" t="n">
        <x:v>75</x:v>
      </x:c>
      <x:c r="V1526" t="n">
        <x:v>0</x:v>
      </x:c>
      <x:c r="W1526" t="n">
        <x:v>0</x:v>
      </x:c>
      <x:c r="X1526" t="str">
        <x:v>VALUE: [[1d6]] PP 1 PP 75 PO</x:v>
      </x:c>
    </x:row>
    <x:row r="1527">
      <x:c r="P1527" t="str">
        <x:v>17|Dragon|Commune</x:v>
      </x:c>
      <x:c r="Q1527" t="n">
        <x:v>1250000</x:v>
      </x:c>
      <x:c r="R1527" t="str">
        <x:v>8d20</x:v>
      </x:c>
      <x:c r="S1527" t="str">
        <x:v>PO</x:v>
      </x:c>
      <x:c r="T1527" t="n">
        <x:v>0</x:v>
      </x:c>
      <x:c r="U1527" t="n">
        <x:v>41</x:v>
      </x:c>
      <x:c r="V1527" t="n">
        <x:v>0</x:v>
      </x:c>
      <x:c r="W1527" t="n">
        <x:v>0</x:v>
      </x:c>
      <x:c r="X1527" t="str">
        <x:v>VALUE: [[8d20]] PO 41 PO</x:v>
      </x:c>
    </x:row>
    <x:row r="1528">
      <x:c r="P1528" t="str">
        <x:v>17|Dragon|Peu commune</x:v>
      </x:c>
      <x:c r="Q1528" t="n">
        <x:v>1875000</x:v>
      </x:c>
      <x:c r="R1528" t="str">
        <x:v>10d20</x:v>
      </x:c>
      <x:c r="S1528" t="str">
        <x:v>PO</x:v>
      </x:c>
      <x:c r="T1528" t="n">
        <x:v>0</x:v>
      </x:c>
      <x:c r="U1528" t="n">
        <x:v>82</x:v>
      </x:c>
      <x:c r="V1528" t="n">
        <x:v>50</x:v>
      </x:c>
      <x:c r="W1528" t="n">
        <x:v>0</x:v>
      </x:c>
      <x:c r="X1528" t="str">
        <x:v>VALUE: [[10d20]] PO 82 PO 50 PA</x:v>
      </x:c>
    </x:row>
    <x:row r="1529">
      <x:c r="P1529" t="str">
        <x:v>17|Dragon|Rare</x:v>
      </x:c>
      <x:c r="Q1529" t="n">
        <x:v>3125000</x:v>
      </x:c>
      <x:c r="R1529" t="str">
        <x:v>1d4</x:v>
      </x:c>
      <x:c r="S1529" t="str">
        <x:v>PP</x:v>
      </x:c>
      <x:c r="T1529" t="n">
        <x:v>0</x:v>
      </x:c>
      <x:c r="U1529" t="n">
        <x:v>62</x:v>
      </x:c>
      <x:c r="V1529" t="n">
        <x:v>50</x:v>
      </x:c>
      <x:c r="W1529" t="n">
        <x:v>0</x:v>
      </x:c>
      <x:c r="X1529" t="str">
        <x:v>VALUE: [[1d4]] PP 62 PO 50 PA</x:v>
      </x:c>
    </x:row>
    <x:row r="1530">
      <x:c r="P1530" t="str">
        <x:v>17|Dragon|Précieuse</x:v>
      </x:c>
      <x:c r="Q1530" t="n">
        <x:v>5000000</x:v>
      </x:c>
      <x:c r="R1530" t="str">
        <x:v>1d6</x:v>
      </x:c>
      <x:c r="S1530" t="str">
        <x:v>PP</x:v>
      </x:c>
      <x:c r="T1530" t="n">
        <x:v>1</x:v>
      </x:c>
      <x:c r="U1530" t="n">
        <x:v>50</x:v>
      </x:c>
      <x:c r="V1530" t="n">
        <x:v>0</x:v>
      </x:c>
      <x:c r="W1530" t="n">
        <x:v>0</x:v>
      </x:c>
      <x:c r="X1530" t="str">
        <x:v>VALUE: [[1d6]] PP 1 PP 50 PO</x:v>
      </x:c>
    </x:row>
    <x:row r="1531">
      <x:c r="P1531" t="str">
        <x:v>17|Dragon|Exceptionnelle</x:v>
      </x:c>
      <x:c r="Q1531" t="n">
        <x:v>8750000</x:v>
      </x:c>
      <x:c r="R1531" t="str">
        <x:v>1d12</x:v>
      </x:c>
      <x:c r="S1531" t="str">
        <x:v>PP</x:v>
      </x:c>
      <x:c r="T1531" t="n">
        <x:v>2</x:v>
      </x:c>
      <x:c r="U1531" t="n">
        <x:v>25</x:v>
      </x:c>
      <x:c r="V1531" t="n">
        <x:v>0</x:v>
      </x:c>
      <x:c r="W1531" t="n">
        <x:v>0</x:v>
      </x:c>
      <x:c r="X1531" t="str">
        <x:v>VALUE: [[1d12]] PP 2 PP 25 PO</x:v>
      </x:c>
    </x:row>
    <x:row r="1532">
      <x:c r="P1532" t="str">
        <x:v>18|Vermine|Commune</x:v>
      </x:c>
      <x:c r="Q1532" t="n">
        <x:v>157500</x:v>
      </x:c>
      <x:c r="R1532" t="str">
        <x:v>2d10</x:v>
      </x:c>
      <x:c r="S1532" t="str">
        <x:v>PO</x:v>
      </x:c>
      <x:c r="T1532" t="n">
        <x:v>0</x:v>
      </x:c>
      <x:c r="U1532" t="n">
        <x:v>4</x:v>
      </x:c>
      <x:c r="V1532" t="n">
        <x:v>75</x:v>
      </x:c>
      <x:c r="W1532" t="n">
        <x:v>0</x:v>
      </x:c>
      <x:c r="X1532" t="str">
        <x:v>VALUE: [[2d10]] PO 4 PO 75 PA</x:v>
      </x:c>
    </x:row>
    <x:row r="1533">
      <x:c r="P1533" t="str">
        <x:v>18|Vermine|Peu commune</x:v>
      </x:c>
      <x:c r="Q1533" t="n">
        <x:v>236250</x:v>
      </x:c>
      <x:c r="R1533" t="str">
        <x:v>3d10</x:v>
      </x:c>
      <x:c r="S1533" t="str">
        <x:v>PO</x:v>
      </x:c>
      <x:c r="T1533" t="n">
        <x:v>0</x:v>
      </x:c>
      <x:c r="U1533" t="n">
        <x:v>7</x:v>
      </x:c>
      <x:c r="V1533" t="n">
        <x:v>12</x:v>
      </x:c>
      <x:c r="W1533" t="n">
        <x:v>50</x:v>
      </x:c>
      <x:c r="X1533" t="str">
        <x:v>VALUE: [[3d10]] PO 7 PO 12 PA 50 PC</x:v>
      </x:c>
    </x:row>
    <x:row r="1534">
      <x:c r="P1534" t="str">
        <x:v>18|Vermine|Rare</x:v>
      </x:c>
      <x:c r="Q1534" t="n">
        <x:v>393750</x:v>
      </x:c>
      <x:c r="R1534" t="str">
        <x:v>5d10</x:v>
      </x:c>
      <x:c r="S1534" t="str">
        <x:v>PO</x:v>
      </x:c>
      <x:c r="T1534" t="n">
        <x:v>0</x:v>
      </x:c>
      <x:c r="U1534" t="n">
        <x:v>11</x:v>
      </x:c>
      <x:c r="V1534" t="n">
        <x:v>87</x:v>
      </x:c>
      <x:c r="W1534" t="n">
        <x:v>50</x:v>
      </x:c>
      <x:c r="X1534" t="str">
        <x:v>VALUE: [[5d10]] PO 11 PO 87 PA 50 PC</x:v>
      </x:c>
    </x:row>
    <x:row r="1535">
      <x:c r="P1535" t="str">
        <x:v>18|Vermine|Précieuse</x:v>
      </x:c>
      <x:c r="Q1535" t="n">
        <x:v>630000</x:v>
      </x:c>
      <x:c r="R1535" t="str">
        <x:v>8d10</x:v>
      </x:c>
      <x:c r="S1535" t="str">
        <x:v>PO</x:v>
      </x:c>
      <x:c r="T1535" t="n">
        <x:v>0</x:v>
      </x:c>
      <x:c r="U1535" t="n">
        <x:v>19</x:v>
      </x:c>
      <x:c r="V1535" t="n">
        <x:v>0</x:v>
      </x:c>
      <x:c r="W1535" t="n">
        <x:v>0</x:v>
      </x:c>
      <x:c r="X1535" t="str">
        <x:v>VALUE: [[8d10]] PO 19 PO</x:v>
      </x:c>
    </x:row>
    <x:row r="1536">
      <x:c r="P1536" t="str">
        <x:v>18|Vermine|Exceptionnelle</x:v>
      </x:c>
      <x:c r="Q1536" t="n">
        <x:v>1102500</x:v>
      </x:c>
      <x:c r="R1536" t="str">
        <x:v>7d20</x:v>
      </x:c>
      <x:c r="S1536" t="str">
        <x:v>PO</x:v>
      </x:c>
      <x:c r="T1536" t="n">
        <x:v>0</x:v>
      </x:c>
      <x:c r="U1536" t="n">
        <x:v>36</x:v>
      </x:c>
      <x:c r="V1536" t="n">
        <x:v>75</x:v>
      </x:c>
      <x:c r="W1536" t="n">
        <x:v>0</x:v>
      </x:c>
      <x:c r="X1536" t="str">
        <x:v>VALUE: [[7d20]] PO 36 PO 75 PA</x:v>
      </x:c>
    </x:row>
    <x:row r="1537">
      <x:c r="P1537" t="str">
        <x:v>18|Bête|Commune</x:v>
      </x:c>
      <x:c r="Q1537" t="n">
        <x:v>270000</x:v>
      </x:c>
      <x:c r="R1537" t="str">
        <x:v>3d12</x:v>
      </x:c>
      <x:c r="S1537" t="str">
        <x:v>PO</x:v>
      </x:c>
      <x:c r="T1537" t="n">
        <x:v>0</x:v>
      </x:c>
      <x:c r="U1537" t="n">
        <x:v>7</x:v>
      </x:c>
      <x:c r="V1537" t="n">
        <x:v>50</x:v>
      </x:c>
      <x:c r="W1537" t="n">
        <x:v>0</x:v>
      </x:c>
      <x:c r="X1537" t="str">
        <x:v>VALUE: [[3d12]] PO 7 PO 50 PA</x:v>
      </x:c>
    </x:row>
    <x:row r="1538">
      <x:c r="P1538" t="str">
        <x:v>18|Bête|Peu commune</x:v>
      </x:c>
      <x:c r="Q1538" t="n">
        <x:v>405000</x:v>
      </x:c>
      <x:c r="R1538" t="str">
        <x:v>8d6</x:v>
      </x:c>
      <x:c r="S1538" t="str">
        <x:v>PO</x:v>
      </x:c>
      <x:c r="T1538" t="n">
        <x:v>0</x:v>
      </x:c>
      <x:c r="U1538" t="n">
        <x:v>12</x:v>
      </x:c>
      <x:c r="V1538" t="n">
        <x:v>50</x:v>
      </x:c>
      <x:c r="W1538" t="n">
        <x:v>0</x:v>
      </x:c>
      <x:c r="X1538" t="str">
        <x:v>VALUE: [[8d6]] PO 12 PO 50 PA</x:v>
      </x:c>
    </x:row>
    <x:row r="1539">
      <x:c r="P1539" t="str">
        <x:v>18|Bête|Rare</x:v>
      </x:c>
      <x:c r="Q1539" t="n">
        <x:v>675000</x:v>
      </x:c>
      <x:c r="R1539" t="str">
        <x:v>7d12</x:v>
      </x:c>
      <x:c r="S1539" t="str">
        <x:v>PO</x:v>
      </x:c>
      <x:c r="T1539" t="n">
        <x:v>0</x:v>
      </x:c>
      <x:c r="U1539" t="n">
        <x:v>22</x:v>
      </x:c>
      <x:c r="V1539" t="n">
        <x:v>0</x:v>
      </x:c>
      <x:c r="W1539" t="n">
        <x:v>0</x:v>
      </x:c>
      <x:c r="X1539" t="str">
        <x:v>VALUE: [[7d12]] PO 22 PO</x:v>
      </x:c>
    </x:row>
    <x:row r="1540">
      <x:c r="P1540" t="str">
        <x:v>18|Bête|Précieuse</x:v>
      </x:c>
      <x:c r="Q1540" t="n">
        <x:v>1080000</x:v>
      </x:c>
      <x:c r="R1540" t="str">
        <x:v>7d20</x:v>
      </x:c>
      <x:c r="S1540" t="str">
        <x:v>PO</x:v>
      </x:c>
      <x:c r="T1540" t="n">
        <x:v>0</x:v>
      </x:c>
      <x:c r="U1540" t="n">
        <x:v>34</x:v>
      </x:c>
      <x:c r="V1540" t="n">
        <x:v>50</x:v>
      </x:c>
      <x:c r="W1540" t="n">
        <x:v>0</x:v>
      </x:c>
      <x:c r="X1540" t="str">
        <x:v>VALUE: [[7d20]] PO 34 PO 50 PA</x:v>
      </x:c>
    </x:row>
    <x:row r="1541">
      <x:c r="P1541" t="str">
        <x:v>18|Bête|Exceptionnelle</x:v>
      </x:c>
      <x:c r="Q1541" t="n">
        <x:v>1890000</x:v>
      </x:c>
      <x:c r="R1541" t="str">
        <x:v>10d20</x:v>
      </x:c>
      <x:c r="S1541" t="str">
        <x:v>PO</x:v>
      </x:c>
      <x:c r="T1541" t="n">
        <x:v>0</x:v>
      </x:c>
      <x:c r="U1541" t="n">
        <x:v>84</x:v>
      </x:c>
      <x:c r="V1541" t="n">
        <x:v>0</x:v>
      </x:c>
      <x:c r="W1541" t="n">
        <x:v>0</x:v>
      </x:c>
      <x:c r="X1541" t="str">
        <x:v>VALUE: [[10d20]] PO 84 PO</x:v>
      </x:c>
    </x:row>
    <x:row r="1542">
      <x:c r="P1542" t="str">
        <x:v>18|Aquatique|Commune</x:v>
      </x:c>
      <x:c r="Q1542" t="n">
        <x:v>315000</x:v>
      </x:c>
      <x:c r="R1542" t="str">
        <x:v>4d10</x:v>
      </x:c>
      <x:c r="S1542" t="str">
        <x:v>PO</x:v>
      </x:c>
      <x:c r="T1542" t="n">
        <x:v>0</x:v>
      </x:c>
      <x:c r="U1542" t="n">
        <x:v>9</x:v>
      </x:c>
      <x:c r="V1542" t="n">
        <x:v>50</x:v>
      </x:c>
      <x:c r="W1542" t="n">
        <x:v>0</x:v>
      </x:c>
      <x:c r="X1542" t="str">
        <x:v>VALUE: [[4d10]] PO 9 PO 50 PA</x:v>
      </x:c>
    </x:row>
    <x:row r="1543">
      <x:c r="P1543" t="str">
        <x:v>18|Aquatique|Peu commune</x:v>
      </x:c>
      <x:c r="Q1543" t="n">
        <x:v>472500</x:v>
      </x:c>
      <x:c r="R1543" t="str">
        <x:v>6d10</x:v>
      </x:c>
      <x:c r="S1543" t="str">
        <x:v>PO</x:v>
      </x:c>
      <x:c r="T1543" t="n">
        <x:v>0</x:v>
      </x:c>
      <x:c r="U1543" t="n">
        <x:v>14</x:v>
      </x:c>
      <x:c r="V1543" t="n">
        <x:v>25</x:v>
      </x:c>
      <x:c r="W1543" t="n">
        <x:v>0</x:v>
      </x:c>
      <x:c r="X1543" t="str">
        <x:v>VALUE: [[6d10]] PO 14 PO 25 PA</x:v>
      </x:c>
    </x:row>
    <x:row r="1544">
      <x:c r="P1544" t="str">
        <x:v>18|Aquatique|Rare</x:v>
      </x:c>
      <x:c r="Q1544" t="n">
        <x:v>787500</x:v>
      </x:c>
      <x:c r="R1544" t="str">
        <x:v>10d10</x:v>
      </x:c>
      <x:c r="S1544" t="str">
        <x:v>PO</x:v>
      </x:c>
      <x:c r="T1544" t="n">
        <x:v>0</x:v>
      </x:c>
      <x:c r="U1544" t="n">
        <x:v>23</x:v>
      </x:c>
      <x:c r="V1544" t="n">
        <x:v>75</x:v>
      </x:c>
      <x:c r="W1544" t="n">
        <x:v>0</x:v>
      </x:c>
      <x:c r="X1544" t="str">
        <x:v>VALUE: [[10d10]] PO 23 PO 75 PA</x:v>
      </x:c>
    </x:row>
    <x:row r="1545">
      <x:c r="P1545" t="str">
        <x:v>18|Aquatique|Précieuse</x:v>
      </x:c>
      <x:c r="Q1545" t="n">
        <x:v>1260000</x:v>
      </x:c>
      <x:c r="R1545" t="str">
        <x:v>8d20</x:v>
      </x:c>
      <x:c r="S1545" t="str">
        <x:v>PO</x:v>
      </x:c>
      <x:c r="T1545" t="n">
        <x:v>0</x:v>
      </x:c>
      <x:c r="U1545" t="n">
        <x:v>42</x:v>
      </x:c>
      <x:c r="V1545" t="n">
        <x:v>0</x:v>
      </x:c>
      <x:c r="W1545" t="n">
        <x:v>0</x:v>
      </x:c>
      <x:c r="X1545" t="str">
        <x:v>VALUE: [[8d20]] PO 42 PO</x:v>
      </x:c>
    </x:row>
    <x:row r="1546">
      <x:c r="P1546" t="str">
        <x:v>18|Aquatique|Exceptionnelle</x:v>
      </x:c>
      <x:c r="Q1546" t="n">
        <x:v>2205000</x:v>
      </x:c>
      <x:c r="R1546" t="str">
        <x:v>10d20</x:v>
      </x:c>
      <x:c r="S1546" t="str">
        <x:v>PO</x:v>
      </x:c>
      <x:c r="T1546" t="n">
        <x:v>1</x:v>
      </x:c>
      <x:c r="U1546" t="n">
        <x:v>15</x:v>
      </x:c>
      <x:c r="V1546" t="n">
        <x:v>50</x:v>
      </x:c>
      <x:c r="W1546" t="n">
        <x:v>0</x:v>
      </x:c>
      <x:c r="X1546" t="str">
        <x:v>VALUE: [[10d20]] PO 1 PP 15 PO 50 PA</x:v>
      </x:c>
    </x:row>
    <x:row r="1547">
      <x:c r="P1547" t="str">
        <x:v>18|Plante|Commune</x:v>
      </x:c>
      <x:c r="Q1547" t="n">
        <x:v>360000</x:v>
      </x:c>
      <x:c r="R1547" t="str">
        <x:v>10d4</x:v>
      </x:c>
      <x:c r="S1547" t="str">
        <x:v>PO</x:v>
      </x:c>
      <x:c r="T1547" t="n">
        <x:v>0</x:v>
      </x:c>
      <x:c r="U1547" t="n">
        <x:v>11</x:v>
      </x:c>
      <x:c r="V1547" t="n">
        <x:v>0</x:v>
      </x:c>
      <x:c r="W1547" t="n">
        <x:v>0</x:v>
      </x:c>
      <x:c r="X1547" t="str">
        <x:v>VALUE: [[10d4]] PO 11 PO</x:v>
      </x:c>
    </x:row>
    <x:row r="1548">
      <x:c r="P1548" t="str">
        <x:v>18|Plante|Peu commune</x:v>
      </x:c>
      <x:c r="Q1548" t="n">
        <x:v>540000</x:v>
      </x:c>
      <x:c r="R1548" t="str">
        <x:v>7d10</x:v>
      </x:c>
      <x:c r="S1548" t="str">
        <x:v>PO</x:v>
      </x:c>
      <x:c r="T1548" t="n">
        <x:v>0</x:v>
      </x:c>
      <x:c r="U1548" t="n">
        <x:v>15</x:v>
      </x:c>
      <x:c r="V1548" t="n">
        <x:v>50</x:v>
      </x:c>
      <x:c r="W1548" t="n">
        <x:v>0</x:v>
      </x:c>
      <x:c r="X1548" t="str">
        <x:v>VALUE: [[7d10]] PO 15 PO 50 PA</x:v>
      </x:c>
    </x:row>
    <x:row r="1549">
      <x:c r="P1549" t="str">
        <x:v>18|Plante|Rare</x:v>
      </x:c>
      <x:c r="Q1549" t="n">
        <x:v>900000</x:v>
      </x:c>
      <x:c r="R1549" t="str">
        <x:v>6d20</x:v>
      </x:c>
      <x:c r="S1549" t="str">
        <x:v>PO</x:v>
      </x:c>
      <x:c r="T1549" t="n">
        <x:v>0</x:v>
      </x:c>
      <x:c r="U1549" t="n">
        <x:v>27</x:v>
      </x:c>
      <x:c r="V1549" t="n">
        <x:v>0</x:v>
      </x:c>
      <x:c r="W1549" t="n">
        <x:v>0</x:v>
      </x:c>
      <x:c r="X1549" t="str">
        <x:v>VALUE: [[6d20]] PO 27 PO</x:v>
      </x:c>
    </x:row>
    <x:row r="1550">
      <x:c r="P1550" t="str">
        <x:v>18|Plante|Précieuse</x:v>
      </x:c>
      <x:c r="Q1550" t="n">
        <x:v>1440000</x:v>
      </x:c>
      <x:c r="R1550" t="str">
        <x:v>10d20</x:v>
      </x:c>
      <x:c r="S1550" t="str">
        <x:v>PO</x:v>
      </x:c>
      <x:c r="T1550" t="n">
        <x:v>0</x:v>
      </x:c>
      <x:c r="U1550" t="n">
        <x:v>39</x:v>
      </x:c>
      <x:c r="V1550" t="n">
        <x:v>0</x:v>
      </x:c>
      <x:c r="W1550" t="n">
        <x:v>0</x:v>
      </x:c>
      <x:c r="X1550" t="str">
        <x:v>VALUE: [[10d20]] PO 39 PO</x:v>
      </x:c>
    </x:row>
    <x:row r="1551">
      <x:c r="P1551" t="str">
        <x:v>18|Plante|Exceptionnelle</x:v>
      </x:c>
      <x:c r="Q1551" t="n">
        <x:v>2520000</x:v>
      </x:c>
      <x:c r="R1551" t="str">
        <x:v>10d20</x:v>
      </x:c>
      <x:c r="S1551" t="str">
        <x:v>PO</x:v>
      </x:c>
      <x:c r="T1551" t="n">
        <x:v>1</x:v>
      </x:c>
      <x:c r="U1551" t="n">
        <x:v>47</x:v>
      </x:c>
      <x:c r="V1551" t="n">
        <x:v>0</x:v>
      </x:c>
      <x:c r="W1551" t="n">
        <x:v>0</x:v>
      </x:c>
      <x:c r="X1551" t="str">
        <x:v>VALUE: [[10d20]] PO 1 PP 47 PO</x:v>
      </x:c>
    </x:row>
    <x:row r="1552">
      <x:c r="P1552" t="str">
        <x:v>18|Humanoïde|Commune</x:v>
      </x:c>
      <x:c r="Q1552" t="n">
        <x:v>450000</x:v>
      </x:c>
      <x:c r="R1552" t="str">
        <x:v>3d20</x:v>
      </x:c>
      <x:c r="S1552" t="str">
        <x:v>PO</x:v>
      </x:c>
      <x:c r="T1552" t="n">
        <x:v>0</x:v>
      </x:c>
      <x:c r="U1552" t="n">
        <x:v>13</x:v>
      </x:c>
      <x:c r="V1552" t="n">
        <x:v>50</x:v>
      </x:c>
      <x:c r="W1552" t="n">
        <x:v>0</x:v>
      </x:c>
      <x:c r="X1552" t="str">
        <x:v>VALUE: [[3d20]] PO 13 PO 50 PA</x:v>
      </x:c>
    </x:row>
    <x:row r="1553">
      <x:c r="P1553" t="str">
        <x:v>18|Humanoïde|Peu commune</x:v>
      </x:c>
      <x:c r="Q1553" t="n">
        <x:v>675000</x:v>
      </x:c>
      <x:c r="R1553" t="str">
        <x:v>7d12</x:v>
      </x:c>
      <x:c r="S1553" t="str">
        <x:v>PO</x:v>
      </x:c>
      <x:c r="T1553" t="n">
        <x:v>0</x:v>
      </x:c>
      <x:c r="U1553" t="n">
        <x:v>22</x:v>
      </x:c>
      <x:c r="V1553" t="n">
        <x:v>0</x:v>
      </x:c>
      <x:c r="W1553" t="n">
        <x:v>0</x:v>
      </x:c>
      <x:c r="X1553" t="str">
        <x:v>VALUE: [[7d12]] PO 22 PO</x:v>
      </x:c>
    </x:row>
    <x:row r="1554">
      <x:c r="P1554" t="str">
        <x:v>18|Humanoïde|Rare</x:v>
      </x:c>
      <x:c r="Q1554" t="n">
        <x:v>1125000</x:v>
      </x:c>
      <x:c r="R1554" t="str">
        <x:v>7d20</x:v>
      </x:c>
      <x:c r="S1554" t="str">
        <x:v>PO</x:v>
      </x:c>
      <x:c r="T1554" t="n">
        <x:v>0</x:v>
      </x:c>
      <x:c r="U1554" t="n">
        <x:v>39</x:v>
      </x:c>
      <x:c r="V1554" t="n">
        <x:v>0</x:v>
      </x:c>
      <x:c r="W1554" t="n">
        <x:v>0</x:v>
      </x:c>
      <x:c r="X1554" t="str">
        <x:v>VALUE: [[7d20]] PO 39 PO</x:v>
      </x:c>
    </x:row>
    <x:row r="1555">
      <x:c r="P1555" t="str">
        <x:v>18|Humanoïde|Précieuse</x:v>
      </x:c>
      <x:c r="Q1555" t="n">
        <x:v>1800000</x:v>
      </x:c>
      <x:c r="R1555" t="str">
        <x:v>10d20</x:v>
      </x:c>
      <x:c r="S1555" t="str">
        <x:v>PO</x:v>
      </x:c>
      <x:c r="T1555" t="n">
        <x:v>0</x:v>
      </x:c>
      <x:c r="U1555" t="n">
        <x:v>75</x:v>
      </x:c>
      <x:c r="V1555" t="n">
        <x:v>0</x:v>
      </x:c>
      <x:c r="W1555" t="n">
        <x:v>0</x:v>
      </x:c>
      <x:c r="X1555" t="str">
        <x:v>VALUE: [[10d20]] PO 75 PO</x:v>
      </x:c>
    </x:row>
    <x:row r="1556">
      <x:c r="P1556" t="str">
        <x:v>18|Humanoïde|Exceptionnelle</x:v>
      </x:c>
      <x:c r="Q1556" t="n">
        <x:v>3150000</x:v>
      </x:c>
      <x:c r="R1556" t="str">
        <x:v>1d4</x:v>
      </x:c>
      <x:c r="S1556" t="str">
        <x:v>PP</x:v>
      </x:c>
      <x:c r="T1556" t="n">
        <x:v>0</x:v>
      </x:c>
      <x:c r="U1556" t="n">
        <x:v>65</x:v>
      </x:c>
      <x:c r="V1556" t="n">
        <x:v>0</x:v>
      </x:c>
      <x:c r="W1556" t="n">
        <x:v>0</x:v>
      </x:c>
      <x:c r="X1556" t="str">
        <x:v>VALUE: [[1d4]] PP 65 PO</x:v>
      </x:c>
    </x:row>
    <x:row r="1557">
      <x:c r="P1557" t="str">
        <x:v>18|Mort-vivant|Commune</x:v>
      </x:c>
      <x:c r="Q1557" t="n">
        <x:v>450000</x:v>
      </x:c>
      <x:c r="R1557" t="str">
        <x:v>3d20</x:v>
      </x:c>
      <x:c r="S1557" t="str">
        <x:v>PO</x:v>
      </x:c>
      <x:c r="T1557" t="n">
        <x:v>0</x:v>
      </x:c>
      <x:c r="U1557" t="n">
        <x:v>13</x:v>
      </x:c>
      <x:c r="V1557" t="n">
        <x:v>50</x:v>
      </x:c>
      <x:c r="W1557" t="n">
        <x:v>0</x:v>
      </x:c>
      <x:c r="X1557" t="str">
        <x:v>VALUE: [[3d20]] PO 13 PO 50 PA</x:v>
      </x:c>
    </x:row>
    <x:row r="1558">
      <x:c r="P1558" t="str">
        <x:v>18|Mort-vivant|Peu commune</x:v>
      </x:c>
      <x:c r="Q1558" t="n">
        <x:v>675000</x:v>
      </x:c>
      <x:c r="R1558" t="str">
        <x:v>7d12</x:v>
      </x:c>
      <x:c r="S1558" t="str">
        <x:v>PO</x:v>
      </x:c>
      <x:c r="T1558" t="n">
        <x:v>0</x:v>
      </x:c>
      <x:c r="U1558" t="n">
        <x:v>22</x:v>
      </x:c>
      <x:c r="V1558" t="n">
        <x:v>0</x:v>
      </x:c>
      <x:c r="W1558" t="n">
        <x:v>0</x:v>
      </x:c>
      <x:c r="X1558" t="str">
        <x:v>VALUE: [[7d12]] PO 22 PO</x:v>
      </x:c>
    </x:row>
    <x:row r="1559">
      <x:c r="P1559" t="str">
        <x:v>18|Mort-vivant|Rare</x:v>
      </x:c>
      <x:c r="Q1559" t="n">
        <x:v>1125000</x:v>
      </x:c>
      <x:c r="R1559" t="str">
        <x:v>7d20</x:v>
      </x:c>
      <x:c r="S1559" t="str">
        <x:v>PO</x:v>
      </x:c>
      <x:c r="T1559" t="n">
        <x:v>0</x:v>
      </x:c>
      <x:c r="U1559" t="n">
        <x:v>39</x:v>
      </x:c>
      <x:c r="V1559" t="n">
        <x:v>0</x:v>
      </x:c>
      <x:c r="W1559" t="n">
        <x:v>0</x:v>
      </x:c>
      <x:c r="X1559" t="str">
        <x:v>VALUE: [[7d20]] PO 39 PO</x:v>
      </x:c>
    </x:row>
    <x:row r="1560">
      <x:c r="P1560" t="str">
        <x:v>18|Mort-vivant|Précieuse</x:v>
      </x:c>
      <x:c r="Q1560" t="n">
        <x:v>1800000</x:v>
      </x:c>
      <x:c r="R1560" t="str">
        <x:v>10d20</x:v>
      </x:c>
      <x:c r="S1560" t="str">
        <x:v>PO</x:v>
      </x:c>
      <x:c r="T1560" t="n">
        <x:v>0</x:v>
      </x:c>
      <x:c r="U1560" t="n">
        <x:v>75</x:v>
      </x:c>
      <x:c r="V1560" t="n">
        <x:v>0</x:v>
      </x:c>
      <x:c r="W1560" t="n">
        <x:v>0</x:v>
      </x:c>
      <x:c r="X1560" t="str">
        <x:v>VALUE: [[10d20]] PO 75 PO</x:v>
      </x:c>
    </x:row>
    <x:row r="1561">
      <x:c r="P1561" t="str">
        <x:v>18|Mort-vivant|Exceptionnelle</x:v>
      </x:c>
      <x:c r="Q1561" t="n">
        <x:v>3150000</x:v>
      </x:c>
      <x:c r="R1561" t="str">
        <x:v>1d4</x:v>
      </x:c>
      <x:c r="S1561" t="str">
        <x:v>PP</x:v>
      </x:c>
      <x:c r="T1561" t="n">
        <x:v>0</x:v>
      </x:c>
      <x:c r="U1561" t="n">
        <x:v>65</x:v>
      </x:c>
      <x:c r="V1561" t="n">
        <x:v>0</x:v>
      </x:c>
      <x:c r="W1561" t="n">
        <x:v>0</x:v>
      </x:c>
      <x:c r="X1561" t="str">
        <x:v>VALUE: [[1d4]] PP 65 PO</x:v>
      </x:c>
    </x:row>
    <x:row r="1562">
      <x:c r="P1562" t="str">
        <x:v>18|Monstre|Commune</x:v>
      </x:c>
      <x:c r="Q1562" t="n">
        <x:v>450000</x:v>
      </x:c>
      <x:c r="R1562" t="str">
        <x:v>3d20</x:v>
      </x:c>
      <x:c r="S1562" t="str">
        <x:v>PO</x:v>
      </x:c>
      <x:c r="T1562" t="n">
        <x:v>0</x:v>
      </x:c>
      <x:c r="U1562" t="n">
        <x:v>13</x:v>
      </x:c>
      <x:c r="V1562" t="n">
        <x:v>50</x:v>
      </x:c>
      <x:c r="W1562" t="n">
        <x:v>0</x:v>
      </x:c>
      <x:c r="X1562" t="str">
        <x:v>VALUE: [[3d20]] PO 13 PO 50 PA</x:v>
      </x:c>
    </x:row>
    <x:row r="1563">
      <x:c r="P1563" t="str">
        <x:v>18|Monstre|Peu commune</x:v>
      </x:c>
      <x:c r="Q1563" t="n">
        <x:v>675000</x:v>
      </x:c>
      <x:c r="R1563" t="str">
        <x:v>7d12</x:v>
      </x:c>
      <x:c r="S1563" t="str">
        <x:v>PO</x:v>
      </x:c>
      <x:c r="T1563" t="n">
        <x:v>0</x:v>
      </x:c>
      <x:c r="U1563" t="n">
        <x:v>22</x:v>
      </x:c>
      <x:c r="V1563" t="n">
        <x:v>0</x:v>
      </x:c>
      <x:c r="W1563" t="n">
        <x:v>0</x:v>
      </x:c>
      <x:c r="X1563" t="str">
        <x:v>VALUE: [[7d12]] PO 22 PO</x:v>
      </x:c>
    </x:row>
    <x:row r="1564">
      <x:c r="P1564" t="str">
        <x:v>18|Monstre|Rare</x:v>
      </x:c>
      <x:c r="Q1564" t="n">
        <x:v>1125000</x:v>
      </x:c>
      <x:c r="R1564" t="str">
        <x:v>7d20</x:v>
      </x:c>
      <x:c r="S1564" t="str">
        <x:v>PO</x:v>
      </x:c>
      <x:c r="T1564" t="n">
        <x:v>0</x:v>
      </x:c>
      <x:c r="U1564" t="n">
        <x:v>39</x:v>
      </x:c>
      <x:c r="V1564" t="n">
        <x:v>0</x:v>
      </x:c>
      <x:c r="W1564" t="n">
        <x:v>0</x:v>
      </x:c>
      <x:c r="X1564" t="str">
        <x:v>VALUE: [[7d20]] PO 39 PO</x:v>
      </x:c>
    </x:row>
    <x:row r="1565">
      <x:c r="P1565" t="str">
        <x:v>18|Monstre|Précieuse</x:v>
      </x:c>
      <x:c r="Q1565" t="n">
        <x:v>1800000</x:v>
      </x:c>
      <x:c r="R1565" t="str">
        <x:v>10d20</x:v>
      </x:c>
      <x:c r="S1565" t="str">
        <x:v>PO</x:v>
      </x:c>
      <x:c r="T1565" t="n">
        <x:v>0</x:v>
      </x:c>
      <x:c r="U1565" t="n">
        <x:v>75</x:v>
      </x:c>
      <x:c r="V1565" t="n">
        <x:v>0</x:v>
      </x:c>
      <x:c r="W1565" t="n">
        <x:v>0</x:v>
      </x:c>
      <x:c r="X1565" t="str">
        <x:v>VALUE: [[10d20]] PO 75 PO</x:v>
      </x:c>
    </x:row>
    <x:row r="1566">
      <x:c r="P1566" t="str">
        <x:v>18|Monstre|Exceptionnelle</x:v>
      </x:c>
      <x:c r="Q1566" t="n">
        <x:v>3150000</x:v>
      </x:c>
      <x:c r="R1566" t="str">
        <x:v>1d4</x:v>
      </x:c>
      <x:c r="S1566" t="str">
        <x:v>PP</x:v>
      </x:c>
      <x:c r="T1566" t="n">
        <x:v>0</x:v>
      </x:c>
      <x:c r="U1566" t="n">
        <x:v>65</x:v>
      </x:c>
      <x:c r="V1566" t="n">
        <x:v>0</x:v>
      </x:c>
      <x:c r="W1566" t="n">
        <x:v>0</x:v>
      </x:c>
      <x:c r="X1566" t="str">
        <x:v>VALUE: [[1d4]] PP 65 PO</x:v>
      </x:c>
    </x:row>
    <x:row r="1567">
      <x:c r="P1567" t="str">
        <x:v>18|Vase|Commune</x:v>
      </x:c>
      <x:c r="Q1567" t="n">
        <x:v>450000</x:v>
      </x:c>
      <x:c r="R1567" t="str">
        <x:v>3d20</x:v>
      </x:c>
      <x:c r="S1567" t="str">
        <x:v>PO</x:v>
      </x:c>
      <x:c r="T1567" t="n">
        <x:v>0</x:v>
      </x:c>
      <x:c r="U1567" t="n">
        <x:v>13</x:v>
      </x:c>
      <x:c r="V1567" t="n">
        <x:v>50</x:v>
      </x:c>
      <x:c r="W1567" t="n">
        <x:v>0</x:v>
      </x:c>
      <x:c r="X1567" t="str">
        <x:v>VALUE: [[3d20]] PO 13 PO 50 PA</x:v>
      </x:c>
    </x:row>
    <x:row r="1568">
      <x:c r="P1568" t="str">
        <x:v>18|Vase|Peu commune</x:v>
      </x:c>
      <x:c r="Q1568" t="n">
        <x:v>675000</x:v>
      </x:c>
      <x:c r="R1568" t="str">
        <x:v>7d12</x:v>
      </x:c>
      <x:c r="S1568" t="str">
        <x:v>PO</x:v>
      </x:c>
      <x:c r="T1568" t="n">
        <x:v>0</x:v>
      </x:c>
      <x:c r="U1568" t="n">
        <x:v>22</x:v>
      </x:c>
      <x:c r="V1568" t="n">
        <x:v>0</x:v>
      </x:c>
      <x:c r="W1568" t="n">
        <x:v>0</x:v>
      </x:c>
      <x:c r="X1568" t="str">
        <x:v>VALUE: [[7d12]] PO 22 PO</x:v>
      </x:c>
    </x:row>
    <x:row r="1569">
      <x:c r="P1569" t="str">
        <x:v>18|Vase|Rare</x:v>
      </x:c>
      <x:c r="Q1569" t="n">
        <x:v>1125000</x:v>
      </x:c>
      <x:c r="R1569" t="str">
        <x:v>7d20</x:v>
      </x:c>
      <x:c r="S1569" t="str">
        <x:v>PO</x:v>
      </x:c>
      <x:c r="T1569" t="n">
        <x:v>0</x:v>
      </x:c>
      <x:c r="U1569" t="n">
        <x:v>39</x:v>
      </x:c>
      <x:c r="V1569" t="n">
        <x:v>0</x:v>
      </x:c>
      <x:c r="W1569" t="n">
        <x:v>0</x:v>
      </x:c>
      <x:c r="X1569" t="str">
        <x:v>VALUE: [[7d20]] PO 39 PO</x:v>
      </x:c>
    </x:row>
    <x:row r="1570">
      <x:c r="P1570" t="str">
        <x:v>18|Vase|Précieuse</x:v>
      </x:c>
      <x:c r="Q1570" t="n">
        <x:v>1800000</x:v>
      </x:c>
      <x:c r="R1570" t="str">
        <x:v>10d20</x:v>
      </x:c>
      <x:c r="S1570" t="str">
        <x:v>PO</x:v>
      </x:c>
      <x:c r="T1570" t="n">
        <x:v>0</x:v>
      </x:c>
      <x:c r="U1570" t="n">
        <x:v>75</x:v>
      </x:c>
      <x:c r="V1570" t="n">
        <x:v>0</x:v>
      </x:c>
      <x:c r="W1570" t="n">
        <x:v>0</x:v>
      </x:c>
      <x:c r="X1570" t="str">
        <x:v>VALUE: [[10d20]] PO 75 PO</x:v>
      </x:c>
    </x:row>
    <x:row r="1571">
      <x:c r="P1571" t="str">
        <x:v>18|Vase|Exceptionnelle</x:v>
      </x:c>
      <x:c r="Q1571" t="n">
        <x:v>3150000</x:v>
      </x:c>
      <x:c r="R1571" t="str">
        <x:v>1d4</x:v>
      </x:c>
      <x:c r="S1571" t="str">
        <x:v>PP</x:v>
      </x:c>
      <x:c r="T1571" t="n">
        <x:v>0</x:v>
      </x:c>
      <x:c r="U1571" t="n">
        <x:v>65</x:v>
      </x:c>
      <x:c r="V1571" t="n">
        <x:v>0</x:v>
      </x:c>
      <x:c r="W1571" t="n">
        <x:v>0</x:v>
      </x:c>
      <x:c r="X1571" t="str">
        <x:v>VALUE: [[1d4]] PP 65 PO</x:v>
      </x:c>
    </x:row>
    <x:row r="1572">
      <x:c r="P1572" t="str">
        <x:v>18|Géant|Commune</x:v>
      </x:c>
      <x:c r="Q1572" t="n">
        <x:v>540000</x:v>
      </x:c>
      <x:c r="R1572" t="str">
        <x:v>7d10</x:v>
      </x:c>
      <x:c r="S1572" t="str">
        <x:v>PO</x:v>
      </x:c>
      <x:c r="T1572" t="n">
        <x:v>0</x:v>
      </x:c>
      <x:c r="U1572" t="n">
        <x:v>15</x:v>
      </x:c>
      <x:c r="V1572" t="n">
        <x:v>50</x:v>
      </x:c>
      <x:c r="W1572" t="n">
        <x:v>0</x:v>
      </x:c>
      <x:c r="X1572" t="str">
        <x:v>VALUE: [[7d10]] PO 15 PO 50 PA</x:v>
      </x:c>
    </x:row>
    <x:row r="1573">
      <x:c r="P1573" t="str">
        <x:v>18|Géant|Peu commune</x:v>
      </x:c>
      <x:c r="Q1573" t="n">
        <x:v>810000</x:v>
      </x:c>
      <x:c r="R1573" t="str">
        <x:v>10d10</x:v>
      </x:c>
      <x:c r="S1573" t="str">
        <x:v>PO</x:v>
      </x:c>
      <x:c r="T1573" t="n">
        <x:v>0</x:v>
      </x:c>
      <x:c r="U1573" t="n">
        <x:v>26</x:v>
      </x:c>
      <x:c r="V1573" t="n">
        <x:v>0</x:v>
      </x:c>
      <x:c r="W1573" t="n">
        <x:v>0</x:v>
      </x:c>
      <x:c r="X1573" t="str">
        <x:v>VALUE: [[10d10]] PO 26 PO</x:v>
      </x:c>
    </x:row>
    <x:row r="1574">
      <x:c r="P1574" t="str">
        <x:v>18|Géant|Rare</x:v>
      </x:c>
      <x:c r="Q1574" t="n">
        <x:v>1350000</x:v>
      </x:c>
      <x:c r="R1574" t="str">
        <x:v>9d20</x:v>
      </x:c>
      <x:c r="S1574" t="str">
        <x:v>PO</x:v>
      </x:c>
      <x:c r="T1574" t="n">
        <x:v>0</x:v>
      </x:c>
      <x:c r="U1574" t="n">
        <x:v>40</x:v>
      </x:c>
      <x:c r="V1574" t="n">
        <x:v>50</x:v>
      </x:c>
      <x:c r="W1574" t="n">
        <x:v>0</x:v>
      </x:c>
      <x:c r="X1574" t="str">
        <x:v>VALUE: [[9d20]] PO 40 PO 50 PA</x:v>
      </x:c>
    </x:row>
    <x:row r="1575">
      <x:c r="P1575" t="str">
        <x:v>18|Géant|Précieuse</x:v>
      </x:c>
      <x:c r="Q1575" t="n">
        <x:v>2160000</x:v>
      </x:c>
      <x:c r="R1575" t="str">
        <x:v>10d20</x:v>
      </x:c>
      <x:c r="S1575" t="str">
        <x:v>PO</x:v>
      </x:c>
      <x:c r="T1575" t="n">
        <x:v>1</x:v>
      </x:c>
      <x:c r="U1575" t="n">
        <x:v>11</x:v>
      </x:c>
      <x:c r="V1575" t="n">
        <x:v>0</x:v>
      </x:c>
      <x:c r="W1575" t="n">
        <x:v>0</x:v>
      </x:c>
      <x:c r="X1575" t="str">
        <x:v>VALUE: [[10d20]] PO 1 PP 11 PO</x:v>
      </x:c>
    </x:row>
    <x:row r="1576">
      <x:c r="P1576" t="str">
        <x:v>18|Géant|Exceptionnelle</x:v>
      </x:c>
      <x:c r="Q1576" t="n">
        <x:v>3780000</x:v>
      </x:c>
      <x:c r="R1576" t="str">
        <x:v>1d4</x:v>
      </x:c>
      <x:c r="S1576" t="str">
        <x:v>PP</x:v>
      </x:c>
      <x:c r="T1576" t="n">
        <x:v>1</x:v>
      </x:c>
      <x:c r="U1576" t="n">
        <x:v>28</x:v>
      </x:c>
      <x:c r="V1576" t="n">
        <x:v>0</x:v>
      </x:c>
      <x:c r="W1576" t="n">
        <x:v>0</x:v>
      </x:c>
      <x:c r="X1576" t="str">
        <x:v>VALUE: [[1d4]] PP 1 PP 28 PO</x:v>
      </x:c>
    </x:row>
    <x:row r="1577">
      <x:c r="P1577" t="str">
        <x:v>18|Aberration|Commune</x:v>
      </x:c>
      <x:c r="Q1577" t="n">
        <x:v>675000</x:v>
      </x:c>
      <x:c r="R1577" t="str">
        <x:v>7d12</x:v>
      </x:c>
      <x:c r="S1577" t="str">
        <x:v>PO</x:v>
      </x:c>
      <x:c r="T1577" t="n">
        <x:v>0</x:v>
      </x:c>
      <x:c r="U1577" t="n">
        <x:v>22</x:v>
      </x:c>
      <x:c r="V1577" t="n">
        <x:v>0</x:v>
      </x:c>
      <x:c r="W1577" t="n">
        <x:v>0</x:v>
      </x:c>
      <x:c r="X1577" t="str">
        <x:v>VALUE: [[7d12]] PO 22 PO</x:v>
      </x:c>
    </x:row>
    <x:row r="1578">
      <x:c r="P1578" t="str">
        <x:v>18|Aberration|Peu commune</x:v>
      </x:c>
      <x:c r="Q1578" t="n">
        <x:v>1012500</x:v>
      </x:c>
      <x:c r="R1578" t="str">
        <x:v>7d20</x:v>
      </x:c>
      <x:c r="S1578" t="str">
        <x:v>PO</x:v>
      </x:c>
      <x:c r="T1578" t="n">
        <x:v>0</x:v>
      </x:c>
      <x:c r="U1578" t="n">
        <x:v>27</x:v>
      </x:c>
      <x:c r="V1578" t="n">
        <x:v>75</x:v>
      </x:c>
      <x:c r="W1578" t="n">
        <x:v>0</x:v>
      </x:c>
      <x:c r="X1578" t="str">
        <x:v>VALUE: [[7d20]] PO 27 PO 75 PA</x:v>
      </x:c>
    </x:row>
    <x:row r="1579">
      <x:c r="P1579" t="str">
        <x:v>18|Aberration|Rare</x:v>
      </x:c>
      <x:c r="Q1579" t="n">
        <x:v>1687500</x:v>
      </x:c>
      <x:c r="R1579" t="str">
        <x:v>10d20</x:v>
      </x:c>
      <x:c r="S1579" t="str">
        <x:v>PO</x:v>
      </x:c>
      <x:c r="T1579" t="n">
        <x:v>0</x:v>
      </x:c>
      <x:c r="U1579" t="n">
        <x:v>63</x:v>
      </x:c>
      <x:c r="V1579" t="n">
        <x:v>75</x:v>
      </x:c>
      <x:c r="W1579" t="n">
        <x:v>0</x:v>
      </x:c>
      <x:c r="X1579" t="str">
        <x:v>VALUE: [[10d20]] PO 63 PO 75 PA</x:v>
      </x:c>
    </x:row>
    <x:row r="1580">
      <x:c r="P1580" t="str">
        <x:v>18|Aberration|Précieuse</x:v>
      </x:c>
      <x:c r="Q1580" t="n">
        <x:v>2700000</x:v>
      </x:c>
      <x:c r="R1580" t="str">
        <x:v>1d4</x:v>
      </x:c>
      <x:c r="S1580" t="str">
        <x:v>PP</x:v>
      </x:c>
      <x:c r="T1580" t="n">
        <x:v>0</x:v>
      </x:c>
      <x:c r="U1580" t="n">
        <x:v>20</x:v>
      </x:c>
      <x:c r="V1580" t="n">
        <x:v>0</x:v>
      </x:c>
      <x:c r="W1580" t="n">
        <x:v>0</x:v>
      </x:c>
      <x:c r="X1580" t="str">
        <x:v>VALUE: [[1d4]] PP 20 PO</x:v>
      </x:c>
    </x:row>
    <x:row r="1581">
      <x:c r="P1581" t="str">
        <x:v>18|Aberration|Exceptionnelle</x:v>
      </x:c>
      <x:c r="Q1581" t="n">
        <x:v>4725000</x:v>
      </x:c>
      <x:c r="R1581" t="str">
        <x:v>1d6</x:v>
      </x:c>
      <x:c r="S1581" t="str">
        <x:v>PP</x:v>
      </x:c>
      <x:c r="T1581" t="n">
        <x:v>1</x:v>
      </x:c>
      <x:c r="U1581" t="n">
        <x:v>22</x:v>
      </x:c>
      <x:c r="V1581" t="n">
        <x:v>50</x:v>
      </x:c>
      <x:c r="W1581" t="n">
        <x:v>0</x:v>
      </x:c>
      <x:c r="X1581" t="str">
        <x:v>VALUE: [[1d6]] PP 1 PP 22 PO 50 PA</x:v>
      </x:c>
    </x:row>
    <x:row r="1582">
      <x:c r="P1582" t="str">
        <x:v>18|Fée|Commune</x:v>
      </x:c>
      <x:c r="Q1582" t="n">
        <x:v>810000</x:v>
      </x:c>
      <x:c r="R1582" t="str">
        <x:v>10d10</x:v>
      </x:c>
      <x:c r="S1582" t="str">
        <x:v>PO</x:v>
      </x:c>
      <x:c r="T1582" t="n">
        <x:v>0</x:v>
      </x:c>
      <x:c r="U1582" t="n">
        <x:v>26</x:v>
      </x:c>
      <x:c r="V1582" t="n">
        <x:v>0</x:v>
      </x:c>
      <x:c r="W1582" t="n">
        <x:v>0</x:v>
      </x:c>
      <x:c r="X1582" t="str">
        <x:v>VALUE: [[10d10]] PO 26 PO</x:v>
      </x:c>
    </x:row>
    <x:row r="1583">
      <x:c r="P1583" t="str">
        <x:v>18|Fée|Peu commune</x:v>
      </x:c>
      <x:c r="Q1583" t="n">
        <x:v>1215000</x:v>
      </x:c>
      <x:c r="R1583" t="str">
        <x:v>8d20</x:v>
      </x:c>
      <x:c r="S1583" t="str">
        <x:v>PO</x:v>
      </x:c>
      <x:c r="T1583" t="n">
        <x:v>0</x:v>
      </x:c>
      <x:c r="U1583" t="n">
        <x:v>37</x:v>
      </x:c>
      <x:c r="V1583" t="n">
        <x:v>50</x:v>
      </x:c>
      <x:c r="W1583" t="n">
        <x:v>0</x:v>
      </x:c>
      <x:c r="X1583" t="str">
        <x:v>VALUE: [[8d20]] PO 37 PO 50 PA</x:v>
      </x:c>
    </x:row>
    <x:row r="1584">
      <x:c r="P1584" t="str">
        <x:v>18|Fée|Rare</x:v>
      </x:c>
      <x:c r="Q1584" t="n">
        <x:v>2025000</x:v>
      </x:c>
      <x:c r="R1584" t="str">
        <x:v>10d20</x:v>
      </x:c>
      <x:c r="S1584" t="str">
        <x:v>PO</x:v>
      </x:c>
      <x:c r="T1584" t="n">
        <x:v>0</x:v>
      </x:c>
      <x:c r="U1584" t="n">
        <x:v>97</x:v>
      </x:c>
      <x:c r="V1584" t="n">
        <x:v>50</x:v>
      </x:c>
      <x:c r="W1584" t="n">
        <x:v>0</x:v>
      </x:c>
      <x:c r="X1584" t="str">
        <x:v>VALUE: [[10d20]] PO 97 PO 50 PA</x:v>
      </x:c>
    </x:row>
    <x:row r="1585">
      <x:c r="P1585" t="str">
        <x:v>18|Fée|Précieuse</x:v>
      </x:c>
      <x:c r="Q1585" t="n">
        <x:v>3240000</x:v>
      </x:c>
      <x:c r="R1585" t="str">
        <x:v>1d4</x:v>
      </x:c>
      <x:c r="S1585" t="str">
        <x:v>PP</x:v>
      </x:c>
      <x:c r="T1585" t="n">
        <x:v>0</x:v>
      </x:c>
      <x:c r="U1585" t="n">
        <x:v>74</x:v>
      </x:c>
      <x:c r="V1585" t="n">
        <x:v>0</x:v>
      </x:c>
      <x:c r="W1585" t="n">
        <x:v>0</x:v>
      </x:c>
      <x:c r="X1585" t="str">
        <x:v>VALUE: [[1d4]] PP 74 PO</x:v>
      </x:c>
    </x:row>
    <x:row r="1586">
      <x:c r="P1586" t="str">
        <x:v>18|Fée|Exceptionnelle</x:v>
      </x:c>
      <x:c r="Q1586" t="n">
        <x:v>5670000</x:v>
      </x:c>
      <x:c r="R1586" t="str">
        <x:v>1d6</x:v>
      </x:c>
      <x:c r="S1586" t="str">
        <x:v>PP</x:v>
      </x:c>
      <x:c r="T1586" t="n">
        <x:v>2</x:v>
      </x:c>
      <x:c r="U1586" t="n">
        <x:v>17</x:v>
      </x:c>
      <x:c r="V1586" t="n">
        <x:v>0</x:v>
      </x:c>
      <x:c r="W1586" t="n">
        <x:v>0</x:v>
      </x:c>
      <x:c r="X1586" t="str">
        <x:v>VALUE: [[1d6]] PP 2 PP 17 PO</x:v>
      </x:c>
    </x:row>
    <x:row r="1587">
      <x:c r="P1587" t="str">
        <x:v>18|Démon|Commune</x:v>
      </x:c>
      <x:c r="Q1587" t="n">
        <x:v>900000</x:v>
      </x:c>
      <x:c r="R1587" t="str">
        <x:v>6d20</x:v>
      </x:c>
      <x:c r="S1587" t="str">
        <x:v>PO</x:v>
      </x:c>
      <x:c r="T1587" t="n">
        <x:v>0</x:v>
      </x:c>
      <x:c r="U1587" t="n">
        <x:v>27</x:v>
      </x:c>
      <x:c r="V1587" t="n">
        <x:v>0</x:v>
      </x:c>
      <x:c r="W1587" t="n">
        <x:v>0</x:v>
      </x:c>
      <x:c r="X1587" t="str">
        <x:v>VALUE: [[6d20]] PO 27 PO</x:v>
      </x:c>
    </x:row>
    <x:row r="1588">
      <x:c r="P1588" t="str">
        <x:v>18|Démon|Peu commune</x:v>
      </x:c>
      <x:c r="Q1588" t="n">
        <x:v>1350000</x:v>
      </x:c>
      <x:c r="R1588" t="str">
        <x:v>9d20</x:v>
      </x:c>
      <x:c r="S1588" t="str">
        <x:v>PO</x:v>
      </x:c>
      <x:c r="T1588" t="n">
        <x:v>0</x:v>
      </x:c>
      <x:c r="U1588" t="n">
        <x:v>40</x:v>
      </x:c>
      <x:c r="V1588" t="n">
        <x:v>50</x:v>
      </x:c>
      <x:c r="W1588" t="n">
        <x:v>0</x:v>
      </x:c>
      <x:c r="X1588" t="str">
        <x:v>VALUE: [[9d20]] PO 40 PO 50 PA</x:v>
      </x:c>
    </x:row>
    <x:row r="1589">
      <x:c r="P1589" t="str">
        <x:v>18|Démon|Rare</x:v>
      </x:c>
      <x:c r="Q1589" t="n">
        <x:v>2250000</x:v>
      </x:c>
      <x:c r="R1589" t="str">
        <x:v>10d20</x:v>
      </x:c>
      <x:c r="S1589" t="str">
        <x:v>PO</x:v>
      </x:c>
      <x:c r="T1589" t="n">
        <x:v>1</x:v>
      </x:c>
      <x:c r="U1589" t="n">
        <x:v>20</x:v>
      </x:c>
      <x:c r="V1589" t="n">
        <x:v>0</x:v>
      </x:c>
      <x:c r="W1589" t="n">
        <x:v>0</x:v>
      </x:c>
      <x:c r="X1589" t="str">
        <x:v>VALUE: [[10d20]] PO 1 PP 20 PO</x:v>
      </x:c>
    </x:row>
    <x:row r="1590">
      <x:c r="P1590" t="str">
        <x:v>18|Démon|Précieuse</x:v>
      </x:c>
      <x:c r="Q1590" t="n">
        <x:v>3600000</x:v>
      </x:c>
      <x:c r="R1590" t="str">
        <x:v>1d4</x:v>
      </x:c>
      <x:c r="S1590" t="str">
        <x:v>PP</x:v>
      </x:c>
      <x:c r="T1590" t="n">
        <x:v>1</x:v>
      </x:c>
      <x:c r="U1590" t="n">
        <x:v>10</x:v>
      </x:c>
      <x:c r="V1590" t="n">
        <x:v>0</x:v>
      </x:c>
      <x:c r="W1590" t="n">
        <x:v>0</x:v>
      </x:c>
      <x:c r="X1590" t="str">
        <x:v>VALUE: [[1d4]] PP 1 PP 10 PO</x:v>
      </x:c>
    </x:row>
    <x:row r="1591">
      <x:c r="P1591" t="str">
        <x:v>18|Démon|Exceptionnelle</x:v>
      </x:c>
      <x:c r="Q1591" t="n">
        <x:v>6300000</x:v>
      </x:c>
      <x:c r="R1591" t="str">
        <x:v>1d8</x:v>
      </x:c>
      <x:c r="S1591" t="str">
        <x:v>PP</x:v>
      </x:c>
      <x:c r="T1591" t="n">
        <x:v>1</x:v>
      </x:c>
      <x:c r="U1591" t="n">
        <x:v>80</x:v>
      </x:c>
      <x:c r="V1591" t="n">
        <x:v>0</x:v>
      </x:c>
      <x:c r="W1591" t="n">
        <x:v>0</x:v>
      </x:c>
      <x:c r="X1591" t="str">
        <x:v>VALUE: [[1d8]] PP 1 PP 80 PO</x:v>
      </x:c>
    </x:row>
    <x:row r="1592">
      <x:c r="P1592" t="str">
        <x:v>18|Artificiel|Commune</x:v>
      </x:c>
      <x:c r="Q1592" t="n">
        <x:v>900000</x:v>
      </x:c>
      <x:c r="R1592" t="str">
        <x:v>6d20</x:v>
      </x:c>
      <x:c r="S1592" t="str">
        <x:v>PO</x:v>
      </x:c>
      <x:c r="T1592" t="n">
        <x:v>0</x:v>
      </x:c>
      <x:c r="U1592" t="n">
        <x:v>27</x:v>
      </x:c>
      <x:c r="V1592" t="n">
        <x:v>0</x:v>
      </x:c>
      <x:c r="W1592" t="n">
        <x:v>0</x:v>
      </x:c>
      <x:c r="X1592" t="str">
        <x:v>VALUE: [[6d20]] PO 27 PO</x:v>
      </x:c>
    </x:row>
    <x:row r="1593">
      <x:c r="P1593" t="str">
        <x:v>18|Artificiel|Peu commune</x:v>
      </x:c>
      <x:c r="Q1593" t="n">
        <x:v>1350000</x:v>
      </x:c>
      <x:c r="R1593" t="str">
        <x:v>9d20</x:v>
      </x:c>
      <x:c r="S1593" t="str">
        <x:v>PO</x:v>
      </x:c>
      <x:c r="T1593" t="n">
        <x:v>0</x:v>
      </x:c>
      <x:c r="U1593" t="n">
        <x:v>40</x:v>
      </x:c>
      <x:c r="V1593" t="n">
        <x:v>50</x:v>
      </x:c>
      <x:c r="W1593" t="n">
        <x:v>0</x:v>
      </x:c>
      <x:c r="X1593" t="str">
        <x:v>VALUE: [[9d20]] PO 40 PO 50 PA</x:v>
      </x:c>
    </x:row>
    <x:row r="1594">
      <x:c r="P1594" t="str">
        <x:v>18|Artificiel|Rare</x:v>
      </x:c>
      <x:c r="Q1594" t="n">
        <x:v>2250000</x:v>
      </x:c>
      <x:c r="R1594" t="str">
        <x:v>10d20</x:v>
      </x:c>
      <x:c r="S1594" t="str">
        <x:v>PO</x:v>
      </x:c>
      <x:c r="T1594" t="n">
        <x:v>1</x:v>
      </x:c>
      <x:c r="U1594" t="n">
        <x:v>20</x:v>
      </x:c>
      <x:c r="V1594" t="n">
        <x:v>0</x:v>
      </x:c>
      <x:c r="W1594" t="n">
        <x:v>0</x:v>
      </x:c>
      <x:c r="X1594" t="str">
        <x:v>VALUE: [[10d20]] PO 1 PP 20 PO</x:v>
      </x:c>
    </x:row>
    <x:row r="1595">
      <x:c r="P1595" t="str">
        <x:v>18|Artificiel|Précieuse</x:v>
      </x:c>
      <x:c r="Q1595" t="n">
        <x:v>3600000</x:v>
      </x:c>
      <x:c r="R1595" t="str">
        <x:v>1d4</x:v>
      </x:c>
      <x:c r="S1595" t="str">
        <x:v>PP</x:v>
      </x:c>
      <x:c r="T1595" t="n">
        <x:v>1</x:v>
      </x:c>
      <x:c r="U1595" t="n">
        <x:v>10</x:v>
      </x:c>
      <x:c r="V1595" t="n">
        <x:v>0</x:v>
      </x:c>
      <x:c r="W1595" t="n">
        <x:v>0</x:v>
      </x:c>
      <x:c r="X1595" t="str">
        <x:v>VALUE: [[1d4]] PP 1 PP 10 PO</x:v>
      </x:c>
    </x:row>
    <x:row r="1596">
      <x:c r="P1596" t="str">
        <x:v>18|Artificiel|Exceptionnelle</x:v>
      </x:c>
      <x:c r="Q1596" t="n">
        <x:v>6300000</x:v>
      </x:c>
      <x:c r="R1596" t="str">
        <x:v>1d8</x:v>
      </x:c>
      <x:c r="S1596" t="str">
        <x:v>PP</x:v>
      </x:c>
      <x:c r="T1596" t="n">
        <x:v>1</x:v>
      </x:c>
      <x:c r="U1596" t="n">
        <x:v>80</x:v>
      </x:c>
      <x:c r="V1596" t="n">
        <x:v>0</x:v>
      </x:c>
      <x:c r="W1596" t="n">
        <x:v>0</x:v>
      </x:c>
      <x:c r="X1596" t="str">
        <x:v>VALUE: [[1d8]] PP 1 PP 80 PO</x:v>
      </x:c>
    </x:row>
    <x:row r="1597">
      <x:c r="P1597" t="str">
        <x:v>18|Élémentaire|Commune</x:v>
      </x:c>
      <x:c r="Q1597" t="n">
        <x:v>1125000</x:v>
      </x:c>
      <x:c r="R1597" t="str">
        <x:v>7d20</x:v>
      </x:c>
      <x:c r="S1597" t="str">
        <x:v>PO</x:v>
      </x:c>
      <x:c r="T1597" t="n">
        <x:v>0</x:v>
      </x:c>
      <x:c r="U1597" t="n">
        <x:v>39</x:v>
      </x:c>
      <x:c r="V1597" t="n">
        <x:v>0</x:v>
      </x:c>
      <x:c r="W1597" t="n">
        <x:v>0</x:v>
      </x:c>
      <x:c r="X1597" t="str">
        <x:v>VALUE: [[7d20]] PO 39 PO</x:v>
      </x:c>
    </x:row>
    <x:row r="1598">
      <x:c r="P1598" t="str">
        <x:v>18|Élémentaire|Peu commune</x:v>
      </x:c>
      <x:c r="Q1598" t="n">
        <x:v>1687500</x:v>
      </x:c>
      <x:c r="R1598" t="str">
        <x:v>10d20</x:v>
      </x:c>
      <x:c r="S1598" t="str">
        <x:v>PO</x:v>
      </x:c>
      <x:c r="T1598" t="n">
        <x:v>0</x:v>
      </x:c>
      <x:c r="U1598" t="n">
        <x:v>63</x:v>
      </x:c>
      <x:c r="V1598" t="n">
        <x:v>75</x:v>
      </x:c>
      <x:c r="W1598" t="n">
        <x:v>0</x:v>
      </x:c>
      <x:c r="X1598" t="str">
        <x:v>VALUE: [[10d20]] PO 63 PO 75 PA</x:v>
      </x:c>
    </x:row>
    <x:row r="1599">
      <x:c r="P1599" t="str">
        <x:v>18|Élémentaire|Rare</x:v>
      </x:c>
      <x:c r="Q1599" t="n">
        <x:v>2812500</x:v>
      </x:c>
      <x:c r="R1599" t="str">
        <x:v>1d4</x:v>
      </x:c>
      <x:c r="S1599" t="str">
        <x:v>PP</x:v>
      </x:c>
      <x:c r="T1599" t="n">
        <x:v>0</x:v>
      </x:c>
      <x:c r="U1599" t="n">
        <x:v>31</x:v>
      </x:c>
      <x:c r="V1599" t="n">
        <x:v>25</x:v>
      </x:c>
      <x:c r="W1599" t="n">
        <x:v>0</x:v>
      </x:c>
      <x:c r="X1599" t="str">
        <x:v>VALUE: [[1d4]] PP 31 PO 25 PA</x:v>
      </x:c>
    </x:row>
    <x:row r="1600">
      <x:c r="P1600" t="str">
        <x:v>18|Élémentaire|Précieuse</x:v>
      </x:c>
      <x:c r="Q1600" t="n">
        <x:v>4500000</x:v>
      </x:c>
      <x:c r="R1600" t="str">
        <x:v>1d6</x:v>
      </x:c>
      <x:c r="S1600" t="str">
        <x:v>PP</x:v>
      </x:c>
      <x:c r="T1600" t="n">
        <x:v>1</x:v>
      </x:c>
      <x:c r="U1600" t="n">
        <x:v>0</x:v>
      </x:c>
      <x:c r="V1600" t="n">
        <x:v>0</x:v>
      </x:c>
      <x:c r="W1600" t="n">
        <x:v>0</x:v>
      </x:c>
      <x:c r="X1600" t="str">
        <x:v>VALUE: [[1d6]] PP 1 PP</x:v>
      </x:c>
    </x:row>
    <x:row r="1601">
      <x:c r="P1601" t="str">
        <x:v>18|Élémentaire|Exceptionnelle</x:v>
      </x:c>
      <x:c r="Q1601" t="n">
        <x:v>7875000</x:v>
      </x:c>
      <x:c r="R1601" t="str">
        <x:v>1d10</x:v>
      </x:c>
      <x:c r="S1601" t="str">
        <x:v>PP</x:v>
      </x:c>
      <x:c r="T1601" t="n">
        <x:v>2</x:v>
      </x:c>
      <x:c r="U1601" t="n">
        <x:v>37</x:v>
      </x:c>
      <x:c r="V1601" t="n">
        <x:v>50</x:v>
      </x:c>
      <x:c r="W1601" t="n">
        <x:v>0</x:v>
      </x:c>
      <x:c r="X1601" t="str">
        <x:v>VALUE: [[1d10]] PP 2 PP 37 PO 50 PA</x:v>
      </x:c>
    </x:row>
    <x:row r="1602">
      <x:c r="P1602" t="str">
        <x:v>18|Esprit|Commune</x:v>
      </x:c>
      <x:c r="Q1602" t="n">
        <x:v>1125000</x:v>
      </x:c>
      <x:c r="R1602" t="str">
        <x:v>7d20</x:v>
      </x:c>
      <x:c r="S1602" t="str">
        <x:v>PO</x:v>
      </x:c>
      <x:c r="T1602" t="n">
        <x:v>0</x:v>
      </x:c>
      <x:c r="U1602" t="n">
        <x:v>39</x:v>
      </x:c>
      <x:c r="V1602" t="n">
        <x:v>0</x:v>
      </x:c>
      <x:c r="W1602" t="n">
        <x:v>0</x:v>
      </x:c>
      <x:c r="X1602" t="str">
        <x:v>VALUE: [[7d20]] PO 39 PO</x:v>
      </x:c>
    </x:row>
    <x:row r="1603">
      <x:c r="P1603" t="str">
        <x:v>18|Esprit|Peu commune</x:v>
      </x:c>
      <x:c r="Q1603" t="n">
        <x:v>1687500</x:v>
      </x:c>
      <x:c r="R1603" t="str">
        <x:v>10d20</x:v>
      </x:c>
      <x:c r="S1603" t="str">
        <x:v>PO</x:v>
      </x:c>
      <x:c r="T1603" t="n">
        <x:v>0</x:v>
      </x:c>
      <x:c r="U1603" t="n">
        <x:v>63</x:v>
      </x:c>
      <x:c r="V1603" t="n">
        <x:v>75</x:v>
      </x:c>
      <x:c r="W1603" t="n">
        <x:v>0</x:v>
      </x:c>
      <x:c r="X1603" t="str">
        <x:v>VALUE: [[10d20]] PO 63 PO 75 PA</x:v>
      </x:c>
    </x:row>
    <x:row r="1604">
      <x:c r="P1604" t="str">
        <x:v>18|Esprit|Rare</x:v>
      </x:c>
      <x:c r="Q1604" t="n">
        <x:v>2812500</x:v>
      </x:c>
      <x:c r="R1604" t="str">
        <x:v>1d4</x:v>
      </x:c>
      <x:c r="S1604" t="str">
        <x:v>PP</x:v>
      </x:c>
      <x:c r="T1604" t="n">
        <x:v>0</x:v>
      </x:c>
      <x:c r="U1604" t="n">
        <x:v>31</x:v>
      </x:c>
      <x:c r="V1604" t="n">
        <x:v>25</x:v>
      </x:c>
      <x:c r="W1604" t="n">
        <x:v>0</x:v>
      </x:c>
      <x:c r="X1604" t="str">
        <x:v>VALUE: [[1d4]] PP 31 PO 25 PA</x:v>
      </x:c>
    </x:row>
    <x:row r="1605">
      <x:c r="P1605" t="str">
        <x:v>18|Esprit|Précieuse</x:v>
      </x:c>
      <x:c r="Q1605" t="n">
        <x:v>4500000</x:v>
      </x:c>
      <x:c r="R1605" t="str">
        <x:v>1d6</x:v>
      </x:c>
      <x:c r="S1605" t="str">
        <x:v>PP</x:v>
      </x:c>
      <x:c r="T1605" t="n">
        <x:v>1</x:v>
      </x:c>
      <x:c r="U1605" t="n">
        <x:v>0</x:v>
      </x:c>
      <x:c r="V1605" t="n">
        <x:v>0</x:v>
      </x:c>
      <x:c r="W1605" t="n">
        <x:v>0</x:v>
      </x:c>
      <x:c r="X1605" t="str">
        <x:v>VALUE: [[1d6]] PP 1 PP</x:v>
      </x:c>
    </x:row>
    <x:row r="1606">
      <x:c r="P1606" t="str">
        <x:v>18|Esprit|Exceptionnelle</x:v>
      </x:c>
      <x:c r="Q1606" t="n">
        <x:v>7875000</x:v>
      </x:c>
      <x:c r="R1606" t="str">
        <x:v>1d10</x:v>
      </x:c>
      <x:c r="S1606" t="str">
        <x:v>PP</x:v>
      </x:c>
      <x:c r="T1606" t="n">
        <x:v>2</x:v>
      </x:c>
      <x:c r="U1606" t="n">
        <x:v>37</x:v>
      </x:c>
      <x:c r="V1606" t="n">
        <x:v>50</x:v>
      </x:c>
      <x:c r="W1606" t="n">
        <x:v>0</x:v>
      </x:c>
      <x:c r="X1606" t="str">
        <x:v>VALUE: [[1d10]] PP 2 PP 37 PO 50 PA</x:v>
      </x:c>
    </x:row>
    <x:row r="1607">
      <x:c r="P1607" t="str">
        <x:v>18|Céleste|Commune</x:v>
      </x:c>
      <x:c r="Q1607" t="n">
        <x:v>1350000</x:v>
      </x:c>
      <x:c r="R1607" t="str">
        <x:v>9d20</x:v>
      </x:c>
      <x:c r="S1607" t="str">
        <x:v>PO</x:v>
      </x:c>
      <x:c r="T1607" t="n">
        <x:v>0</x:v>
      </x:c>
      <x:c r="U1607" t="n">
        <x:v>40</x:v>
      </x:c>
      <x:c r="V1607" t="n">
        <x:v>50</x:v>
      </x:c>
      <x:c r="W1607" t="n">
        <x:v>0</x:v>
      </x:c>
      <x:c r="X1607" t="str">
        <x:v>VALUE: [[9d20]] PO 40 PO 50 PA</x:v>
      </x:c>
    </x:row>
    <x:row r="1608">
      <x:c r="P1608" t="str">
        <x:v>18|Céleste|Peu commune</x:v>
      </x:c>
      <x:c r="Q1608" t="n">
        <x:v>2025000</x:v>
      </x:c>
      <x:c r="R1608" t="str">
        <x:v>10d20</x:v>
      </x:c>
      <x:c r="S1608" t="str">
        <x:v>PO</x:v>
      </x:c>
      <x:c r="T1608" t="n">
        <x:v>0</x:v>
      </x:c>
      <x:c r="U1608" t="n">
        <x:v>97</x:v>
      </x:c>
      <x:c r="V1608" t="n">
        <x:v>50</x:v>
      </x:c>
      <x:c r="W1608" t="n">
        <x:v>0</x:v>
      </x:c>
      <x:c r="X1608" t="str">
        <x:v>VALUE: [[10d20]] PO 97 PO 50 PA</x:v>
      </x:c>
    </x:row>
    <x:row r="1609">
      <x:c r="P1609" t="str">
        <x:v>18|Céleste|Rare</x:v>
      </x:c>
      <x:c r="Q1609" t="n">
        <x:v>3375000</x:v>
      </x:c>
      <x:c r="R1609" t="str">
        <x:v>1d4</x:v>
      </x:c>
      <x:c r="S1609" t="str">
        <x:v>PP</x:v>
      </x:c>
      <x:c r="T1609" t="n">
        <x:v>0</x:v>
      </x:c>
      <x:c r="U1609" t="n">
        <x:v>87</x:v>
      </x:c>
      <x:c r="V1609" t="n">
        <x:v>50</x:v>
      </x:c>
      <x:c r="W1609" t="n">
        <x:v>0</x:v>
      </x:c>
      <x:c r="X1609" t="str">
        <x:v>VALUE: [[1d4]] PP 87 PO 50 PA</x:v>
      </x:c>
    </x:row>
    <x:row r="1610">
      <x:c r="P1610" t="str">
        <x:v>18|Céleste|Précieuse</x:v>
      </x:c>
      <x:c r="Q1610" t="n">
        <x:v>5400000</x:v>
      </x:c>
      <x:c r="R1610" t="str">
        <x:v>1d6</x:v>
      </x:c>
      <x:c r="S1610" t="str">
        <x:v>PP</x:v>
      </x:c>
      <x:c r="T1610" t="n">
        <x:v>1</x:v>
      </x:c>
      <x:c r="U1610" t="n">
        <x:v>90</x:v>
      </x:c>
      <x:c r="V1610" t="n">
        <x:v>0</x:v>
      </x:c>
      <x:c r="W1610" t="n">
        <x:v>0</x:v>
      </x:c>
      <x:c r="X1610" t="str">
        <x:v>VALUE: [[1d6]] PP 1 PP 90 PO</x:v>
      </x:c>
    </x:row>
    <x:row r="1611">
      <x:c r="P1611" t="str">
        <x:v>18|Céleste|Exceptionnelle</x:v>
      </x:c>
      <x:c r="Q1611" t="n">
        <x:v>9450000</x:v>
      </x:c>
      <x:c r="R1611" t="str">
        <x:v>1d12</x:v>
      </x:c>
      <x:c r="S1611" t="str">
        <x:v>PP</x:v>
      </x:c>
      <x:c r="T1611" t="n">
        <x:v>2</x:v>
      </x:c>
      <x:c r="U1611" t="n">
        <x:v>95</x:v>
      </x:c>
      <x:c r="V1611" t="n">
        <x:v>0</x:v>
      </x:c>
      <x:c r="W1611" t="n">
        <x:v>0</x:v>
      </x:c>
      <x:c r="X1611" t="str">
        <x:v>VALUE: [[1d12]] PP 2 PP 95 PO</x:v>
      </x:c>
    </x:row>
    <x:row r="1612">
      <x:c r="P1612" t="str">
        <x:v>18|Dragon|Commune</x:v>
      </x:c>
      <x:c r="Q1612" t="n">
        <x:v>2250000</x:v>
      </x:c>
      <x:c r="R1612" t="str">
        <x:v>10d20</x:v>
      </x:c>
      <x:c r="S1612" t="str">
        <x:v>PO</x:v>
      </x:c>
      <x:c r="T1612" t="n">
        <x:v>1</x:v>
      </x:c>
      <x:c r="U1612" t="n">
        <x:v>20</x:v>
      </x:c>
      <x:c r="V1612" t="n">
        <x:v>0</x:v>
      </x:c>
      <x:c r="W1612" t="n">
        <x:v>0</x:v>
      </x:c>
      <x:c r="X1612" t="str">
        <x:v>VALUE: [[10d20]] PO 1 PP 20 PO</x:v>
      </x:c>
    </x:row>
    <x:row r="1613">
      <x:c r="P1613" t="str">
        <x:v>18|Dragon|Peu commune</x:v>
      </x:c>
      <x:c r="Q1613" t="n">
        <x:v>3375000</x:v>
      </x:c>
      <x:c r="R1613" t="str">
        <x:v>1d4</x:v>
      </x:c>
      <x:c r="S1613" t="str">
        <x:v>PP</x:v>
      </x:c>
      <x:c r="T1613" t="n">
        <x:v>0</x:v>
      </x:c>
      <x:c r="U1613" t="n">
        <x:v>87</x:v>
      </x:c>
      <x:c r="V1613" t="n">
        <x:v>50</x:v>
      </x:c>
      <x:c r="W1613" t="n">
        <x:v>0</x:v>
      </x:c>
      <x:c r="X1613" t="str">
        <x:v>VALUE: [[1d4]] PP 87 PO 50 PA</x:v>
      </x:c>
    </x:row>
    <x:row r="1614">
      <x:c r="P1614" t="str">
        <x:v>18|Dragon|Rare</x:v>
      </x:c>
      <x:c r="Q1614" t="n">
        <x:v>5625000</x:v>
      </x:c>
      <x:c r="R1614" t="str">
        <x:v>1d6</x:v>
      </x:c>
      <x:c r="S1614" t="str">
        <x:v>PP</x:v>
      </x:c>
      <x:c r="T1614" t="n">
        <x:v>2</x:v>
      </x:c>
      <x:c r="U1614" t="n">
        <x:v>12</x:v>
      </x:c>
      <x:c r="V1614" t="n">
        <x:v>50</x:v>
      </x:c>
      <x:c r="W1614" t="n">
        <x:v>0</x:v>
      </x:c>
      <x:c r="X1614" t="str">
        <x:v>VALUE: [[1d6]] PP 2 PP 12 PO 50 PA</x:v>
      </x:c>
    </x:row>
    <x:row r="1615">
      <x:c r="P1615" t="str">
        <x:v>18|Dragon|Précieuse</x:v>
      </x:c>
      <x:c r="Q1615" t="n">
        <x:v>9000000</x:v>
      </x:c>
      <x:c r="R1615" t="str">
        <x:v>1d12</x:v>
      </x:c>
      <x:c r="S1615" t="str">
        <x:v>PP</x:v>
      </x:c>
      <x:c r="T1615" t="n">
        <x:v>2</x:v>
      </x:c>
      <x:c r="U1615" t="n">
        <x:v>50</x:v>
      </x:c>
      <x:c r="V1615" t="n">
        <x:v>0</x:v>
      </x:c>
      <x:c r="W1615" t="n">
        <x:v>0</x:v>
      </x:c>
      <x:c r="X1615" t="str">
        <x:v>VALUE: [[1d12]] PP 2 PP 50 PO</x:v>
      </x:c>
    </x:row>
    <x:row r="1616">
      <x:c r="P1616" t="str">
        <x:v>18|Dragon|Exceptionnelle</x:v>
      </x:c>
      <x:c r="Q1616" t="n">
        <x:v>15750000</x:v>
      </x:c>
      <x:c r="R1616" t="str">
        <x:v>2d10</x:v>
      </x:c>
      <x:c r="S1616" t="str">
        <x:v>PP</x:v>
      </x:c>
      <x:c r="T1616" t="n">
        <x:v>4</x:v>
      </x:c>
      <x:c r="U1616" t="n">
        <x:v>75</x:v>
      </x:c>
      <x:c r="V1616" t="n">
        <x:v>0</x:v>
      </x:c>
      <x:c r="W1616" t="n">
        <x:v>0</x:v>
      </x:c>
      <x:c r="X1616" t="str">
        <x:v>VALUE: [[2d10]] PP 4 PP 75 PO</x:v>
      </x:c>
    </x:row>
    <x:row r="1617">
      <x:c r="P1617" t="str">
        <x:v>19|Vermine|Commune</x:v>
      </x:c>
      <x:c r="Q1617" t="n">
        <x:v>245000</x:v>
      </x:c>
      <x:c r="R1617" t="str">
        <x:v>5d6</x:v>
      </x:c>
      <x:c r="S1617" t="str">
        <x:v>PO</x:v>
      </x:c>
      <x:c r="T1617" t="n">
        <x:v>0</x:v>
      </x:c>
      <x:c r="U1617" t="n">
        <x:v>7</x:v>
      </x:c>
      <x:c r="V1617" t="n">
        <x:v>0</x:v>
      </x:c>
      <x:c r="W1617" t="n">
        <x:v>0</x:v>
      </x:c>
      <x:c r="X1617" t="str">
        <x:v>VALUE: [[5d6]] PO 7 PO</x:v>
      </x:c>
    </x:row>
    <x:row r="1618">
      <x:c r="P1618" t="str">
        <x:v>19|Vermine|Peu commune</x:v>
      </x:c>
      <x:c r="Q1618" t="n">
        <x:v>367500</x:v>
      </x:c>
      <x:c r="R1618" t="str">
        <x:v>4d12</x:v>
      </x:c>
      <x:c r="S1618" t="str">
        <x:v>PO</x:v>
      </x:c>
      <x:c r="T1618" t="n">
        <x:v>0</x:v>
      </x:c>
      <x:c r="U1618" t="n">
        <x:v>10</x:v>
      </x:c>
      <x:c r="V1618" t="n">
        <x:v>75</x:v>
      </x:c>
      <x:c r="W1618" t="n">
        <x:v>0</x:v>
      </x:c>
      <x:c r="X1618" t="str">
        <x:v>VALUE: [[4d12]] PO 10 PO 75 PA</x:v>
      </x:c>
    </x:row>
    <x:row r="1619">
      <x:c r="P1619" t="str">
        <x:v>19|Vermine|Rare</x:v>
      </x:c>
      <x:c r="Q1619" t="n">
        <x:v>612500</x:v>
      </x:c>
      <x:c r="R1619" t="str">
        <x:v>4d20</x:v>
      </x:c>
      <x:c r="S1619" t="str">
        <x:v>PO</x:v>
      </x:c>
      <x:c r="T1619" t="n">
        <x:v>0</x:v>
      </x:c>
      <x:c r="U1619" t="n">
        <x:v>19</x:v>
      </x:c>
      <x:c r="V1619" t="n">
        <x:v>25</x:v>
      </x:c>
      <x:c r="W1619" t="n">
        <x:v>0</x:v>
      </x:c>
      <x:c r="X1619" t="str">
        <x:v>VALUE: [[4d20]] PO 19 PO 25 PA</x:v>
      </x:c>
    </x:row>
    <x:row r="1620">
      <x:c r="P1620" t="str">
        <x:v>19|Vermine|Précieuse</x:v>
      </x:c>
      <x:c r="Q1620" t="n">
        <x:v>980000</x:v>
      </x:c>
      <x:c r="R1620" t="str">
        <x:v>10d12</x:v>
      </x:c>
      <x:c r="S1620" t="str">
        <x:v>PO</x:v>
      </x:c>
      <x:c r="T1620" t="n">
        <x:v>0</x:v>
      </x:c>
      <x:c r="U1620" t="n">
        <x:v>33</x:v>
      </x:c>
      <x:c r="V1620" t="n">
        <x:v>0</x:v>
      </x:c>
      <x:c r="W1620" t="n">
        <x:v>0</x:v>
      </x:c>
      <x:c r="X1620" t="str">
        <x:v>VALUE: [[10d12]] PO 33 PO</x:v>
      </x:c>
    </x:row>
    <x:row r="1621">
      <x:c r="P1621" t="str">
        <x:v>19|Vermine|Exceptionnelle</x:v>
      </x:c>
      <x:c r="Q1621" t="n">
        <x:v>1715000</x:v>
      </x:c>
      <x:c r="R1621" t="str">
        <x:v>10d20</x:v>
      </x:c>
      <x:c r="S1621" t="str">
        <x:v>PO</x:v>
      </x:c>
      <x:c r="T1621" t="n">
        <x:v>0</x:v>
      </x:c>
      <x:c r="U1621" t="n">
        <x:v>66</x:v>
      </x:c>
      <x:c r="V1621" t="n">
        <x:v>50</x:v>
      </x:c>
      <x:c r="W1621" t="n">
        <x:v>0</x:v>
      </x:c>
      <x:c r="X1621" t="str">
        <x:v>VALUE: [[10d20]] PO 66 PO 50 PA</x:v>
      </x:c>
    </x:row>
    <x:row r="1622">
      <x:c r="P1622" t="str">
        <x:v>19|Bête|Commune</x:v>
      </x:c>
      <x:c r="Q1622" t="n">
        <x:v>420000</x:v>
      </x:c>
      <x:c r="R1622" t="str">
        <x:v>8d6</x:v>
      </x:c>
      <x:c r="S1622" t="str">
        <x:v>PO</x:v>
      </x:c>
      <x:c r="T1622" t="n">
        <x:v>0</x:v>
      </x:c>
      <x:c r="U1622" t="n">
        <x:v>14</x:v>
      </x:c>
      <x:c r="V1622" t="n">
        <x:v>0</x:v>
      </x:c>
      <x:c r="W1622" t="n">
        <x:v>0</x:v>
      </x:c>
      <x:c r="X1622" t="str">
        <x:v>VALUE: [[8d6]] PO 14 PO</x:v>
      </x:c>
    </x:row>
    <x:row r="1623">
      <x:c r="P1623" t="str">
        <x:v>19|Bête|Peu commune</x:v>
      </x:c>
      <x:c r="Q1623" t="n">
        <x:v>630000</x:v>
      </x:c>
      <x:c r="R1623" t="str">
        <x:v>8d10</x:v>
      </x:c>
      <x:c r="S1623" t="str">
        <x:v>PO</x:v>
      </x:c>
      <x:c r="T1623" t="n">
        <x:v>0</x:v>
      </x:c>
      <x:c r="U1623" t="n">
        <x:v>19</x:v>
      </x:c>
      <x:c r="V1623" t="n">
        <x:v>0</x:v>
      </x:c>
      <x:c r="W1623" t="n">
        <x:v>0</x:v>
      </x:c>
      <x:c r="X1623" t="str">
        <x:v>VALUE: [[8d10]] PO 19 PO</x:v>
      </x:c>
    </x:row>
    <x:row r="1624">
      <x:c r="P1624" t="str">
        <x:v>19|Bête|Rare</x:v>
      </x:c>
      <x:c r="Q1624" t="n">
        <x:v>1050000</x:v>
      </x:c>
      <x:c r="R1624" t="str">
        <x:v>7d20</x:v>
      </x:c>
      <x:c r="S1624" t="str">
        <x:v>PO</x:v>
      </x:c>
      <x:c r="T1624" t="n">
        <x:v>0</x:v>
      </x:c>
      <x:c r="U1624" t="n">
        <x:v>31</x:v>
      </x:c>
      <x:c r="V1624" t="n">
        <x:v>50</x:v>
      </x:c>
      <x:c r="W1624" t="n">
        <x:v>0</x:v>
      </x:c>
      <x:c r="X1624" t="str">
        <x:v>VALUE: [[7d20]] PO 31 PO 50 PA</x:v>
      </x:c>
    </x:row>
    <x:row r="1625">
      <x:c r="P1625" t="str">
        <x:v>19|Bête|Précieuse</x:v>
      </x:c>
      <x:c r="Q1625" t="n">
        <x:v>1680000</x:v>
      </x:c>
      <x:c r="R1625" t="str">
        <x:v>10d20</x:v>
      </x:c>
      <x:c r="S1625" t="str">
        <x:v>PO</x:v>
      </x:c>
      <x:c r="T1625" t="n">
        <x:v>0</x:v>
      </x:c>
      <x:c r="U1625" t="n">
        <x:v>63</x:v>
      </x:c>
      <x:c r="V1625" t="n">
        <x:v>0</x:v>
      </x:c>
      <x:c r="W1625" t="n">
        <x:v>0</x:v>
      </x:c>
      <x:c r="X1625" t="str">
        <x:v>VALUE: [[10d20]] PO 63 PO</x:v>
      </x:c>
    </x:row>
    <x:row r="1626">
      <x:c r="P1626" t="str">
        <x:v>19|Bête|Exceptionnelle</x:v>
      </x:c>
      <x:c r="Q1626" t="n">
        <x:v>2940000</x:v>
      </x:c>
      <x:c r="R1626" t="str">
        <x:v>1d4</x:v>
      </x:c>
      <x:c r="S1626" t="str">
        <x:v>PP</x:v>
      </x:c>
      <x:c r="T1626" t="n">
        <x:v>0</x:v>
      </x:c>
      <x:c r="U1626" t="n">
        <x:v>44</x:v>
      </x:c>
      <x:c r="V1626" t="n">
        <x:v>0</x:v>
      </x:c>
      <x:c r="W1626" t="n">
        <x:v>0</x:v>
      </x:c>
      <x:c r="X1626" t="str">
        <x:v>VALUE: [[1d4]] PP 44 PO</x:v>
      </x:c>
    </x:row>
    <x:row r="1627">
      <x:c r="P1627" t="str">
        <x:v>19|Aquatique|Commune</x:v>
      </x:c>
      <x:c r="Q1627" t="n">
        <x:v>490000</x:v>
      </x:c>
      <x:c r="R1627" t="str">
        <x:v>10d6</x:v>
      </x:c>
      <x:c r="S1627" t="str">
        <x:v>PO</x:v>
      </x:c>
      <x:c r="T1627" t="n">
        <x:v>0</x:v>
      </x:c>
      <x:c r="U1627" t="n">
        <x:v>14</x:v>
      </x:c>
      <x:c r="V1627" t="n">
        <x:v>0</x:v>
      </x:c>
      <x:c r="W1627" t="n">
        <x:v>0</x:v>
      </x:c>
      <x:c r="X1627" t="str">
        <x:v>VALUE: [[10d6]] PO 14 PO</x:v>
      </x:c>
    </x:row>
    <x:row r="1628">
      <x:c r="P1628" t="str">
        <x:v>19|Aquatique|Peu commune</x:v>
      </x:c>
      <x:c r="Q1628" t="n">
        <x:v>735000</x:v>
      </x:c>
      <x:c r="R1628" t="str">
        <x:v>8d12</x:v>
      </x:c>
      <x:c r="S1628" t="str">
        <x:v>PO</x:v>
      </x:c>
      <x:c r="T1628" t="n">
        <x:v>0</x:v>
      </x:c>
      <x:c r="U1628" t="n">
        <x:v>21</x:v>
      </x:c>
      <x:c r="V1628" t="n">
        <x:v>50</x:v>
      </x:c>
      <x:c r="W1628" t="n">
        <x:v>0</x:v>
      </x:c>
      <x:c r="X1628" t="str">
        <x:v>VALUE: [[8d12]] PO 21 PO 50 PA</x:v>
      </x:c>
    </x:row>
    <x:row r="1629">
      <x:c r="P1629" t="str">
        <x:v>19|Aquatique|Rare</x:v>
      </x:c>
      <x:c r="Q1629" t="n">
        <x:v>1225000</x:v>
      </x:c>
      <x:c r="R1629" t="str">
        <x:v>8d20</x:v>
      </x:c>
      <x:c r="S1629" t="str">
        <x:v>PO</x:v>
      </x:c>
      <x:c r="T1629" t="n">
        <x:v>0</x:v>
      </x:c>
      <x:c r="U1629" t="n">
        <x:v>38</x:v>
      </x:c>
      <x:c r="V1629" t="n">
        <x:v>50</x:v>
      </x:c>
      <x:c r="W1629" t="n">
        <x:v>0</x:v>
      </x:c>
      <x:c r="X1629" t="str">
        <x:v>VALUE: [[8d20]] PO 38 PO 50 PA</x:v>
      </x:c>
    </x:row>
    <x:row r="1630">
      <x:c r="P1630" t="str">
        <x:v>19|Aquatique|Précieuse</x:v>
      </x:c>
      <x:c r="Q1630" t="n">
        <x:v>1960000</x:v>
      </x:c>
      <x:c r="R1630" t="str">
        <x:v>10d20</x:v>
      </x:c>
      <x:c r="S1630" t="str">
        <x:v>PO</x:v>
      </x:c>
      <x:c r="T1630" t="n">
        <x:v>0</x:v>
      </x:c>
      <x:c r="U1630" t="n">
        <x:v>91</x:v>
      </x:c>
      <x:c r="V1630" t="n">
        <x:v>0</x:v>
      </x:c>
      <x:c r="W1630" t="n">
        <x:v>0</x:v>
      </x:c>
      <x:c r="X1630" t="str">
        <x:v>VALUE: [[10d20]] PO 91 PO</x:v>
      </x:c>
    </x:row>
    <x:row r="1631">
      <x:c r="P1631" t="str">
        <x:v>19|Aquatique|Exceptionnelle</x:v>
      </x:c>
      <x:c r="Q1631" t="n">
        <x:v>3430000</x:v>
      </x:c>
      <x:c r="R1631" t="str">
        <x:v>1d4</x:v>
      </x:c>
      <x:c r="S1631" t="str">
        <x:v>PP</x:v>
      </x:c>
      <x:c r="T1631" t="n">
        <x:v>0</x:v>
      </x:c>
      <x:c r="U1631" t="n">
        <x:v>93</x:v>
      </x:c>
      <x:c r="V1631" t="n">
        <x:v>0</x:v>
      </x:c>
      <x:c r="W1631" t="n">
        <x:v>0</x:v>
      </x:c>
      <x:c r="X1631" t="str">
        <x:v>VALUE: [[1d4]] PP 93 PO</x:v>
      </x:c>
    </x:row>
    <x:row r="1632">
      <x:c r="P1632" t="str">
        <x:v>19|Plante|Commune</x:v>
      </x:c>
      <x:c r="Q1632" t="n">
        <x:v>560000</x:v>
      </x:c>
      <x:c r="R1632" t="str">
        <x:v>6d12</x:v>
      </x:c>
      <x:c r="S1632" t="str">
        <x:v>PO</x:v>
      </x:c>
      <x:c r="T1632" t="n">
        <x:v>0</x:v>
      </x:c>
      <x:c r="U1632" t="n">
        <x:v>17</x:v>
      </x:c>
      <x:c r="V1632" t="n">
        <x:v>0</x:v>
      </x:c>
      <x:c r="W1632" t="n">
        <x:v>0</x:v>
      </x:c>
      <x:c r="X1632" t="str">
        <x:v>VALUE: [[6d12]] PO 17 PO</x:v>
      </x:c>
    </x:row>
    <x:row r="1633">
      <x:c r="P1633" t="str">
        <x:v>19|Plante|Peu commune</x:v>
      </x:c>
      <x:c r="Q1633" t="n">
        <x:v>840000</x:v>
      </x:c>
      <x:c r="R1633" t="str">
        <x:v>9d12</x:v>
      </x:c>
      <x:c r="S1633" t="str">
        <x:v>PO</x:v>
      </x:c>
      <x:c r="T1633" t="n">
        <x:v>0</x:v>
      </x:c>
      <x:c r="U1633" t="n">
        <x:v>25</x:v>
      </x:c>
      <x:c r="V1633" t="n">
        <x:v>50</x:v>
      </x:c>
      <x:c r="W1633" t="n">
        <x:v>0</x:v>
      </x:c>
      <x:c r="X1633" t="str">
        <x:v>VALUE: [[9d12]] PO 25 PO 50 PA</x:v>
      </x:c>
    </x:row>
    <x:row r="1634">
      <x:c r="P1634" t="str">
        <x:v>19|Plante|Rare</x:v>
      </x:c>
      <x:c r="Q1634" t="n">
        <x:v>1400000</x:v>
      </x:c>
      <x:c r="R1634" t="str">
        <x:v>9d20</x:v>
      </x:c>
      <x:c r="S1634" t="str">
        <x:v>PO</x:v>
      </x:c>
      <x:c r="T1634" t="n">
        <x:v>0</x:v>
      </x:c>
      <x:c r="U1634" t="n">
        <x:v>45</x:v>
      </x:c>
      <x:c r="V1634" t="n">
        <x:v>50</x:v>
      </x:c>
      <x:c r="W1634" t="n">
        <x:v>0</x:v>
      </x:c>
      <x:c r="X1634" t="str">
        <x:v>VALUE: [[9d20]] PO 45 PO 50 PA</x:v>
      </x:c>
    </x:row>
    <x:row r="1635">
      <x:c r="P1635" t="str">
        <x:v>19|Plante|Précieuse</x:v>
      </x:c>
      <x:c r="Q1635" t="n">
        <x:v>2240000</x:v>
      </x:c>
      <x:c r="R1635" t="str">
        <x:v>10d20</x:v>
      </x:c>
      <x:c r="S1635" t="str">
        <x:v>PO</x:v>
      </x:c>
      <x:c r="T1635" t="n">
        <x:v>1</x:v>
      </x:c>
      <x:c r="U1635" t="n">
        <x:v>19</x:v>
      </x:c>
      <x:c r="V1635" t="n">
        <x:v>0</x:v>
      </x:c>
      <x:c r="W1635" t="n">
        <x:v>0</x:v>
      </x:c>
      <x:c r="X1635" t="str">
        <x:v>VALUE: [[10d20]] PO 1 PP 19 PO</x:v>
      </x:c>
    </x:row>
    <x:row r="1636">
      <x:c r="P1636" t="str">
        <x:v>19|Plante|Exceptionnelle</x:v>
      </x:c>
      <x:c r="Q1636" t="n">
        <x:v>3920000</x:v>
      </x:c>
      <x:c r="R1636" t="str">
        <x:v>1d4</x:v>
      </x:c>
      <x:c r="S1636" t="str">
        <x:v>PP</x:v>
      </x:c>
      <x:c r="T1636" t="n">
        <x:v>1</x:v>
      </x:c>
      <x:c r="U1636" t="n">
        <x:v>42</x:v>
      </x:c>
      <x:c r="V1636" t="n">
        <x:v>0</x:v>
      </x:c>
      <x:c r="W1636" t="n">
        <x:v>0</x:v>
      </x:c>
      <x:c r="X1636" t="str">
        <x:v>VALUE: [[1d4]] PP 1 PP 42 PO</x:v>
      </x:c>
    </x:row>
    <x:row r="1637">
      <x:c r="P1637" t="str">
        <x:v>19|Humanoïde|Commune</x:v>
      </x:c>
      <x:c r="Q1637" t="n">
        <x:v>700000</x:v>
      </x:c>
      <x:c r="R1637" t="str">
        <x:v>9d10</x:v>
      </x:c>
      <x:c r="S1637" t="str">
        <x:v>PO</x:v>
      </x:c>
      <x:c r="T1637" t="n">
        <x:v>0</x:v>
      </x:c>
      <x:c r="U1637" t="n">
        <x:v>20</x:v>
      </x:c>
      <x:c r="V1637" t="n">
        <x:v>50</x:v>
      </x:c>
      <x:c r="W1637" t="n">
        <x:v>0</x:v>
      </x:c>
      <x:c r="X1637" t="str">
        <x:v>VALUE: [[9d10]] PO 20 PO 50 PA</x:v>
      </x:c>
    </x:row>
    <x:row r="1638">
      <x:c r="P1638" t="str">
        <x:v>19|Humanoïde|Peu commune</x:v>
      </x:c>
      <x:c r="Q1638" t="n">
        <x:v>1050000</x:v>
      </x:c>
      <x:c r="R1638" t="str">
        <x:v>7d20</x:v>
      </x:c>
      <x:c r="S1638" t="str">
        <x:v>PO</x:v>
      </x:c>
      <x:c r="T1638" t="n">
        <x:v>0</x:v>
      </x:c>
      <x:c r="U1638" t="n">
        <x:v>31</x:v>
      </x:c>
      <x:c r="V1638" t="n">
        <x:v>50</x:v>
      </x:c>
      <x:c r="W1638" t="n">
        <x:v>0</x:v>
      </x:c>
      <x:c r="X1638" t="str">
        <x:v>VALUE: [[7d20]] PO 31 PO 50 PA</x:v>
      </x:c>
    </x:row>
    <x:row r="1639">
      <x:c r="P1639" t="str">
        <x:v>19|Humanoïde|Rare</x:v>
      </x:c>
      <x:c r="Q1639" t="n">
        <x:v>1750000</x:v>
      </x:c>
      <x:c r="R1639" t="str">
        <x:v>10d20</x:v>
      </x:c>
      <x:c r="S1639" t="str">
        <x:v>PO</x:v>
      </x:c>
      <x:c r="T1639" t="n">
        <x:v>0</x:v>
      </x:c>
      <x:c r="U1639" t="n">
        <x:v>70</x:v>
      </x:c>
      <x:c r="V1639" t="n">
        <x:v>0</x:v>
      </x:c>
      <x:c r="W1639" t="n">
        <x:v>0</x:v>
      </x:c>
      <x:c r="X1639" t="str">
        <x:v>VALUE: [[10d20]] PO 70 PO</x:v>
      </x:c>
    </x:row>
    <x:row r="1640">
      <x:c r="P1640" t="str">
        <x:v>19|Humanoïde|Précieuse</x:v>
      </x:c>
      <x:c r="Q1640" t="n">
        <x:v>2800000</x:v>
      </x:c>
      <x:c r="R1640" t="str">
        <x:v>1d4</x:v>
      </x:c>
      <x:c r="S1640" t="str">
        <x:v>PP</x:v>
      </x:c>
      <x:c r="T1640" t="n">
        <x:v>0</x:v>
      </x:c>
      <x:c r="U1640" t="n">
        <x:v>30</x:v>
      </x:c>
      <x:c r="V1640" t="n">
        <x:v>0</x:v>
      </x:c>
      <x:c r="W1640" t="n">
        <x:v>0</x:v>
      </x:c>
      <x:c r="X1640" t="str">
        <x:v>VALUE: [[1d4]] PP 30 PO</x:v>
      </x:c>
    </x:row>
    <x:row r="1641">
      <x:c r="P1641" t="str">
        <x:v>19|Humanoïde|Exceptionnelle</x:v>
      </x:c>
      <x:c r="Q1641" t="n">
        <x:v>4900000</x:v>
      </x:c>
      <x:c r="R1641" t="str">
        <x:v>1d6</x:v>
      </x:c>
      <x:c r="S1641" t="str">
        <x:v>PP</x:v>
      </x:c>
      <x:c r="T1641" t="n">
        <x:v>1</x:v>
      </x:c>
      <x:c r="U1641" t="n">
        <x:v>40</x:v>
      </x:c>
      <x:c r="V1641" t="n">
        <x:v>0</x:v>
      </x:c>
      <x:c r="W1641" t="n">
        <x:v>0</x:v>
      </x:c>
      <x:c r="X1641" t="str">
        <x:v>VALUE: [[1d6]] PP 1 PP 40 PO</x:v>
      </x:c>
    </x:row>
    <x:row r="1642">
      <x:c r="P1642" t="str">
        <x:v>19|Mort-vivant|Commune</x:v>
      </x:c>
      <x:c r="Q1642" t="n">
        <x:v>700000</x:v>
      </x:c>
      <x:c r="R1642" t="str">
        <x:v>9d10</x:v>
      </x:c>
      <x:c r="S1642" t="str">
        <x:v>PO</x:v>
      </x:c>
      <x:c r="T1642" t="n">
        <x:v>0</x:v>
      </x:c>
      <x:c r="U1642" t="n">
        <x:v>20</x:v>
      </x:c>
      <x:c r="V1642" t="n">
        <x:v>50</x:v>
      </x:c>
      <x:c r="W1642" t="n">
        <x:v>0</x:v>
      </x:c>
      <x:c r="X1642" t="str">
        <x:v>VALUE: [[9d10]] PO 20 PO 50 PA</x:v>
      </x:c>
    </x:row>
    <x:row r="1643">
      <x:c r="P1643" t="str">
        <x:v>19|Mort-vivant|Peu commune</x:v>
      </x:c>
      <x:c r="Q1643" t="n">
        <x:v>1050000</x:v>
      </x:c>
      <x:c r="R1643" t="str">
        <x:v>7d20</x:v>
      </x:c>
      <x:c r="S1643" t="str">
        <x:v>PO</x:v>
      </x:c>
      <x:c r="T1643" t="n">
        <x:v>0</x:v>
      </x:c>
      <x:c r="U1643" t="n">
        <x:v>31</x:v>
      </x:c>
      <x:c r="V1643" t="n">
        <x:v>50</x:v>
      </x:c>
      <x:c r="W1643" t="n">
        <x:v>0</x:v>
      </x:c>
      <x:c r="X1643" t="str">
        <x:v>VALUE: [[7d20]] PO 31 PO 50 PA</x:v>
      </x:c>
    </x:row>
    <x:row r="1644">
      <x:c r="P1644" t="str">
        <x:v>19|Mort-vivant|Rare</x:v>
      </x:c>
      <x:c r="Q1644" t="n">
        <x:v>1750000</x:v>
      </x:c>
      <x:c r="R1644" t="str">
        <x:v>10d20</x:v>
      </x:c>
      <x:c r="S1644" t="str">
        <x:v>PO</x:v>
      </x:c>
      <x:c r="T1644" t="n">
        <x:v>0</x:v>
      </x:c>
      <x:c r="U1644" t="n">
        <x:v>70</x:v>
      </x:c>
      <x:c r="V1644" t="n">
        <x:v>0</x:v>
      </x:c>
      <x:c r="W1644" t="n">
        <x:v>0</x:v>
      </x:c>
      <x:c r="X1644" t="str">
        <x:v>VALUE: [[10d20]] PO 70 PO</x:v>
      </x:c>
    </x:row>
    <x:row r="1645">
      <x:c r="P1645" t="str">
        <x:v>19|Mort-vivant|Précieuse</x:v>
      </x:c>
      <x:c r="Q1645" t="n">
        <x:v>2800000</x:v>
      </x:c>
      <x:c r="R1645" t="str">
        <x:v>1d4</x:v>
      </x:c>
      <x:c r="S1645" t="str">
        <x:v>PP</x:v>
      </x:c>
      <x:c r="T1645" t="n">
        <x:v>0</x:v>
      </x:c>
      <x:c r="U1645" t="n">
        <x:v>30</x:v>
      </x:c>
      <x:c r="V1645" t="n">
        <x:v>0</x:v>
      </x:c>
      <x:c r="W1645" t="n">
        <x:v>0</x:v>
      </x:c>
      <x:c r="X1645" t="str">
        <x:v>VALUE: [[1d4]] PP 30 PO</x:v>
      </x:c>
    </x:row>
    <x:row r="1646">
      <x:c r="P1646" t="str">
        <x:v>19|Mort-vivant|Exceptionnelle</x:v>
      </x:c>
      <x:c r="Q1646" t="n">
        <x:v>4900000</x:v>
      </x:c>
      <x:c r="R1646" t="str">
        <x:v>1d6</x:v>
      </x:c>
      <x:c r="S1646" t="str">
        <x:v>PP</x:v>
      </x:c>
      <x:c r="T1646" t="n">
        <x:v>1</x:v>
      </x:c>
      <x:c r="U1646" t="n">
        <x:v>40</x:v>
      </x:c>
      <x:c r="V1646" t="n">
        <x:v>0</x:v>
      </x:c>
      <x:c r="W1646" t="n">
        <x:v>0</x:v>
      </x:c>
      <x:c r="X1646" t="str">
        <x:v>VALUE: [[1d6]] PP 1 PP 40 PO</x:v>
      </x:c>
    </x:row>
    <x:row r="1647">
      <x:c r="P1647" t="str">
        <x:v>19|Monstre|Commune</x:v>
      </x:c>
      <x:c r="Q1647" t="n">
        <x:v>700000</x:v>
      </x:c>
      <x:c r="R1647" t="str">
        <x:v>9d10</x:v>
      </x:c>
      <x:c r="S1647" t="str">
        <x:v>PO</x:v>
      </x:c>
      <x:c r="T1647" t="n">
        <x:v>0</x:v>
      </x:c>
      <x:c r="U1647" t="n">
        <x:v>20</x:v>
      </x:c>
      <x:c r="V1647" t="n">
        <x:v>50</x:v>
      </x:c>
      <x:c r="W1647" t="n">
        <x:v>0</x:v>
      </x:c>
      <x:c r="X1647" t="str">
        <x:v>VALUE: [[9d10]] PO 20 PO 50 PA</x:v>
      </x:c>
    </x:row>
    <x:row r="1648">
      <x:c r="P1648" t="str">
        <x:v>19|Monstre|Peu commune</x:v>
      </x:c>
      <x:c r="Q1648" t="n">
        <x:v>1050000</x:v>
      </x:c>
      <x:c r="R1648" t="str">
        <x:v>7d20</x:v>
      </x:c>
      <x:c r="S1648" t="str">
        <x:v>PO</x:v>
      </x:c>
      <x:c r="T1648" t="n">
        <x:v>0</x:v>
      </x:c>
      <x:c r="U1648" t="n">
        <x:v>31</x:v>
      </x:c>
      <x:c r="V1648" t="n">
        <x:v>50</x:v>
      </x:c>
      <x:c r="W1648" t="n">
        <x:v>0</x:v>
      </x:c>
      <x:c r="X1648" t="str">
        <x:v>VALUE: [[7d20]] PO 31 PO 50 PA</x:v>
      </x:c>
    </x:row>
    <x:row r="1649">
      <x:c r="P1649" t="str">
        <x:v>19|Monstre|Rare</x:v>
      </x:c>
      <x:c r="Q1649" t="n">
        <x:v>1750000</x:v>
      </x:c>
      <x:c r="R1649" t="str">
        <x:v>10d20</x:v>
      </x:c>
      <x:c r="S1649" t="str">
        <x:v>PO</x:v>
      </x:c>
      <x:c r="T1649" t="n">
        <x:v>0</x:v>
      </x:c>
      <x:c r="U1649" t="n">
        <x:v>70</x:v>
      </x:c>
      <x:c r="V1649" t="n">
        <x:v>0</x:v>
      </x:c>
      <x:c r="W1649" t="n">
        <x:v>0</x:v>
      </x:c>
      <x:c r="X1649" t="str">
        <x:v>VALUE: [[10d20]] PO 70 PO</x:v>
      </x:c>
    </x:row>
    <x:row r="1650">
      <x:c r="P1650" t="str">
        <x:v>19|Monstre|Précieuse</x:v>
      </x:c>
      <x:c r="Q1650" t="n">
        <x:v>2800000</x:v>
      </x:c>
      <x:c r="R1650" t="str">
        <x:v>1d4</x:v>
      </x:c>
      <x:c r="S1650" t="str">
        <x:v>PP</x:v>
      </x:c>
      <x:c r="T1650" t="n">
        <x:v>0</x:v>
      </x:c>
      <x:c r="U1650" t="n">
        <x:v>30</x:v>
      </x:c>
      <x:c r="V1650" t="n">
        <x:v>0</x:v>
      </x:c>
      <x:c r="W1650" t="n">
        <x:v>0</x:v>
      </x:c>
      <x:c r="X1650" t="str">
        <x:v>VALUE: [[1d4]] PP 30 PO</x:v>
      </x:c>
    </x:row>
    <x:row r="1651">
      <x:c r="P1651" t="str">
        <x:v>19|Monstre|Exceptionnelle</x:v>
      </x:c>
      <x:c r="Q1651" t="n">
        <x:v>4900000</x:v>
      </x:c>
      <x:c r="R1651" t="str">
        <x:v>1d6</x:v>
      </x:c>
      <x:c r="S1651" t="str">
        <x:v>PP</x:v>
      </x:c>
      <x:c r="T1651" t="n">
        <x:v>1</x:v>
      </x:c>
      <x:c r="U1651" t="n">
        <x:v>40</x:v>
      </x:c>
      <x:c r="V1651" t="n">
        <x:v>0</x:v>
      </x:c>
      <x:c r="W1651" t="n">
        <x:v>0</x:v>
      </x:c>
      <x:c r="X1651" t="str">
        <x:v>VALUE: [[1d6]] PP 1 PP 40 PO</x:v>
      </x:c>
    </x:row>
    <x:row r="1652">
      <x:c r="P1652" t="str">
        <x:v>19|Vase|Commune</x:v>
      </x:c>
      <x:c r="Q1652" t="n">
        <x:v>700000</x:v>
      </x:c>
      <x:c r="R1652" t="str">
        <x:v>9d10</x:v>
      </x:c>
      <x:c r="S1652" t="str">
        <x:v>PO</x:v>
      </x:c>
      <x:c r="T1652" t="n">
        <x:v>0</x:v>
      </x:c>
      <x:c r="U1652" t="n">
        <x:v>20</x:v>
      </x:c>
      <x:c r="V1652" t="n">
        <x:v>50</x:v>
      </x:c>
      <x:c r="W1652" t="n">
        <x:v>0</x:v>
      </x:c>
      <x:c r="X1652" t="str">
        <x:v>VALUE: [[9d10]] PO 20 PO 50 PA</x:v>
      </x:c>
    </x:row>
    <x:row r="1653">
      <x:c r="P1653" t="str">
        <x:v>19|Vase|Peu commune</x:v>
      </x:c>
      <x:c r="Q1653" t="n">
        <x:v>1050000</x:v>
      </x:c>
      <x:c r="R1653" t="str">
        <x:v>7d20</x:v>
      </x:c>
      <x:c r="S1653" t="str">
        <x:v>PO</x:v>
      </x:c>
      <x:c r="T1653" t="n">
        <x:v>0</x:v>
      </x:c>
      <x:c r="U1653" t="n">
        <x:v>31</x:v>
      </x:c>
      <x:c r="V1653" t="n">
        <x:v>50</x:v>
      </x:c>
      <x:c r="W1653" t="n">
        <x:v>0</x:v>
      </x:c>
      <x:c r="X1653" t="str">
        <x:v>VALUE: [[7d20]] PO 31 PO 50 PA</x:v>
      </x:c>
    </x:row>
    <x:row r="1654">
      <x:c r="P1654" t="str">
        <x:v>19|Vase|Rare</x:v>
      </x:c>
      <x:c r="Q1654" t="n">
        <x:v>1750000</x:v>
      </x:c>
      <x:c r="R1654" t="str">
        <x:v>10d20</x:v>
      </x:c>
      <x:c r="S1654" t="str">
        <x:v>PO</x:v>
      </x:c>
      <x:c r="T1654" t="n">
        <x:v>0</x:v>
      </x:c>
      <x:c r="U1654" t="n">
        <x:v>70</x:v>
      </x:c>
      <x:c r="V1654" t="n">
        <x:v>0</x:v>
      </x:c>
      <x:c r="W1654" t="n">
        <x:v>0</x:v>
      </x:c>
      <x:c r="X1654" t="str">
        <x:v>VALUE: [[10d20]] PO 70 PO</x:v>
      </x:c>
    </x:row>
    <x:row r="1655">
      <x:c r="P1655" t="str">
        <x:v>19|Vase|Précieuse</x:v>
      </x:c>
      <x:c r="Q1655" t="n">
        <x:v>2800000</x:v>
      </x:c>
      <x:c r="R1655" t="str">
        <x:v>1d4</x:v>
      </x:c>
      <x:c r="S1655" t="str">
        <x:v>PP</x:v>
      </x:c>
      <x:c r="T1655" t="n">
        <x:v>0</x:v>
      </x:c>
      <x:c r="U1655" t="n">
        <x:v>30</x:v>
      </x:c>
      <x:c r="V1655" t="n">
        <x:v>0</x:v>
      </x:c>
      <x:c r="W1655" t="n">
        <x:v>0</x:v>
      </x:c>
      <x:c r="X1655" t="str">
        <x:v>VALUE: [[1d4]] PP 30 PO</x:v>
      </x:c>
    </x:row>
    <x:row r="1656">
      <x:c r="P1656" t="str">
        <x:v>19|Vase|Exceptionnelle</x:v>
      </x:c>
      <x:c r="Q1656" t="n">
        <x:v>4900000</x:v>
      </x:c>
      <x:c r="R1656" t="str">
        <x:v>1d6</x:v>
      </x:c>
      <x:c r="S1656" t="str">
        <x:v>PP</x:v>
      </x:c>
      <x:c r="T1656" t="n">
        <x:v>1</x:v>
      </x:c>
      <x:c r="U1656" t="n">
        <x:v>40</x:v>
      </x:c>
      <x:c r="V1656" t="n">
        <x:v>0</x:v>
      </x:c>
      <x:c r="W1656" t="n">
        <x:v>0</x:v>
      </x:c>
      <x:c r="X1656" t="str">
        <x:v>VALUE: [[1d6]] PP 1 PP 40 PO</x:v>
      </x:c>
    </x:row>
    <x:row r="1657">
      <x:c r="P1657" t="str">
        <x:v>19|Géant|Commune</x:v>
      </x:c>
      <x:c r="Q1657" t="n">
        <x:v>840000</x:v>
      </x:c>
      <x:c r="R1657" t="str">
        <x:v>9d12</x:v>
      </x:c>
      <x:c r="S1657" t="str">
        <x:v>PO</x:v>
      </x:c>
      <x:c r="T1657" t="n">
        <x:v>0</x:v>
      </x:c>
      <x:c r="U1657" t="n">
        <x:v>25</x:v>
      </x:c>
      <x:c r="V1657" t="n">
        <x:v>50</x:v>
      </x:c>
      <x:c r="W1657" t="n">
        <x:v>0</x:v>
      </x:c>
      <x:c r="X1657" t="str">
        <x:v>VALUE: [[9d12]] PO 25 PO 50 PA</x:v>
      </x:c>
    </x:row>
    <x:row r="1658">
      <x:c r="P1658" t="str">
        <x:v>19|Géant|Peu commune</x:v>
      </x:c>
      <x:c r="Q1658" t="n">
        <x:v>1260000</x:v>
      </x:c>
      <x:c r="R1658" t="str">
        <x:v>8d20</x:v>
      </x:c>
      <x:c r="S1658" t="str">
        <x:v>PO</x:v>
      </x:c>
      <x:c r="T1658" t="n">
        <x:v>0</x:v>
      </x:c>
      <x:c r="U1658" t="n">
        <x:v>42</x:v>
      </x:c>
      <x:c r="V1658" t="n">
        <x:v>0</x:v>
      </x:c>
      <x:c r="W1658" t="n">
        <x:v>0</x:v>
      </x:c>
      <x:c r="X1658" t="str">
        <x:v>VALUE: [[8d20]] PO 42 PO</x:v>
      </x:c>
    </x:row>
    <x:row r="1659">
      <x:c r="P1659" t="str">
        <x:v>19|Géant|Rare</x:v>
      </x:c>
      <x:c r="Q1659" t="n">
        <x:v>2100000</x:v>
      </x:c>
      <x:c r="R1659" t="str">
        <x:v>10d20</x:v>
      </x:c>
      <x:c r="S1659" t="str">
        <x:v>PO</x:v>
      </x:c>
      <x:c r="T1659" t="n">
        <x:v>1</x:v>
      </x:c>
      <x:c r="U1659" t="n">
        <x:v>5</x:v>
      </x:c>
      <x:c r="V1659" t="n">
        <x:v>0</x:v>
      </x:c>
      <x:c r="W1659" t="n">
        <x:v>0</x:v>
      </x:c>
      <x:c r="X1659" t="str">
        <x:v>VALUE: [[10d20]] PO 1 PP 5 PO</x:v>
      </x:c>
    </x:row>
    <x:row r="1660">
      <x:c r="P1660" t="str">
        <x:v>19|Géant|Précieuse</x:v>
      </x:c>
      <x:c r="Q1660" t="n">
        <x:v>3360000</x:v>
      </x:c>
      <x:c r="R1660" t="str">
        <x:v>1d4</x:v>
      </x:c>
      <x:c r="S1660" t="str">
        <x:v>PP</x:v>
      </x:c>
      <x:c r="T1660" t="n">
        <x:v>0</x:v>
      </x:c>
      <x:c r="U1660" t="n">
        <x:v>86</x:v>
      </x:c>
      <x:c r="V1660" t="n">
        <x:v>0</x:v>
      </x:c>
      <x:c r="W1660" t="n">
        <x:v>0</x:v>
      </x:c>
      <x:c r="X1660" t="str">
        <x:v>VALUE: [[1d4]] PP 86 PO</x:v>
      </x:c>
    </x:row>
    <x:row r="1661">
      <x:c r="P1661" t="str">
        <x:v>19|Géant|Exceptionnelle</x:v>
      </x:c>
      <x:c r="Q1661" t="n">
        <x:v>5880000</x:v>
      </x:c>
      <x:c r="R1661" t="str">
        <x:v>1d8</x:v>
      </x:c>
      <x:c r="S1661" t="str">
        <x:v>PP</x:v>
      </x:c>
      <x:c r="T1661" t="n">
        <x:v>1</x:v>
      </x:c>
      <x:c r="U1661" t="n">
        <x:v>38</x:v>
      </x:c>
      <x:c r="V1661" t="n">
        <x:v>0</x:v>
      </x:c>
      <x:c r="W1661" t="n">
        <x:v>0</x:v>
      </x:c>
      <x:c r="X1661" t="str">
        <x:v>VALUE: [[1d8]] PP 1 PP 38 PO</x:v>
      </x:c>
    </x:row>
    <x:row r="1662">
      <x:c r="P1662" t="str">
        <x:v>19|Aberration|Commune</x:v>
      </x:c>
      <x:c r="Q1662" t="n">
        <x:v>1050000</x:v>
      </x:c>
      <x:c r="R1662" t="str">
        <x:v>7d20</x:v>
      </x:c>
      <x:c r="S1662" t="str">
        <x:v>PO</x:v>
      </x:c>
      <x:c r="T1662" t="n">
        <x:v>0</x:v>
      </x:c>
      <x:c r="U1662" t="n">
        <x:v>31</x:v>
      </x:c>
      <x:c r="V1662" t="n">
        <x:v>50</x:v>
      </x:c>
      <x:c r="W1662" t="n">
        <x:v>0</x:v>
      </x:c>
      <x:c r="X1662" t="str">
        <x:v>VALUE: [[7d20]] PO 31 PO 50 PA</x:v>
      </x:c>
    </x:row>
    <x:row r="1663">
      <x:c r="P1663" t="str">
        <x:v>19|Aberration|Peu commune</x:v>
      </x:c>
      <x:c r="Q1663" t="n">
        <x:v>1575000</x:v>
      </x:c>
      <x:c r="R1663" t="str">
        <x:v>10d20</x:v>
      </x:c>
      <x:c r="S1663" t="str">
        <x:v>PO</x:v>
      </x:c>
      <x:c r="T1663" t="n">
        <x:v>0</x:v>
      </x:c>
      <x:c r="U1663" t="n">
        <x:v>52</x:v>
      </x:c>
      <x:c r="V1663" t="n">
        <x:v>50</x:v>
      </x:c>
      <x:c r="W1663" t="n">
        <x:v>0</x:v>
      </x:c>
      <x:c r="X1663" t="str">
        <x:v>VALUE: [[10d20]] PO 52 PO 50 PA</x:v>
      </x:c>
    </x:row>
    <x:row r="1664">
      <x:c r="P1664" t="str">
        <x:v>19|Aberration|Rare</x:v>
      </x:c>
      <x:c r="Q1664" t="n">
        <x:v>2625000</x:v>
      </x:c>
      <x:c r="R1664" t="str">
        <x:v>1d4</x:v>
      </x:c>
      <x:c r="S1664" t="str">
        <x:v>PP</x:v>
      </x:c>
      <x:c r="T1664" t="n">
        <x:v>0</x:v>
      </x:c>
      <x:c r="U1664" t="n">
        <x:v>12</x:v>
      </x:c>
      <x:c r="V1664" t="n">
        <x:v>50</x:v>
      </x:c>
      <x:c r="W1664" t="n">
        <x:v>0</x:v>
      </x:c>
      <x:c r="X1664" t="str">
        <x:v>VALUE: [[1d4]] PP 12 PO 50 PA</x:v>
      </x:c>
    </x:row>
    <x:row r="1665">
      <x:c r="P1665" t="str">
        <x:v>19|Aberration|Précieuse</x:v>
      </x:c>
      <x:c r="Q1665" t="n">
        <x:v>4200000</x:v>
      </x:c>
      <x:c r="R1665" t="str">
        <x:v>1d4</x:v>
      </x:c>
      <x:c r="S1665" t="str">
        <x:v>PP</x:v>
      </x:c>
      <x:c r="T1665" t="n">
        <x:v>1</x:v>
      </x:c>
      <x:c r="U1665" t="n">
        <x:v>70</x:v>
      </x:c>
      <x:c r="V1665" t="n">
        <x:v>0</x:v>
      </x:c>
      <x:c r="W1665" t="n">
        <x:v>0</x:v>
      </x:c>
      <x:c r="X1665" t="str">
        <x:v>VALUE: [[1d4]] PP 1 PP 70 PO</x:v>
      </x:c>
    </x:row>
    <x:row r="1666">
      <x:c r="P1666" t="str">
        <x:v>19|Aberration|Exceptionnelle</x:v>
      </x:c>
      <x:c r="Q1666" t="n">
        <x:v>7350000</x:v>
      </x:c>
      <x:c r="R1666" t="str">
        <x:v>2d4</x:v>
      </x:c>
      <x:c r="S1666" t="str">
        <x:v>PP</x:v>
      </x:c>
      <x:c r="T1666" t="n">
        <x:v>2</x:v>
      </x:c>
      <x:c r="U1666" t="n">
        <x:v>35</x:v>
      </x:c>
      <x:c r="V1666" t="n">
        <x:v>0</x:v>
      </x:c>
      <x:c r="W1666" t="n">
        <x:v>0</x:v>
      </x:c>
      <x:c r="X1666" t="str">
        <x:v>VALUE: [[2d4]] PP 2 PP 35 PO</x:v>
      </x:c>
    </x:row>
    <x:row r="1667">
      <x:c r="P1667" t="str">
        <x:v>19|Fée|Commune</x:v>
      </x:c>
      <x:c r="Q1667" t="n">
        <x:v>1260000</x:v>
      </x:c>
      <x:c r="R1667" t="str">
        <x:v>8d20</x:v>
      </x:c>
      <x:c r="S1667" t="str">
        <x:v>PO</x:v>
      </x:c>
      <x:c r="T1667" t="n">
        <x:v>0</x:v>
      </x:c>
      <x:c r="U1667" t="n">
        <x:v>42</x:v>
      </x:c>
      <x:c r="V1667" t="n">
        <x:v>0</x:v>
      </x:c>
      <x:c r="W1667" t="n">
        <x:v>0</x:v>
      </x:c>
      <x:c r="X1667" t="str">
        <x:v>VALUE: [[8d20]] PO 42 PO</x:v>
      </x:c>
    </x:row>
    <x:row r="1668">
      <x:c r="P1668" t="str">
        <x:v>19|Fée|Peu commune</x:v>
      </x:c>
      <x:c r="Q1668" t="n">
        <x:v>1890000</x:v>
      </x:c>
      <x:c r="R1668" t="str">
        <x:v>10d20</x:v>
      </x:c>
      <x:c r="S1668" t="str">
        <x:v>PO</x:v>
      </x:c>
      <x:c r="T1668" t="n">
        <x:v>0</x:v>
      </x:c>
      <x:c r="U1668" t="n">
        <x:v>84</x:v>
      </x:c>
      <x:c r="V1668" t="n">
        <x:v>0</x:v>
      </x:c>
      <x:c r="W1668" t="n">
        <x:v>0</x:v>
      </x:c>
      <x:c r="X1668" t="str">
        <x:v>VALUE: [[10d20]] PO 84 PO</x:v>
      </x:c>
    </x:row>
    <x:row r="1669">
      <x:c r="P1669" t="str">
        <x:v>19|Fée|Rare</x:v>
      </x:c>
      <x:c r="Q1669" t="n">
        <x:v>3150000</x:v>
      </x:c>
      <x:c r="R1669" t="str">
        <x:v>1d4</x:v>
      </x:c>
      <x:c r="S1669" t="str">
        <x:v>PP</x:v>
      </x:c>
      <x:c r="T1669" t="n">
        <x:v>0</x:v>
      </x:c>
      <x:c r="U1669" t="n">
        <x:v>65</x:v>
      </x:c>
      <x:c r="V1669" t="n">
        <x:v>0</x:v>
      </x:c>
      <x:c r="W1669" t="n">
        <x:v>0</x:v>
      </x:c>
      <x:c r="X1669" t="str">
        <x:v>VALUE: [[1d4]] PP 65 PO</x:v>
      </x:c>
    </x:row>
    <x:row r="1670">
      <x:c r="P1670" t="str">
        <x:v>19|Fée|Précieuse</x:v>
      </x:c>
      <x:c r="Q1670" t="n">
        <x:v>5040000</x:v>
      </x:c>
      <x:c r="R1670" t="str">
        <x:v>1d6</x:v>
      </x:c>
      <x:c r="S1670" t="str">
        <x:v>PP</x:v>
      </x:c>
      <x:c r="T1670" t="n">
        <x:v>1</x:v>
      </x:c>
      <x:c r="U1670" t="n">
        <x:v>54</x:v>
      </x:c>
      <x:c r="V1670" t="n">
        <x:v>0</x:v>
      </x:c>
      <x:c r="W1670" t="n">
        <x:v>0</x:v>
      </x:c>
      <x:c r="X1670" t="str">
        <x:v>VALUE: [[1d6]] PP 1 PP 54 PO</x:v>
      </x:c>
    </x:row>
    <x:row r="1671">
      <x:c r="P1671" t="str">
        <x:v>19|Fée|Exceptionnelle</x:v>
      </x:c>
      <x:c r="Q1671" t="n">
        <x:v>8820000</x:v>
      </x:c>
      <x:c r="R1671" t="str">
        <x:v>1d12</x:v>
      </x:c>
      <x:c r="S1671" t="str">
        <x:v>PP</x:v>
      </x:c>
      <x:c r="T1671" t="n">
        <x:v>2</x:v>
      </x:c>
      <x:c r="U1671" t="n">
        <x:v>32</x:v>
      </x:c>
      <x:c r="V1671" t="n">
        <x:v>0</x:v>
      </x:c>
      <x:c r="W1671" t="n">
        <x:v>0</x:v>
      </x:c>
      <x:c r="X1671" t="str">
        <x:v>VALUE: [[1d12]] PP 2 PP 32 PO</x:v>
      </x:c>
    </x:row>
    <x:row r="1672">
      <x:c r="P1672" t="str">
        <x:v>19|Démon|Commune</x:v>
      </x:c>
      <x:c r="Q1672" t="n">
        <x:v>1400000</x:v>
      </x:c>
      <x:c r="R1672" t="str">
        <x:v>9d20</x:v>
      </x:c>
      <x:c r="S1672" t="str">
        <x:v>PO</x:v>
      </x:c>
      <x:c r="T1672" t="n">
        <x:v>0</x:v>
      </x:c>
      <x:c r="U1672" t="n">
        <x:v>45</x:v>
      </x:c>
      <x:c r="V1672" t="n">
        <x:v>50</x:v>
      </x:c>
      <x:c r="W1672" t="n">
        <x:v>0</x:v>
      </x:c>
      <x:c r="X1672" t="str">
        <x:v>VALUE: [[9d20]] PO 45 PO 50 PA</x:v>
      </x:c>
    </x:row>
    <x:row r="1673">
      <x:c r="P1673" t="str">
        <x:v>19|Démon|Peu commune</x:v>
      </x:c>
      <x:c r="Q1673" t="n">
        <x:v>2100000</x:v>
      </x:c>
      <x:c r="R1673" t="str">
        <x:v>10d20</x:v>
      </x:c>
      <x:c r="S1673" t="str">
        <x:v>PO</x:v>
      </x:c>
      <x:c r="T1673" t="n">
        <x:v>1</x:v>
      </x:c>
      <x:c r="U1673" t="n">
        <x:v>5</x:v>
      </x:c>
      <x:c r="V1673" t="n">
        <x:v>0</x:v>
      </x:c>
      <x:c r="W1673" t="n">
        <x:v>0</x:v>
      </x:c>
      <x:c r="X1673" t="str">
        <x:v>VALUE: [[10d20]] PO 1 PP 5 PO</x:v>
      </x:c>
    </x:row>
    <x:row r="1674">
      <x:c r="P1674" t="str">
        <x:v>19|Démon|Rare</x:v>
      </x:c>
      <x:c r="Q1674" t="n">
        <x:v>3500000</x:v>
      </x:c>
      <x:c r="R1674" t="str">
        <x:v>1d4</x:v>
      </x:c>
      <x:c r="S1674" t="str">
        <x:v>PP</x:v>
      </x:c>
      <x:c r="T1674" t="n">
        <x:v>1</x:v>
      </x:c>
      <x:c r="U1674" t="n">
        <x:v>0</x:v>
      </x:c>
      <x:c r="V1674" t="n">
        <x:v>0</x:v>
      </x:c>
      <x:c r="W1674" t="n">
        <x:v>0</x:v>
      </x:c>
      <x:c r="X1674" t="str">
        <x:v>VALUE: [[1d4]] PP 1 PP</x:v>
      </x:c>
    </x:row>
    <x:row r="1675">
      <x:c r="P1675" t="str">
        <x:v>19|Démon|Précieuse</x:v>
      </x:c>
      <x:c r="Q1675" t="n">
        <x:v>5600000</x:v>
      </x:c>
      <x:c r="R1675" t="str">
        <x:v>1d6</x:v>
      </x:c>
      <x:c r="S1675" t="str">
        <x:v>PP</x:v>
      </x:c>
      <x:c r="T1675" t="n">
        <x:v>2</x:v>
      </x:c>
      <x:c r="U1675" t="n">
        <x:v>10</x:v>
      </x:c>
      <x:c r="V1675" t="n">
        <x:v>0</x:v>
      </x:c>
      <x:c r="W1675" t="n">
        <x:v>0</x:v>
      </x:c>
      <x:c r="X1675" t="str">
        <x:v>VALUE: [[1d6]] PP 2 PP 10 PO</x:v>
      </x:c>
    </x:row>
    <x:row r="1676">
      <x:c r="P1676" t="str">
        <x:v>19|Démon|Exceptionnelle</x:v>
      </x:c>
      <x:c r="Q1676" t="n">
        <x:v>9800000</x:v>
      </x:c>
      <x:c r="R1676" t="str">
        <x:v>2d6</x:v>
      </x:c>
      <x:c r="S1676" t="str">
        <x:v>PP</x:v>
      </x:c>
      <x:c r="T1676" t="n">
        <x:v>2</x:v>
      </x:c>
      <x:c r="U1676" t="n">
        <x:v>80</x:v>
      </x:c>
      <x:c r="V1676" t="n">
        <x:v>0</x:v>
      </x:c>
      <x:c r="W1676" t="n">
        <x:v>0</x:v>
      </x:c>
      <x:c r="X1676" t="str">
        <x:v>VALUE: [[2d6]] PP 2 PP 80 PO</x:v>
      </x:c>
    </x:row>
    <x:row r="1677">
      <x:c r="P1677" t="str">
        <x:v>19|Artificiel|Commune</x:v>
      </x:c>
      <x:c r="Q1677" t="n">
        <x:v>1400000</x:v>
      </x:c>
      <x:c r="R1677" t="str">
        <x:v>9d20</x:v>
      </x:c>
      <x:c r="S1677" t="str">
        <x:v>PO</x:v>
      </x:c>
      <x:c r="T1677" t="n">
        <x:v>0</x:v>
      </x:c>
      <x:c r="U1677" t="n">
        <x:v>45</x:v>
      </x:c>
      <x:c r="V1677" t="n">
        <x:v>50</x:v>
      </x:c>
      <x:c r="W1677" t="n">
        <x:v>0</x:v>
      </x:c>
      <x:c r="X1677" t="str">
        <x:v>VALUE: [[9d20]] PO 45 PO 50 PA</x:v>
      </x:c>
    </x:row>
    <x:row r="1678">
      <x:c r="P1678" t="str">
        <x:v>19|Artificiel|Peu commune</x:v>
      </x:c>
      <x:c r="Q1678" t="n">
        <x:v>2100000</x:v>
      </x:c>
      <x:c r="R1678" t="str">
        <x:v>10d20</x:v>
      </x:c>
      <x:c r="S1678" t="str">
        <x:v>PO</x:v>
      </x:c>
      <x:c r="T1678" t="n">
        <x:v>1</x:v>
      </x:c>
      <x:c r="U1678" t="n">
        <x:v>5</x:v>
      </x:c>
      <x:c r="V1678" t="n">
        <x:v>0</x:v>
      </x:c>
      <x:c r="W1678" t="n">
        <x:v>0</x:v>
      </x:c>
      <x:c r="X1678" t="str">
        <x:v>VALUE: [[10d20]] PO 1 PP 5 PO</x:v>
      </x:c>
    </x:row>
    <x:row r="1679">
      <x:c r="P1679" t="str">
        <x:v>19|Artificiel|Rare</x:v>
      </x:c>
      <x:c r="Q1679" t="n">
        <x:v>3500000</x:v>
      </x:c>
      <x:c r="R1679" t="str">
        <x:v>1d4</x:v>
      </x:c>
      <x:c r="S1679" t="str">
        <x:v>PP</x:v>
      </x:c>
      <x:c r="T1679" t="n">
        <x:v>1</x:v>
      </x:c>
      <x:c r="U1679" t="n">
        <x:v>0</x:v>
      </x:c>
      <x:c r="V1679" t="n">
        <x:v>0</x:v>
      </x:c>
      <x:c r="W1679" t="n">
        <x:v>0</x:v>
      </x:c>
      <x:c r="X1679" t="str">
        <x:v>VALUE: [[1d4]] PP 1 PP</x:v>
      </x:c>
    </x:row>
    <x:row r="1680">
      <x:c r="P1680" t="str">
        <x:v>19|Artificiel|Précieuse</x:v>
      </x:c>
      <x:c r="Q1680" t="n">
        <x:v>5600000</x:v>
      </x:c>
      <x:c r="R1680" t="str">
        <x:v>1d6</x:v>
      </x:c>
      <x:c r="S1680" t="str">
        <x:v>PP</x:v>
      </x:c>
      <x:c r="T1680" t="n">
        <x:v>2</x:v>
      </x:c>
      <x:c r="U1680" t="n">
        <x:v>10</x:v>
      </x:c>
      <x:c r="V1680" t="n">
        <x:v>0</x:v>
      </x:c>
      <x:c r="W1680" t="n">
        <x:v>0</x:v>
      </x:c>
      <x:c r="X1680" t="str">
        <x:v>VALUE: [[1d6]] PP 2 PP 10 PO</x:v>
      </x:c>
    </x:row>
    <x:row r="1681">
      <x:c r="P1681" t="str">
        <x:v>19|Artificiel|Exceptionnelle</x:v>
      </x:c>
      <x:c r="Q1681" t="n">
        <x:v>9800000</x:v>
      </x:c>
      <x:c r="R1681" t="str">
        <x:v>2d6</x:v>
      </x:c>
      <x:c r="S1681" t="str">
        <x:v>PP</x:v>
      </x:c>
      <x:c r="T1681" t="n">
        <x:v>2</x:v>
      </x:c>
      <x:c r="U1681" t="n">
        <x:v>80</x:v>
      </x:c>
      <x:c r="V1681" t="n">
        <x:v>0</x:v>
      </x:c>
      <x:c r="W1681" t="n">
        <x:v>0</x:v>
      </x:c>
      <x:c r="X1681" t="str">
        <x:v>VALUE: [[2d6]] PP 2 PP 80 PO</x:v>
      </x:c>
    </x:row>
    <x:row r="1682">
      <x:c r="P1682" t="str">
        <x:v>19|Élémentaire|Commune</x:v>
      </x:c>
      <x:c r="Q1682" t="n">
        <x:v>1750000</x:v>
      </x:c>
      <x:c r="R1682" t="str">
        <x:v>10d20</x:v>
      </x:c>
      <x:c r="S1682" t="str">
        <x:v>PO</x:v>
      </x:c>
      <x:c r="T1682" t="n">
        <x:v>0</x:v>
      </x:c>
      <x:c r="U1682" t="n">
        <x:v>70</x:v>
      </x:c>
      <x:c r="V1682" t="n">
        <x:v>0</x:v>
      </x:c>
      <x:c r="W1682" t="n">
        <x:v>0</x:v>
      </x:c>
      <x:c r="X1682" t="str">
        <x:v>VALUE: [[10d20]] PO 70 PO</x:v>
      </x:c>
    </x:row>
    <x:row r="1683">
      <x:c r="P1683" t="str">
        <x:v>19|Élémentaire|Peu commune</x:v>
      </x:c>
      <x:c r="Q1683" t="n">
        <x:v>2625000</x:v>
      </x:c>
      <x:c r="R1683" t="str">
        <x:v>1d4</x:v>
      </x:c>
      <x:c r="S1683" t="str">
        <x:v>PP</x:v>
      </x:c>
      <x:c r="T1683" t="n">
        <x:v>0</x:v>
      </x:c>
      <x:c r="U1683" t="n">
        <x:v>12</x:v>
      </x:c>
      <x:c r="V1683" t="n">
        <x:v>50</x:v>
      </x:c>
      <x:c r="W1683" t="n">
        <x:v>0</x:v>
      </x:c>
      <x:c r="X1683" t="str">
        <x:v>VALUE: [[1d4]] PP 12 PO 50 PA</x:v>
      </x:c>
    </x:row>
    <x:row r="1684">
      <x:c r="P1684" t="str">
        <x:v>19|Élémentaire|Rare</x:v>
      </x:c>
      <x:c r="Q1684" t="n">
        <x:v>4375000</x:v>
      </x:c>
      <x:c r="R1684" t="str">
        <x:v>1d6</x:v>
      </x:c>
      <x:c r="S1684" t="str">
        <x:v>PP</x:v>
      </x:c>
      <x:c r="T1684" t="n">
        <x:v>0</x:v>
      </x:c>
      <x:c r="U1684" t="n">
        <x:v>87</x:v>
      </x:c>
      <x:c r="V1684" t="n">
        <x:v>50</x:v>
      </x:c>
      <x:c r="W1684" t="n">
        <x:v>0</x:v>
      </x:c>
      <x:c r="X1684" t="str">
        <x:v>VALUE: [[1d6]] PP 87 PO 50 PA</x:v>
      </x:c>
    </x:row>
    <x:row r="1685">
      <x:c r="P1685" t="str">
        <x:v>19|Élémentaire|Précieuse</x:v>
      </x:c>
      <x:c r="Q1685" t="n">
        <x:v>7000000</x:v>
      </x:c>
      <x:c r="R1685" t="str">
        <x:v>2d4</x:v>
      </x:c>
      <x:c r="S1685" t="str">
        <x:v>PP</x:v>
      </x:c>
      <x:c r="T1685" t="n">
        <x:v>2</x:v>
      </x:c>
      <x:c r="U1685" t="n">
        <x:v>0</x:v>
      </x:c>
      <x:c r="V1685" t="n">
        <x:v>0</x:v>
      </x:c>
      <x:c r="W1685" t="n">
        <x:v>0</x:v>
      </x:c>
      <x:c r="X1685" t="str">
        <x:v>VALUE: [[2d4]] PP 2 PP</x:v>
      </x:c>
    </x:row>
    <x:row r="1686">
      <x:c r="P1686" t="str">
        <x:v>19|Élémentaire|Exceptionnelle</x:v>
      </x:c>
      <x:c r="Q1686" t="n">
        <x:v>12250000</x:v>
      </x:c>
      <x:c r="R1686" t="str">
        <x:v>2d8</x:v>
      </x:c>
      <x:c r="S1686" t="str">
        <x:v>PP</x:v>
      </x:c>
      <x:c r="T1686" t="n">
        <x:v>3</x:v>
      </x:c>
      <x:c r="U1686" t="n">
        <x:v>25</x:v>
      </x:c>
      <x:c r="V1686" t="n">
        <x:v>0</x:v>
      </x:c>
      <x:c r="W1686" t="n">
        <x:v>0</x:v>
      </x:c>
      <x:c r="X1686" t="str">
        <x:v>VALUE: [[2d8]] PP 3 PP 25 PO</x:v>
      </x:c>
    </x:row>
    <x:row r="1687">
      <x:c r="P1687" t="str">
        <x:v>19|Esprit|Commune</x:v>
      </x:c>
      <x:c r="Q1687" t="n">
        <x:v>1750000</x:v>
      </x:c>
      <x:c r="R1687" t="str">
        <x:v>10d20</x:v>
      </x:c>
      <x:c r="S1687" t="str">
        <x:v>PO</x:v>
      </x:c>
      <x:c r="T1687" t="n">
        <x:v>0</x:v>
      </x:c>
      <x:c r="U1687" t="n">
        <x:v>70</x:v>
      </x:c>
      <x:c r="V1687" t="n">
        <x:v>0</x:v>
      </x:c>
      <x:c r="W1687" t="n">
        <x:v>0</x:v>
      </x:c>
      <x:c r="X1687" t="str">
        <x:v>VALUE: [[10d20]] PO 70 PO</x:v>
      </x:c>
    </x:row>
    <x:row r="1688">
      <x:c r="P1688" t="str">
        <x:v>19|Esprit|Peu commune</x:v>
      </x:c>
      <x:c r="Q1688" t="n">
        <x:v>2625000</x:v>
      </x:c>
      <x:c r="R1688" t="str">
        <x:v>1d4</x:v>
      </x:c>
      <x:c r="S1688" t="str">
        <x:v>PP</x:v>
      </x:c>
      <x:c r="T1688" t="n">
        <x:v>0</x:v>
      </x:c>
      <x:c r="U1688" t="n">
        <x:v>12</x:v>
      </x:c>
      <x:c r="V1688" t="n">
        <x:v>50</x:v>
      </x:c>
      <x:c r="W1688" t="n">
        <x:v>0</x:v>
      </x:c>
      <x:c r="X1688" t="str">
        <x:v>VALUE: [[1d4]] PP 12 PO 50 PA</x:v>
      </x:c>
    </x:row>
    <x:row r="1689">
      <x:c r="P1689" t="str">
        <x:v>19|Esprit|Rare</x:v>
      </x:c>
      <x:c r="Q1689" t="n">
        <x:v>4375000</x:v>
      </x:c>
      <x:c r="R1689" t="str">
        <x:v>1d6</x:v>
      </x:c>
      <x:c r="S1689" t="str">
        <x:v>PP</x:v>
      </x:c>
      <x:c r="T1689" t="n">
        <x:v>0</x:v>
      </x:c>
      <x:c r="U1689" t="n">
        <x:v>87</x:v>
      </x:c>
      <x:c r="V1689" t="n">
        <x:v>50</x:v>
      </x:c>
      <x:c r="W1689" t="n">
        <x:v>0</x:v>
      </x:c>
      <x:c r="X1689" t="str">
        <x:v>VALUE: [[1d6]] PP 87 PO 50 PA</x:v>
      </x:c>
    </x:row>
    <x:row r="1690">
      <x:c r="P1690" t="str">
        <x:v>19|Esprit|Précieuse</x:v>
      </x:c>
      <x:c r="Q1690" t="n">
        <x:v>7000000</x:v>
      </x:c>
      <x:c r="R1690" t="str">
        <x:v>2d4</x:v>
      </x:c>
      <x:c r="S1690" t="str">
        <x:v>PP</x:v>
      </x:c>
      <x:c r="T1690" t="n">
        <x:v>2</x:v>
      </x:c>
      <x:c r="U1690" t="n">
        <x:v>0</x:v>
      </x:c>
      <x:c r="V1690" t="n">
        <x:v>0</x:v>
      </x:c>
      <x:c r="W1690" t="n">
        <x:v>0</x:v>
      </x:c>
      <x:c r="X1690" t="str">
        <x:v>VALUE: [[2d4]] PP 2 PP</x:v>
      </x:c>
    </x:row>
    <x:row r="1691">
      <x:c r="P1691" t="str">
        <x:v>19|Esprit|Exceptionnelle</x:v>
      </x:c>
      <x:c r="Q1691" t="n">
        <x:v>12250000</x:v>
      </x:c>
      <x:c r="R1691" t="str">
        <x:v>2d8</x:v>
      </x:c>
      <x:c r="S1691" t="str">
        <x:v>PP</x:v>
      </x:c>
      <x:c r="T1691" t="n">
        <x:v>3</x:v>
      </x:c>
      <x:c r="U1691" t="n">
        <x:v>25</x:v>
      </x:c>
      <x:c r="V1691" t="n">
        <x:v>0</x:v>
      </x:c>
      <x:c r="W1691" t="n">
        <x:v>0</x:v>
      </x:c>
      <x:c r="X1691" t="str">
        <x:v>VALUE: [[2d8]] PP 3 PP 25 PO</x:v>
      </x:c>
    </x:row>
    <x:row r="1692">
      <x:c r="P1692" t="str">
        <x:v>19|Céleste|Commune</x:v>
      </x:c>
      <x:c r="Q1692" t="n">
        <x:v>2100000</x:v>
      </x:c>
      <x:c r="R1692" t="str">
        <x:v>10d20</x:v>
      </x:c>
      <x:c r="S1692" t="str">
        <x:v>PO</x:v>
      </x:c>
      <x:c r="T1692" t="n">
        <x:v>1</x:v>
      </x:c>
      <x:c r="U1692" t="n">
        <x:v>5</x:v>
      </x:c>
      <x:c r="V1692" t="n">
        <x:v>0</x:v>
      </x:c>
      <x:c r="W1692" t="n">
        <x:v>0</x:v>
      </x:c>
      <x:c r="X1692" t="str">
        <x:v>VALUE: [[10d20]] PO 1 PP 5 PO</x:v>
      </x:c>
    </x:row>
    <x:row r="1693">
      <x:c r="P1693" t="str">
        <x:v>19|Céleste|Peu commune</x:v>
      </x:c>
      <x:c r="Q1693" t="n">
        <x:v>3150000</x:v>
      </x:c>
      <x:c r="R1693" t="str">
        <x:v>1d4</x:v>
      </x:c>
      <x:c r="S1693" t="str">
        <x:v>PP</x:v>
      </x:c>
      <x:c r="T1693" t="n">
        <x:v>0</x:v>
      </x:c>
      <x:c r="U1693" t="n">
        <x:v>65</x:v>
      </x:c>
      <x:c r="V1693" t="n">
        <x:v>0</x:v>
      </x:c>
      <x:c r="W1693" t="n">
        <x:v>0</x:v>
      </x:c>
      <x:c r="X1693" t="str">
        <x:v>VALUE: [[1d4]] PP 65 PO</x:v>
      </x:c>
    </x:row>
    <x:row r="1694">
      <x:c r="P1694" t="str">
        <x:v>19|Céleste|Rare</x:v>
      </x:c>
      <x:c r="Q1694" t="n">
        <x:v>5250000</x:v>
      </x:c>
      <x:c r="R1694" t="str">
        <x:v>1d6</x:v>
      </x:c>
      <x:c r="S1694" t="str">
        <x:v>PP</x:v>
      </x:c>
      <x:c r="T1694" t="n">
        <x:v>1</x:v>
      </x:c>
      <x:c r="U1694" t="n">
        <x:v>75</x:v>
      </x:c>
      <x:c r="V1694" t="n">
        <x:v>0</x:v>
      </x:c>
      <x:c r="W1694" t="n">
        <x:v>0</x:v>
      </x:c>
      <x:c r="X1694" t="str">
        <x:v>VALUE: [[1d6]] PP 1 PP 75 PO</x:v>
      </x:c>
    </x:row>
    <x:row r="1695">
      <x:c r="P1695" t="str">
        <x:v>19|Céleste|Précieuse</x:v>
      </x:c>
      <x:c r="Q1695" t="n">
        <x:v>8400000</x:v>
      </x:c>
      <x:c r="R1695" t="str">
        <x:v>1d10</x:v>
      </x:c>
      <x:c r="S1695" t="str">
        <x:v>PP</x:v>
      </x:c>
      <x:c r="T1695" t="n">
        <x:v>2</x:v>
      </x:c>
      <x:c r="U1695" t="n">
        <x:v>90</x:v>
      </x:c>
      <x:c r="V1695" t="n">
        <x:v>0</x:v>
      </x:c>
      <x:c r="W1695" t="n">
        <x:v>0</x:v>
      </x:c>
      <x:c r="X1695" t="str">
        <x:v>VALUE: [[1d10]] PP 2 PP 90 PO</x:v>
      </x:c>
    </x:row>
    <x:row r="1696">
      <x:c r="P1696" t="str">
        <x:v>19|Céleste|Exceptionnelle</x:v>
      </x:c>
      <x:c r="Q1696" t="n">
        <x:v>14700000</x:v>
      </x:c>
      <x:c r="R1696" t="str">
        <x:v>1d20</x:v>
      </x:c>
      <x:c r="S1696" t="str">
        <x:v>PP</x:v>
      </x:c>
      <x:c r="T1696" t="n">
        <x:v>4</x:v>
      </x:c>
      <x:c r="U1696" t="n">
        <x:v>20</x:v>
      </x:c>
      <x:c r="V1696" t="n">
        <x:v>0</x:v>
      </x:c>
      <x:c r="W1696" t="n">
        <x:v>0</x:v>
      </x:c>
      <x:c r="X1696" t="str">
        <x:v>VALUE: [[1d20]] PP 4 PP 20 PO</x:v>
      </x:c>
    </x:row>
    <x:row r="1697">
      <x:c r="P1697" t="str">
        <x:v>19|Dragon|Commune</x:v>
      </x:c>
      <x:c r="Q1697" t="n">
        <x:v>3500000</x:v>
      </x:c>
      <x:c r="R1697" t="str">
        <x:v>1d4</x:v>
      </x:c>
      <x:c r="S1697" t="str">
        <x:v>PP</x:v>
      </x:c>
      <x:c r="T1697" t="n">
        <x:v>1</x:v>
      </x:c>
      <x:c r="U1697" t="n">
        <x:v>0</x:v>
      </x:c>
      <x:c r="V1697" t="n">
        <x:v>0</x:v>
      </x:c>
      <x:c r="W1697" t="n">
        <x:v>0</x:v>
      </x:c>
      <x:c r="X1697" t="str">
        <x:v>VALUE: [[1d4]] PP 1 PP</x:v>
      </x:c>
    </x:row>
    <x:row r="1698">
      <x:c r="P1698" t="str">
        <x:v>19|Dragon|Peu commune</x:v>
      </x:c>
      <x:c r="Q1698" t="n">
        <x:v>5250000</x:v>
      </x:c>
      <x:c r="R1698" t="str">
        <x:v>1d6</x:v>
      </x:c>
      <x:c r="S1698" t="str">
        <x:v>PP</x:v>
      </x:c>
      <x:c r="T1698" t="n">
        <x:v>1</x:v>
      </x:c>
      <x:c r="U1698" t="n">
        <x:v>75</x:v>
      </x:c>
      <x:c r="V1698" t="n">
        <x:v>0</x:v>
      </x:c>
      <x:c r="W1698" t="n">
        <x:v>0</x:v>
      </x:c>
      <x:c r="X1698" t="str">
        <x:v>VALUE: [[1d6]] PP 1 PP 75 PO</x:v>
      </x:c>
    </x:row>
    <x:row r="1699">
      <x:c r="P1699" t="str">
        <x:v>19|Dragon|Rare</x:v>
      </x:c>
      <x:c r="Q1699" t="n">
        <x:v>8750000</x:v>
      </x:c>
      <x:c r="R1699" t="str">
        <x:v>1d12</x:v>
      </x:c>
      <x:c r="S1699" t="str">
        <x:v>PP</x:v>
      </x:c>
      <x:c r="T1699" t="n">
        <x:v>2</x:v>
      </x:c>
      <x:c r="U1699" t="n">
        <x:v>25</x:v>
      </x:c>
      <x:c r="V1699" t="n">
        <x:v>0</x:v>
      </x:c>
      <x:c r="W1699" t="n">
        <x:v>0</x:v>
      </x:c>
      <x:c r="X1699" t="str">
        <x:v>VALUE: [[1d12]] PP 2 PP 25 PO</x:v>
      </x:c>
    </x:row>
    <x:row r="1700">
      <x:c r="P1700" t="str">
        <x:v>19|Dragon|Précieuse</x:v>
      </x:c>
      <x:c r="Q1700" t="n">
        <x:v>14000000</x:v>
      </x:c>
      <x:c r="R1700" t="str">
        <x:v>4d4</x:v>
      </x:c>
      <x:c r="S1700" t="str">
        <x:v>PP</x:v>
      </x:c>
      <x:c r="T1700" t="n">
        <x:v>4</x:v>
      </x:c>
      <x:c r="U1700" t="n">
        <x:v>0</x:v>
      </x:c>
      <x:c r="V1700" t="n">
        <x:v>0</x:v>
      </x:c>
      <x:c r="W1700" t="n">
        <x:v>0</x:v>
      </x:c>
      <x:c r="X1700" t="str">
        <x:v>VALUE: [[4d4]] PP 4 PP</x:v>
      </x:c>
    </x:row>
    <x:row r="1701">
      <x:c r="P1701" t="str">
        <x:v>19|Dragon|Exceptionnelle</x:v>
      </x:c>
      <x:c r="Q1701" t="n">
        <x:v>24500000</x:v>
      </x:c>
      <x:c r="R1701" t="str">
        <x:v>5d6</x:v>
      </x:c>
      <x:c r="S1701" t="str">
        <x:v>PP</x:v>
      </x:c>
      <x:c r="T1701" t="n">
        <x:v>7</x:v>
      </x:c>
      <x:c r="U1701" t="n">
        <x:v>0</x:v>
      </x:c>
      <x:c r="V1701" t="n">
        <x:v>0</x:v>
      </x:c>
      <x:c r="W1701" t="n">
        <x:v>0</x:v>
      </x:c>
      <x:c r="X1701" t="str">
        <x:v>VALUE: [[5d6]] PP 7 PP</x:v>
      </x:c>
    </x:row>
    <x:row r="1702">
      <x:c r="P1702" t="str">
        <x:v>20|Vermine|Commune</x:v>
      </x:c>
      <x:c r="Q1702" t="n">
        <x:v>350000</x:v>
      </x:c>
      <x:c r="R1702" t="str">
        <x:v>7d6</x:v>
      </x:c>
      <x:c r="S1702" t="str">
        <x:v>PO</x:v>
      </x:c>
      <x:c r="T1702" t="n">
        <x:v>0</x:v>
      </x:c>
      <x:c r="U1702" t="n">
        <x:v>10</x:v>
      </x:c>
      <x:c r="V1702" t="n">
        <x:v>50</x:v>
      </x:c>
      <x:c r="W1702" t="n">
        <x:v>0</x:v>
      </x:c>
      <x:c r="X1702" t="str">
        <x:v>VALUE: [[7d6]] PO 10 PO 50 PA</x:v>
      </x:c>
    </x:row>
    <x:row r="1703">
      <x:c r="P1703" t="str">
        <x:v>20|Vermine|Peu commune</x:v>
      </x:c>
      <x:c r="Q1703" t="n">
        <x:v>525000</x:v>
      </x:c>
      <x:c r="R1703" t="str">
        <x:v>8d8</x:v>
      </x:c>
      <x:c r="S1703" t="str">
        <x:v>PO</x:v>
      </x:c>
      <x:c r="T1703" t="n">
        <x:v>0</x:v>
      </x:c>
      <x:c r="U1703" t="n">
        <x:v>16</x:v>
      </x:c>
      <x:c r="V1703" t="n">
        <x:v>50</x:v>
      </x:c>
      <x:c r="W1703" t="n">
        <x:v>0</x:v>
      </x:c>
      <x:c r="X1703" t="str">
        <x:v>VALUE: [[8d8]] PO 16 PO 50 PA</x:v>
      </x:c>
    </x:row>
    <x:row r="1704">
      <x:c r="P1704" t="str">
        <x:v>20|Vermine|Rare</x:v>
      </x:c>
      <x:c r="Q1704" t="n">
        <x:v>875000</x:v>
      </x:c>
      <x:c r="R1704" t="str">
        <x:v>6d20</x:v>
      </x:c>
      <x:c r="S1704" t="str">
        <x:v>PO</x:v>
      </x:c>
      <x:c r="T1704" t="n">
        <x:v>0</x:v>
      </x:c>
      <x:c r="U1704" t="n">
        <x:v>24</x:v>
      </x:c>
      <x:c r="V1704" t="n">
        <x:v>50</x:v>
      </x:c>
      <x:c r="W1704" t="n">
        <x:v>0</x:v>
      </x:c>
      <x:c r="X1704" t="str">
        <x:v>VALUE: [[6d20]] PO 24 PO 50 PA</x:v>
      </x:c>
    </x:row>
    <x:row r="1705">
      <x:c r="P1705" t="str">
        <x:v>20|Vermine|Précieuse</x:v>
      </x:c>
      <x:c r="Q1705" t="n">
        <x:v>1400000</x:v>
      </x:c>
      <x:c r="R1705" t="str">
        <x:v>9d20</x:v>
      </x:c>
      <x:c r="S1705" t="str">
        <x:v>PO</x:v>
      </x:c>
      <x:c r="T1705" t="n">
        <x:v>0</x:v>
      </x:c>
      <x:c r="U1705" t="n">
        <x:v>45</x:v>
      </x:c>
      <x:c r="V1705" t="n">
        <x:v>50</x:v>
      </x:c>
      <x:c r="W1705" t="n">
        <x:v>0</x:v>
      </x:c>
      <x:c r="X1705" t="str">
        <x:v>VALUE: [[9d20]] PO 45 PO 50 PA</x:v>
      </x:c>
    </x:row>
    <x:row r="1706">
      <x:c r="P1706" t="str">
        <x:v>20|Vermine|Exceptionnelle</x:v>
      </x:c>
      <x:c r="Q1706" t="n">
        <x:v>2450000</x:v>
      </x:c>
      <x:c r="R1706" t="str">
        <x:v>10d20</x:v>
      </x:c>
      <x:c r="S1706" t="str">
        <x:v>PO</x:v>
      </x:c>
      <x:c r="T1706" t="n">
        <x:v>1</x:v>
      </x:c>
      <x:c r="U1706" t="n">
        <x:v>40</x:v>
      </x:c>
      <x:c r="V1706" t="n">
        <x:v>0</x:v>
      </x:c>
      <x:c r="W1706" t="n">
        <x:v>0</x:v>
      </x:c>
      <x:c r="X1706" t="str">
        <x:v>VALUE: [[10d20]] PO 1 PP 40 PO</x:v>
      </x:c>
    </x:row>
    <x:row r="1707">
      <x:c r="P1707" t="str">
        <x:v>20|Bête|Commune</x:v>
      </x:c>
      <x:c r="Q1707" t="n">
        <x:v>600000</x:v>
      </x:c>
      <x:c r="R1707" t="str">
        <x:v>4d20</x:v>
      </x:c>
      <x:c r="S1707" t="str">
        <x:v>PO</x:v>
      </x:c>
      <x:c r="T1707" t="n">
        <x:v>0</x:v>
      </x:c>
      <x:c r="U1707" t="n">
        <x:v>18</x:v>
      </x:c>
      <x:c r="V1707" t="n">
        <x:v>0</x:v>
      </x:c>
      <x:c r="W1707" t="n">
        <x:v>0</x:v>
      </x:c>
      <x:c r="X1707" t="str">
        <x:v>VALUE: [[4d20]] PO 18 PO</x:v>
      </x:c>
    </x:row>
    <x:row r="1708">
      <x:c r="P1708" t="str">
        <x:v>20|Bête|Peu commune</x:v>
      </x:c>
      <x:c r="Q1708" t="n">
        <x:v>900000</x:v>
      </x:c>
      <x:c r="R1708" t="str">
        <x:v>6d20</x:v>
      </x:c>
      <x:c r="S1708" t="str">
        <x:v>PO</x:v>
      </x:c>
      <x:c r="T1708" t="n">
        <x:v>0</x:v>
      </x:c>
      <x:c r="U1708" t="n">
        <x:v>27</x:v>
      </x:c>
      <x:c r="V1708" t="n">
        <x:v>0</x:v>
      </x:c>
      <x:c r="W1708" t="n">
        <x:v>0</x:v>
      </x:c>
      <x:c r="X1708" t="str">
        <x:v>VALUE: [[6d20]] PO 27 PO</x:v>
      </x:c>
    </x:row>
    <x:row r="1709">
      <x:c r="P1709" t="str">
        <x:v>20|Bête|Rare</x:v>
      </x:c>
      <x:c r="Q1709" t="n">
        <x:v>1500000</x:v>
      </x:c>
      <x:c r="R1709" t="str">
        <x:v>10d20</x:v>
      </x:c>
      <x:c r="S1709" t="str">
        <x:v>PO</x:v>
      </x:c>
      <x:c r="T1709" t="n">
        <x:v>0</x:v>
      </x:c>
      <x:c r="U1709" t="n">
        <x:v>45</x:v>
      </x:c>
      <x:c r="V1709" t="n">
        <x:v>0</x:v>
      </x:c>
      <x:c r="W1709" t="n">
        <x:v>0</x:v>
      </x:c>
      <x:c r="X1709" t="str">
        <x:v>VALUE: [[10d20]] PO 45 PO</x:v>
      </x:c>
    </x:row>
    <x:row r="1710">
      <x:c r="P1710" t="str">
        <x:v>20|Bête|Précieuse</x:v>
      </x:c>
      <x:c r="Q1710" t="n">
        <x:v>2400000</x:v>
      </x:c>
      <x:c r="R1710" t="str">
        <x:v>10d20</x:v>
      </x:c>
      <x:c r="S1710" t="str">
        <x:v>PO</x:v>
      </x:c>
      <x:c r="T1710" t="n">
        <x:v>1</x:v>
      </x:c>
      <x:c r="U1710" t="n">
        <x:v>35</x:v>
      </x:c>
      <x:c r="V1710" t="n">
        <x:v>0</x:v>
      </x:c>
      <x:c r="W1710" t="n">
        <x:v>0</x:v>
      </x:c>
      <x:c r="X1710" t="str">
        <x:v>VALUE: [[10d20]] PO 1 PP 35 PO</x:v>
      </x:c>
    </x:row>
    <x:row r="1711">
      <x:c r="P1711" t="str">
        <x:v>20|Bête|Exceptionnelle</x:v>
      </x:c>
      <x:c r="Q1711" t="n">
        <x:v>4200000</x:v>
      </x:c>
      <x:c r="R1711" t="str">
        <x:v>1d4</x:v>
      </x:c>
      <x:c r="S1711" t="str">
        <x:v>PP</x:v>
      </x:c>
      <x:c r="T1711" t="n">
        <x:v>1</x:v>
      </x:c>
      <x:c r="U1711" t="n">
        <x:v>70</x:v>
      </x:c>
      <x:c r="V1711" t="n">
        <x:v>0</x:v>
      </x:c>
      <x:c r="W1711" t="n">
        <x:v>0</x:v>
      </x:c>
      <x:c r="X1711" t="str">
        <x:v>VALUE: [[1d4]] PP 1 PP 70 PO</x:v>
      </x:c>
    </x:row>
    <x:row r="1712">
      <x:c r="P1712" t="str">
        <x:v>20|Aquatique|Commune</x:v>
      </x:c>
      <x:c r="Q1712" t="n">
        <x:v>700000</x:v>
      </x:c>
      <x:c r="R1712" t="str">
        <x:v>9d10</x:v>
      </x:c>
      <x:c r="S1712" t="str">
        <x:v>PO</x:v>
      </x:c>
      <x:c r="T1712" t="n">
        <x:v>0</x:v>
      </x:c>
      <x:c r="U1712" t="n">
        <x:v>20</x:v>
      </x:c>
      <x:c r="V1712" t="n">
        <x:v>50</x:v>
      </x:c>
      <x:c r="W1712" t="n">
        <x:v>0</x:v>
      </x:c>
      <x:c r="X1712" t="str">
        <x:v>VALUE: [[9d10]] PO 20 PO 50 PA</x:v>
      </x:c>
    </x:row>
    <x:row r="1713">
      <x:c r="P1713" t="str">
        <x:v>20|Aquatique|Peu commune</x:v>
      </x:c>
      <x:c r="Q1713" t="n">
        <x:v>1050000</x:v>
      </x:c>
      <x:c r="R1713" t="str">
        <x:v>7d20</x:v>
      </x:c>
      <x:c r="S1713" t="str">
        <x:v>PO</x:v>
      </x:c>
      <x:c r="T1713" t="n">
        <x:v>0</x:v>
      </x:c>
      <x:c r="U1713" t="n">
        <x:v>31</x:v>
      </x:c>
      <x:c r="V1713" t="n">
        <x:v>50</x:v>
      </x:c>
      <x:c r="W1713" t="n">
        <x:v>0</x:v>
      </x:c>
      <x:c r="X1713" t="str">
        <x:v>VALUE: [[7d20]] PO 31 PO 50 PA</x:v>
      </x:c>
    </x:row>
    <x:row r="1714">
      <x:c r="P1714" t="str">
        <x:v>20|Aquatique|Rare</x:v>
      </x:c>
      <x:c r="Q1714" t="n">
        <x:v>1750000</x:v>
      </x:c>
      <x:c r="R1714" t="str">
        <x:v>10d20</x:v>
      </x:c>
      <x:c r="S1714" t="str">
        <x:v>PO</x:v>
      </x:c>
      <x:c r="T1714" t="n">
        <x:v>0</x:v>
      </x:c>
      <x:c r="U1714" t="n">
        <x:v>70</x:v>
      </x:c>
      <x:c r="V1714" t="n">
        <x:v>0</x:v>
      </x:c>
      <x:c r="W1714" t="n">
        <x:v>0</x:v>
      </x:c>
      <x:c r="X1714" t="str">
        <x:v>VALUE: [[10d20]] PO 70 PO</x:v>
      </x:c>
    </x:row>
    <x:row r="1715">
      <x:c r="P1715" t="str">
        <x:v>20|Aquatique|Précieuse</x:v>
      </x:c>
      <x:c r="Q1715" t="n">
        <x:v>2800000</x:v>
      </x:c>
      <x:c r="R1715" t="str">
        <x:v>1d4</x:v>
      </x:c>
      <x:c r="S1715" t="str">
        <x:v>PP</x:v>
      </x:c>
      <x:c r="T1715" t="n">
        <x:v>0</x:v>
      </x:c>
      <x:c r="U1715" t="n">
        <x:v>30</x:v>
      </x:c>
      <x:c r="V1715" t="n">
        <x:v>0</x:v>
      </x:c>
      <x:c r="W1715" t="n">
        <x:v>0</x:v>
      </x:c>
      <x:c r="X1715" t="str">
        <x:v>VALUE: [[1d4]] PP 30 PO</x:v>
      </x:c>
    </x:row>
    <x:row r="1716">
      <x:c r="P1716" t="str">
        <x:v>20|Aquatique|Exceptionnelle</x:v>
      </x:c>
      <x:c r="Q1716" t="n">
        <x:v>4900000</x:v>
      </x:c>
      <x:c r="R1716" t="str">
        <x:v>1d6</x:v>
      </x:c>
      <x:c r="S1716" t="str">
        <x:v>PP</x:v>
      </x:c>
      <x:c r="T1716" t="n">
        <x:v>1</x:v>
      </x:c>
      <x:c r="U1716" t="n">
        <x:v>40</x:v>
      </x:c>
      <x:c r="V1716" t="n">
        <x:v>0</x:v>
      </x:c>
      <x:c r="W1716" t="n">
        <x:v>0</x:v>
      </x:c>
      <x:c r="X1716" t="str">
        <x:v>VALUE: [[1d6]] PP 1 PP 40 PO</x:v>
      </x:c>
    </x:row>
    <x:row r="1717">
      <x:c r="P1717" t="str">
        <x:v>20|Plante|Commune</x:v>
      </x:c>
      <x:c r="Q1717" t="n">
        <x:v>800000</x:v>
      </x:c>
      <x:c r="R1717" t="str">
        <x:v>10d10</x:v>
      </x:c>
      <x:c r="S1717" t="str">
        <x:v>PO</x:v>
      </x:c>
      <x:c r="T1717" t="n">
        <x:v>0</x:v>
      </x:c>
      <x:c r="U1717" t="n">
        <x:v>25</x:v>
      </x:c>
      <x:c r="V1717" t="n">
        <x:v>0</x:v>
      </x:c>
      <x:c r="W1717" t="n">
        <x:v>0</x:v>
      </x:c>
      <x:c r="X1717" t="str">
        <x:v>VALUE: [[10d10]] PO 25 PO</x:v>
      </x:c>
    </x:row>
    <x:row r="1718">
      <x:c r="P1718" t="str">
        <x:v>20|Plante|Peu commune</x:v>
      </x:c>
      <x:c r="Q1718" t="n">
        <x:v>1200000</x:v>
      </x:c>
      <x:c r="R1718" t="str">
        <x:v>8d20</x:v>
      </x:c>
      <x:c r="S1718" t="str">
        <x:v>PO</x:v>
      </x:c>
      <x:c r="T1718" t="n">
        <x:v>0</x:v>
      </x:c>
      <x:c r="U1718" t="n">
        <x:v>36</x:v>
      </x:c>
      <x:c r="V1718" t="n">
        <x:v>0</x:v>
      </x:c>
      <x:c r="W1718" t="n">
        <x:v>0</x:v>
      </x:c>
      <x:c r="X1718" t="str">
        <x:v>VALUE: [[8d20]] PO 36 PO</x:v>
      </x:c>
    </x:row>
    <x:row r="1719">
      <x:c r="P1719" t="str">
        <x:v>20|Plante|Rare</x:v>
      </x:c>
      <x:c r="Q1719" t="n">
        <x:v>2000000</x:v>
      </x:c>
      <x:c r="R1719" t="str">
        <x:v>10d20</x:v>
      </x:c>
      <x:c r="S1719" t="str">
        <x:v>PO</x:v>
      </x:c>
      <x:c r="T1719" t="n">
        <x:v>0</x:v>
      </x:c>
      <x:c r="U1719" t="n">
        <x:v>95</x:v>
      </x:c>
      <x:c r="V1719" t="n">
        <x:v>0</x:v>
      </x:c>
      <x:c r="W1719" t="n">
        <x:v>0</x:v>
      </x:c>
      <x:c r="X1719" t="str">
        <x:v>VALUE: [[10d20]] PO 95 PO</x:v>
      </x:c>
    </x:row>
    <x:row r="1720">
      <x:c r="P1720" t="str">
        <x:v>20|Plante|Précieuse</x:v>
      </x:c>
      <x:c r="Q1720" t="n">
        <x:v>3200000</x:v>
      </x:c>
      <x:c r="R1720" t="str">
        <x:v>1d4</x:v>
      </x:c>
      <x:c r="S1720" t="str">
        <x:v>PP</x:v>
      </x:c>
      <x:c r="T1720" t="n">
        <x:v>0</x:v>
      </x:c>
      <x:c r="U1720" t="n">
        <x:v>70</x:v>
      </x:c>
      <x:c r="V1720" t="n">
        <x:v>0</x:v>
      </x:c>
      <x:c r="W1720" t="n">
        <x:v>0</x:v>
      </x:c>
      <x:c r="X1720" t="str">
        <x:v>VALUE: [[1d4]] PP 70 PO</x:v>
      </x:c>
    </x:row>
    <x:row r="1721">
      <x:c r="P1721" t="str">
        <x:v>20|Plante|Exceptionnelle</x:v>
      </x:c>
      <x:c r="Q1721" t="n">
        <x:v>5600000</x:v>
      </x:c>
      <x:c r="R1721" t="str">
        <x:v>1d6</x:v>
      </x:c>
      <x:c r="S1721" t="str">
        <x:v>PP</x:v>
      </x:c>
      <x:c r="T1721" t="n">
        <x:v>2</x:v>
      </x:c>
      <x:c r="U1721" t="n">
        <x:v>10</x:v>
      </x:c>
      <x:c r="V1721" t="n">
        <x:v>0</x:v>
      </x:c>
      <x:c r="W1721" t="n">
        <x:v>0</x:v>
      </x:c>
      <x:c r="X1721" t="str">
        <x:v>VALUE: [[1d6]] PP 2 PP 10 PO</x:v>
      </x:c>
    </x:row>
    <x:row r="1722">
      <x:c r="P1722" t="str">
        <x:v>20|Humanoïde|Commune</x:v>
      </x:c>
      <x:c r="Q1722" t="n">
        <x:v>1000000</x:v>
      </x:c>
      <x:c r="R1722" t="str">
        <x:v>7d20</x:v>
      </x:c>
      <x:c r="S1722" t="str">
        <x:v>PO</x:v>
      </x:c>
      <x:c r="T1722" t="n">
        <x:v>0</x:v>
      </x:c>
      <x:c r="U1722" t="n">
        <x:v>26</x:v>
      </x:c>
      <x:c r="V1722" t="n">
        <x:v>50</x:v>
      </x:c>
      <x:c r="W1722" t="n">
        <x:v>0</x:v>
      </x:c>
      <x:c r="X1722" t="str">
        <x:v>VALUE: [[7d20]] PO 26 PO 50 PA</x:v>
      </x:c>
    </x:row>
    <x:row r="1723">
      <x:c r="P1723" t="str">
        <x:v>20|Humanoïde|Peu commune</x:v>
      </x:c>
      <x:c r="Q1723" t="n">
        <x:v>1500000</x:v>
      </x:c>
      <x:c r="R1723" t="str">
        <x:v>10d20</x:v>
      </x:c>
      <x:c r="S1723" t="str">
        <x:v>PO</x:v>
      </x:c>
      <x:c r="T1723" t="n">
        <x:v>0</x:v>
      </x:c>
      <x:c r="U1723" t="n">
        <x:v>45</x:v>
      </x:c>
      <x:c r="V1723" t="n">
        <x:v>0</x:v>
      </x:c>
      <x:c r="W1723" t="n">
        <x:v>0</x:v>
      </x:c>
      <x:c r="X1723" t="str">
        <x:v>VALUE: [[10d20]] PO 45 PO</x:v>
      </x:c>
    </x:row>
    <x:row r="1724">
      <x:c r="P1724" t="str">
        <x:v>20|Humanoïde|Rare</x:v>
      </x:c>
      <x:c r="Q1724" t="n">
        <x:v>2500000</x:v>
      </x:c>
      <x:c r="R1724" t="str">
        <x:v>10d20</x:v>
      </x:c>
      <x:c r="S1724" t="str">
        <x:v>PO</x:v>
      </x:c>
      <x:c r="T1724" t="n">
        <x:v>1</x:v>
      </x:c>
      <x:c r="U1724" t="n">
        <x:v>45</x:v>
      </x:c>
      <x:c r="V1724" t="n">
        <x:v>0</x:v>
      </x:c>
      <x:c r="W1724" t="n">
        <x:v>0</x:v>
      </x:c>
      <x:c r="X1724" t="str">
        <x:v>VALUE: [[10d20]] PO 1 PP 45 PO</x:v>
      </x:c>
    </x:row>
    <x:row r="1725">
      <x:c r="P1725" t="str">
        <x:v>20|Humanoïde|Précieuse</x:v>
      </x:c>
      <x:c r="Q1725" t="n">
        <x:v>4000000</x:v>
      </x:c>
      <x:c r="R1725" t="str">
        <x:v>1d4</x:v>
      </x:c>
      <x:c r="S1725" t="str">
        <x:v>PP</x:v>
      </x:c>
      <x:c r="T1725" t="n">
        <x:v>1</x:v>
      </x:c>
      <x:c r="U1725" t="n">
        <x:v>50</x:v>
      </x:c>
      <x:c r="V1725" t="n">
        <x:v>0</x:v>
      </x:c>
      <x:c r="W1725" t="n">
        <x:v>0</x:v>
      </x:c>
      <x:c r="X1725" t="str">
        <x:v>VALUE: [[1d4]] PP 1 PP 50 PO</x:v>
      </x:c>
    </x:row>
    <x:row r="1726">
      <x:c r="P1726" t="str">
        <x:v>20|Humanoïde|Exceptionnelle</x:v>
      </x:c>
      <x:c r="Q1726" t="n">
        <x:v>7000000</x:v>
      </x:c>
      <x:c r="R1726" t="str">
        <x:v>2d4</x:v>
      </x:c>
      <x:c r="S1726" t="str">
        <x:v>PP</x:v>
      </x:c>
      <x:c r="T1726" t="n">
        <x:v>2</x:v>
      </x:c>
      <x:c r="U1726" t="n">
        <x:v>0</x:v>
      </x:c>
      <x:c r="V1726" t="n">
        <x:v>0</x:v>
      </x:c>
      <x:c r="W1726" t="n">
        <x:v>0</x:v>
      </x:c>
      <x:c r="X1726" t="str">
        <x:v>VALUE: [[2d4]] PP 2 PP</x:v>
      </x:c>
    </x:row>
    <x:row r="1727">
      <x:c r="P1727" t="str">
        <x:v>20|Mort-vivant|Commune</x:v>
      </x:c>
      <x:c r="Q1727" t="n">
        <x:v>1000000</x:v>
      </x:c>
      <x:c r="R1727" t="str">
        <x:v>7d20</x:v>
      </x:c>
      <x:c r="S1727" t="str">
        <x:v>PO</x:v>
      </x:c>
      <x:c r="T1727" t="n">
        <x:v>0</x:v>
      </x:c>
      <x:c r="U1727" t="n">
        <x:v>26</x:v>
      </x:c>
      <x:c r="V1727" t="n">
        <x:v>50</x:v>
      </x:c>
      <x:c r="W1727" t="n">
        <x:v>0</x:v>
      </x:c>
      <x:c r="X1727" t="str">
        <x:v>VALUE: [[7d20]] PO 26 PO 50 PA</x:v>
      </x:c>
    </x:row>
    <x:row r="1728">
      <x:c r="P1728" t="str">
        <x:v>20|Mort-vivant|Peu commune</x:v>
      </x:c>
      <x:c r="Q1728" t="n">
        <x:v>1500000</x:v>
      </x:c>
      <x:c r="R1728" t="str">
        <x:v>10d20</x:v>
      </x:c>
      <x:c r="S1728" t="str">
        <x:v>PO</x:v>
      </x:c>
      <x:c r="T1728" t="n">
        <x:v>0</x:v>
      </x:c>
      <x:c r="U1728" t="n">
        <x:v>45</x:v>
      </x:c>
      <x:c r="V1728" t="n">
        <x:v>0</x:v>
      </x:c>
      <x:c r="W1728" t="n">
        <x:v>0</x:v>
      </x:c>
      <x:c r="X1728" t="str">
        <x:v>VALUE: [[10d20]] PO 45 PO</x:v>
      </x:c>
    </x:row>
    <x:row r="1729">
      <x:c r="P1729" t="str">
        <x:v>20|Mort-vivant|Rare</x:v>
      </x:c>
      <x:c r="Q1729" t="n">
        <x:v>2500000</x:v>
      </x:c>
      <x:c r="R1729" t="str">
        <x:v>10d20</x:v>
      </x:c>
      <x:c r="S1729" t="str">
        <x:v>PO</x:v>
      </x:c>
      <x:c r="T1729" t="n">
        <x:v>1</x:v>
      </x:c>
      <x:c r="U1729" t="n">
        <x:v>45</x:v>
      </x:c>
      <x:c r="V1729" t="n">
        <x:v>0</x:v>
      </x:c>
      <x:c r="W1729" t="n">
        <x:v>0</x:v>
      </x:c>
      <x:c r="X1729" t="str">
        <x:v>VALUE: [[10d20]] PO 1 PP 45 PO</x:v>
      </x:c>
    </x:row>
    <x:row r="1730">
      <x:c r="P1730" t="str">
        <x:v>20|Mort-vivant|Précieuse</x:v>
      </x:c>
      <x:c r="Q1730" t="n">
        <x:v>4000000</x:v>
      </x:c>
      <x:c r="R1730" t="str">
        <x:v>1d4</x:v>
      </x:c>
      <x:c r="S1730" t="str">
        <x:v>PP</x:v>
      </x:c>
      <x:c r="T1730" t="n">
        <x:v>1</x:v>
      </x:c>
      <x:c r="U1730" t="n">
        <x:v>50</x:v>
      </x:c>
      <x:c r="V1730" t="n">
        <x:v>0</x:v>
      </x:c>
      <x:c r="W1730" t="n">
        <x:v>0</x:v>
      </x:c>
      <x:c r="X1730" t="str">
        <x:v>VALUE: [[1d4]] PP 1 PP 50 PO</x:v>
      </x:c>
    </x:row>
    <x:row r="1731">
      <x:c r="P1731" t="str">
        <x:v>20|Mort-vivant|Exceptionnelle</x:v>
      </x:c>
      <x:c r="Q1731" t="n">
        <x:v>7000000</x:v>
      </x:c>
      <x:c r="R1731" t="str">
        <x:v>2d4</x:v>
      </x:c>
      <x:c r="S1731" t="str">
        <x:v>PP</x:v>
      </x:c>
      <x:c r="T1731" t="n">
        <x:v>2</x:v>
      </x:c>
      <x:c r="U1731" t="n">
        <x:v>0</x:v>
      </x:c>
      <x:c r="V1731" t="n">
        <x:v>0</x:v>
      </x:c>
      <x:c r="W1731" t="n">
        <x:v>0</x:v>
      </x:c>
      <x:c r="X1731" t="str">
        <x:v>VALUE: [[2d4]] PP 2 PP</x:v>
      </x:c>
    </x:row>
    <x:row r="1732">
      <x:c r="P1732" t="str">
        <x:v>20|Monstre|Commune</x:v>
      </x:c>
      <x:c r="Q1732" t="n">
        <x:v>1000000</x:v>
      </x:c>
      <x:c r="R1732" t="str">
        <x:v>7d20</x:v>
      </x:c>
      <x:c r="S1732" t="str">
        <x:v>PO</x:v>
      </x:c>
      <x:c r="T1732" t="n">
        <x:v>0</x:v>
      </x:c>
      <x:c r="U1732" t="n">
        <x:v>26</x:v>
      </x:c>
      <x:c r="V1732" t="n">
        <x:v>50</x:v>
      </x:c>
      <x:c r="W1732" t="n">
        <x:v>0</x:v>
      </x:c>
      <x:c r="X1732" t="str">
        <x:v>VALUE: [[7d20]] PO 26 PO 50 PA</x:v>
      </x:c>
    </x:row>
    <x:row r="1733">
      <x:c r="P1733" t="str">
        <x:v>20|Monstre|Peu commune</x:v>
      </x:c>
      <x:c r="Q1733" t="n">
        <x:v>1500000</x:v>
      </x:c>
      <x:c r="R1733" t="str">
        <x:v>10d20</x:v>
      </x:c>
      <x:c r="S1733" t="str">
        <x:v>PO</x:v>
      </x:c>
      <x:c r="T1733" t="n">
        <x:v>0</x:v>
      </x:c>
      <x:c r="U1733" t="n">
        <x:v>45</x:v>
      </x:c>
      <x:c r="V1733" t="n">
        <x:v>0</x:v>
      </x:c>
      <x:c r="W1733" t="n">
        <x:v>0</x:v>
      </x:c>
      <x:c r="X1733" t="str">
        <x:v>VALUE: [[10d20]] PO 45 PO</x:v>
      </x:c>
    </x:row>
    <x:row r="1734">
      <x:c r="P1734" t="str">
        <x:v>20|Monstre|Rare</x:v>
      </x:c>
      <x:c r="Q1734" t="n">
        <x:v>2500000</x:v>
      </x:c>
      <x:c r="R1734" t="str">
        <x:v>10d20</x:v>
      </x:c>
      <x:c r="S1734" t="str">
        <x:v>PO</x:v>
      </x:c>
      <x:c r="T1734" t="n">
        <x:v>1</x:v>
      </x:c>
      <x:c r="U1734" t="n">
        <x:v>45</x:v>
      </x:c>
      <x:c r="V1734" t="n">
        <x:v>0</x:v>
      </x:c>
      <x:c r="W1734" t="n">
        <x:v>0</x:v>
      </x:c>
      <x:c r="X1734" t="str">
        <x:v>VALUE: [[10d20]] PO 1 PP 45 PO</x:v>
      </x:c>
    </x:row>
    <x:row r="1735">
      <x:c r="P1735" t="str">
        <x:v>20|Monstre|Précieuse</x:v>
      </x:c>
      <x:c r="Q1735" t="n">
        <x:v>4000000</x:v>
      </x:c>
      <x:c r="R1735" t="str">
        <x:v>1d4</x:v>
      </x:c>
      <x:c r="S1735" t="str">
        <x:v>PP</x:v>
      </x:c>
      <x:c r="T1735" t="n">
        <x:v>1</x:v>
      </x:c>
      <x:c r="U1735" t="n">
        <x:v>50</x:v>
      </x:c>
      <x:c r="V1735" t="n">
        <x:v>0</x:v>
      </x:c>
      <x:c r="W1735" t="n">
        <x:v>0</x:v>
      </x:c>
      <x:c r="X1735" t="str">
        <x:v>VALUE: [[1d4]] PP 1 PP 50 PO</x:v>
      </x:c>
    </x:row>
    <x:row r="1736">
      <x:c r="P1736" t="str">
        <x:v>20|Monstre|Exceptionnelle</x:v>
      </x:c>
      <x:c r="Q1736" t="n">
        <x:v>7000000</x:v>
      </x:c>
      <x:c r="R1736" t="str">
        <x:v>2d4</x:v>
      </x:c>
      <x:c r="S1736" t="str">
        <x:v>PP</x:v>
      </x:c>
      <x:c r="T1736" t="n">
        <x:v>2</x:v>
      </x:c>
      <x:c r="U1736" t="n">
        <x:v>0</x:v>
      </x:c>
      <x:c r="V1736" t="n">
        <x:v>0</x:v>
      </x:c>
      <x:c r="W1736" t="n">
        <x:v>0</x:v>
      </x:c>
      <x:c r="X1736" t="str">
        <x:v>VALUE: [[2d4]] PP 2 PP</x:v>
      </x:c>
    </x:row>
    <x:row r="1737">
      <x:c r="P1737" t="str">
        <x:v>20|Vase|Commune</x:v>
      </x:c>
      <x:c r="Q1737" t="n">
        <x:v>1000000</x:v>
      </x:c>
      <x:c r="R1737" t="str">
        <x:v>7d20</x:v>
      </x:c>
      <x:c r="S1737" t="str">
        <x:v>PO</x:v>
      </x:c>
      <x:c r="T1737" t="n">
        <x:v>0</x:v>
      </x:c>
      <x:c r="U1737" t="n">
        <x:v>26</x:v>
      </x:c>
      <x:c r="V1737" t="n">
        <x:v>50</x:v>
      </x:c>
      <x:c r="W1737" t="n">
        <x:v>0</x:v>
      </x:c>
      <x:c r="X1737" t="str">
        <x:v>VALUE: [[7d20]] PO 26 PO 50 PA</x:v>
      </x:c>
    </x:row>
    <x:row r="1738">
      <x:c r="P1738" t="str">
        <x:v>20|Vase|Peu commune</x:v>
      </x:c>
      <x:c r="Q1738" t="n">
        <x:v>1500000</x:v>
      </x:c>
      <x:c r="R1738" t="str">
        <x:v>10d20</x:v>
      </x:c>
      <x:c r="S1738" t="str">
        <x:v>PO</x:v>
      </x:c>
      <x:c r="T1738" t="n">
        <x:v>0</x:v>
      </x:c>
      <x:c r="U1738" t="n">
        <x:v>45</x:v>
      </x:c>
      <x:c r="V1738" t="n">
        <x:v>0</x:v>
      </x:c>
      <x:c r="W1738" t="n">
        <x:v>0</x:v>
      </x:c>
      <x:c r="X1738" t="str">
        <x:v>VALUE: [[10d20]] PO 45 PO</x:v>
      </x:c>
    </x:row>
    <x:row r="1739">
      <x:c r="P1739" t="str">
        <x:v>20|Vase|Rare</x:v>
      </x:c>
      <x:c r="Q1739" t="n">
        <x:v>2500000</x:v>
      </x:c>
      <x:c r="R1739" t="str">
        <x:v>10d20</x:v>
      </x:c>
      <x:c r="S1739" t="str">
        <x:v>PO</x:v>
      </x:c>
      <x:c r="T1739" t="n">
        <x:v>1</x:v>
      </x:c>
      <x:c r="U1739" t="n">
        <x:v>45</x:v>
      </x:c>
      <x:c r="V1739" t="n">
        <x:v>0</x:v>
      </x:c>
      <x:c r="W1739" t="n">
        <x:v>0</x:v>
      </x:c>
      <x:c r="X1739" t="str">
        <x:v>VALUE: [[10d20]] PO 1 PP 45 PO</x:v>
      </x:c>
    </x:row>
    <x:row r="1740">
      <x:c r="P1740" t="str">
        <x:v>20|Vase|Précieuse</x:v>
      </x:c>
      <x:c r="Q1740" t="n">
        <x:v>4000000</x:v>
      </x:c>
      <x:c r="R1740" t="str">
        <x:v>1d4</x:v>
      </x:c>
      <x:c r="S1740" t="str">
        <x:v>PP</x:v>
      </x:c>
      <x:c r="T1740" t="n">
        <x:v>1</x:v>
      </x:c>
      <x:c r="U1740" t="n">
        <x:v>50</x:v>
      </x:c>
      <x:c r="V1740" t="n">
        <x:v>0</x:v>
      </x:c>
      <x:c r="W1740" t="n">
        <x:v>0</x:v>
      </x:c>
      <x:c r="X1740" t="str">
        <x:v>VALUE: [[1d4]] PP 1 PP 50 PO</x:v>
      </x:c>
    </x:row>
    <x:row r="1741">
      <x:c r="P1741" t="str">
        <x:v>20|Vase|Exceptionnelle</x:v>
      </x:c>
      <x:c r="Q1741" t="n">
        <x:v>7000000</x:v>
      </x:c>
      <x:c r="R1741" t="str">
        <x:v>2d4</x:v>
      </x:c>
      <x:c r="S1741" t="str">
        <x:v>PP</x:v>
      </x:c>
      <x:c r="T1741" t="n">
        <x:v>2</x:v>
      </x:c>
      <x:c r="U1741" t="n">
        <x:v>0</x:v>
      </x:c>
      <x:c r="V1741" t="n">
        <x:v>0</x:v>
      </x:c>
      <x:c r="W1741" t="n">
        <x:v>0</x:v>
      </x:c>
      <x:c r="X1741" t="str">
        <x:v>VALUE: [[2d4]] PP 2 PP</x:v>
      </x:c>
    </x:row>
    <x:row r="1742">
      <x:c r="P1742" t="str">
        <x:v>20|Géant|Commune</x:v>
      </x:c>
      <x:c r="Q1742" t="n">
        <x:v>1200000</x:v>
      </x:c>
      <x:c r="R1742" t="str">
        <x:v>8d20</x:v>
      </x:c>
      <x:c r="S1742" t="str">
        <x:v>PO</x:v>
      </x:c>
      <x:c r="T1742" t="n">
        <x:v>0</x:v>
      </x:c>
      <x:c r="U1742" t="n">
        <x:v>36</x:v>
      </x:c>
      <x:c r="V1742" t="n">
        <x:v>0</x:v>
      </x:c>
      <x:c r="W1742" t="n">
        <x:v>0</x:v>
      </x:c>
      <x:c r="X1742" t="str">
        <x:v>VALUE: [[8d20]] PO 36 PO</x:v>
      </x:c>
    </x:row>
    <x:row r="1743">
      <x:c r="P1743" t="str">
        <x:v>20|Géant|Peu commune</x:v>
      </x:c>
      <x:c r="Q1743" t="n">
        <x:v>1800000</x:v>
      </x:c>
      <x:c r="R1743" t="str">
        <x:v>10d20</x:v>
      </x:c>
      <x:c r="S1743" t="str">
        <x:v>PO</x:v>
      </x:c>
      <x:c r="T1743" t="n">
        <x:v>0</x:v>
      </x:c>
      <x:c r="U1743" t="n">
        <x:v>75</x:v>
      </x:c>
      <x:c r="V1743" t="n">
        <x:v>0</x:v>
      </x:c>
      <x:c r="W1743" t="n">
        <x:v>0</x:v>
      </x:c>
      <x:c r="X1743" t="str">
        <x:v>VALUE: [[10d20]] PO 75 PO</x:v>
      </x:c>
    </x:row>
    <x:row r="1744">
      <x:c r="P1744" t="str">
        <x:v>20|Géant|Rare</x:v>
      </x:c>
      <x:c r="Q1744" t="n">
        <x:v>3000000</x:v>
      </x:c>
      <x:c r="R1744" t="str">
        <x:v>1d4</x:v>
      </x:c>
      <x:c r="S1744" t="str">
        <x:v>PP</x:v>
      </x:c>
      <x:c r="T1744" t="n">
        <x:v>0</x:v>
      </x:c>
      <x:c r="U1744" t="n">
        <x:v>50</x:v>
      </x:c>
      <x:c r="V1744" t="n">
        <x:v>0</x:v>
      </x:c>
      <x:c r="W1744" t="n">
        <x:v>0</x:v>
      </x:c>
      <x:c r="X1744" t="str">
        <x:v>VALUE: [[1d4]] PP 50 PO</x:v>
      </x:c>
    </x:row>
    <x:row r="1745">
      <x:c r="P1745" t="str">
        <x:v>20|Géant|Précieuse</x:v>
      </x:c>
      <x:c r="Q1745" t="n">
        <x:v>4800000</x:v>
      </x:c>
      <x:c r="R1745" t="str">
        <x:v>1d6</x:v>
      </x:c>
      <x:c r="S1745" t="str">
        <x:v>PP</x:v>
      </x:c>
      <x:c r="T1745" t="n">
        <x:v>1</x:v>
      </x:c>
      <x:c r="U1745" t="n">
        <x:v>30</x:v>
      </x:c>
      <x:c r="V1745" t="n">
        <x:v>0</x:v>
      </x:c>
      <x:c r="W1745" t="n">
        <x:v>0</x:v>
      </x:c>
      <x:c r="X1745" t="str">
        <x:v>VALUE: [[1d6]] PP 1 PP 30 PO</x:v>
      </x:c>
    </x:row>
    <x:row r="1746">
      <x:c r="P1746" t="str">
        <x:v>20|Géant|Exceptionnelle</x:v>
      </x:c>
      <x:c r="Q1746" t="n">
        <x:v>8400000</x:v>
      </x:c>
      <x:c r="R1746" t="str">
        <x:v>1d10</x:v>
      </x:c>
      <x:c r="S1746" t="str">
        <x:v>PP</x:v>
      </x:c>
      <x:c r="T1746" t="n">
        <x:v>2</x:v>
      </x:c>
      <x:c r="U1746" t="n">
        <x:v>90</x:v>
      </x:c>
      <x:c r="V1746" t="n">
        <x:v>0</x:v>
      </x:c>
      <x:c r="W1746" t="n">
        <x:v>0</x:v>
      </x:c>
      <x:c r="X1746" t="str">
        <x:v>VALUE: [[1d10]] PP 2 PP 90 PO</x:v>
      </x:c>
    </x:row>
    <x:row r="1747">
      <x:c r="P1747" t="str">
        <x:v>20|Aberration|Commune</x:v>
      </x:c>
      <x:c r="Q1747" t="n">
        <x:v>1500000</x:v>
      </x:c>
      <x:c r="R1747" t="str">
        <x:v>10d20</x:v>
      </x:c>
      <x:c r="S1747" t="str">
        <x:v>PO</x:v>
      </x:c>
      <x:c r="T1747" t="n">
        <x:v>0</x:v>
      </x:c>
      <x:c r="U1747" t="n">
        <x:v>45</x:v>
      </x:c>
      <x:c r="V1747" t="n">
        <x:v>0</x:v>
      </x:c>
      <x:c r="W1747" t="n">
        <x:v>0</x:v>
      </x:c>
      <x:c r="X1747" t="str">
        <x:v>VALUE: [[10d20]] PO 45 PO</x:v>
      </x:c>
    </x:row>
    <x:row r="1748">
      <x:c r="P1748" t="str">
        <x:v>20|Aberration|Peu commune</x:v>
      </x:c>
      <x:c r="Q1748" t="n">
        <x:v>2250000</x:v>
      </x:c>
      <x:c r="R1748" t="str">
        <x:v>10d20</x:v>
      </x:c>
      <x:c r="S1748" t="str">
        <x:v>PO</x:v>
      </x:c>
      <x:c r="T1748" t="n">
        <x:v>1</x:v>
      </x:c>
      <x:c r="U1748" t="n">
        <x:v>20</x:v>
      </x:c>
      <x:c r="V1748" t="n">
        <x:v>0</x:v>
      </x:c>
      <x:c r="W1748" t="n">
        <x:v>0</x:v>
      </x:c>
      <x:c r="X1748" t="str">
        <x:v>VALUE: [[10d20]] PO 1 PP 20 PO</x:v>
      </x:c>
    </x:row>
    <x:row r="1749">
      <x:c r="P1749" t="str">
        <x:v>20|Aberration|Rare</x:v>
      </x:c>
      <x:c r="Q1749" t="n">
        <x:v>3750000</x:v>
      </x:c>
      <x:c r="R1749" t="str">
        <x:v>1d4</x:v>
      </x:c>
      <x:c r="S1749" t="str">
        <x:v>PP</x:v>
      </x:c>
      <x:c r="T1749" t="n">
        <x:v>1</x:v>
      </x:c>
      <x:c r="U1749" t="n">
        <x:v>25</x:v>
      </x:c>
      <x:c r="V1749" t="n">
        <x:v>0</x:v>
      </x:c>
      <x:c r="W1749" t="n">
        <x:v>0</x:v>
      </x:c>
      <x:c r="X1749" t="str">
        <x:v>VALUE: [[1d4]] PP 1 PP 25 PO</x:v>
      </x:c>
    </x:row>
    <x:row r="1750">
      <x:c r="P1750" t="str">
        <x:v>20|Aberration|Précieuse</x:v>
      </x:c>
      <x:c r="Q1750" t="n">
        <x:v>6000000</x:v>
      </x:c>
      <x:c r="R1750" t="str">
        <x:v>1d8</x:v>
      </x:c>
      <x:c r="S1750" t="str">
        <x:v>PP</x:v>
      </x:c>
      <x:c r="T1750" t="n">
        <x:v>1</x:v>
      </x:c>
      <x:c r="U1750" t="n">
        <x:v>50</x:v>
      </x:c>
      <x:c r="V1750" t="n">
        <x:v>0</x:v>
      </x:c>
      <x:c r="W1750" t="n">
        <x:v>0</x:v>
      </x:c>
      <x:c r="X1750" t="str">
        <x:v>VALUE: [[1d8]] PP 1 PP 50 PO</x:v>
      </x:c>
    </x:row>
    <x:row r="1751">
      <x:c r="P1751" t="str">
        <x:v>20|Aberration|Exceptionnelle</x:v>
      </x:c>
      <x:c r="Q1751" t="n">
        <x:v>10500000</x:v>
      </x:c>
      <x:c r="R1751" t="str">
        <x:v>3d4</x:v>
      </x:c>
      <x:c r="S1751" t="str">
        <x:v>PP</x:v>
      </x:c>
      <x:c r="T1751" t="n">
        <x:v>3</x:v>
      </x:c>
      <x:c r="U1751" t="n">
        <x:v>0</x:v>
      </x:c>
      <x:c r="V1751" t="n">
        <x:v>0</x:v>
      </x:c>
      <x:c r="W1751" t="n">
        <x:v>0</x:v>
      </x:c>
      <x:c r="X1751" t="str">
        <x:v>VALUE: [[3d4]] PP 3 PP</x:v>
      </x:c>
    </x:row>
    <x:row r="1752">
      <x:c r="P1752" t="str">
        <x:v>20|Fée|Commune</x:v>
      </x:c>
      <x:c r="Q1752" t="n">
        <x:v>1800000</x:v>
      </x:c>
      <x:c r="R1752" t="str">
        <x:v>10d20</x:v>
      </x:c>
      <x:c r="S1752" t="str">
        <x:v>PO</x:v>
      </x:c>
      <x:c r="T1752" t="n">
        <x:v>0</x:v>
      </x:c>
      <x:c r="U1752" t="n">
        <x:v>75</x:v>
      </x:c>
      <x:c r="V1752" t="n">
        <x:v>0</x:v>
      </x:c>
      <x:c r="W1752" t="n">
        <x:v>0</x:v>
      </x:c>
      <x:c r="X1752" t="str">
        <x:v>VALUE: [[10d20]] PO 75 PO</x:v>
      </x:c>
    </x:row>
    <x:row r="1753">
      <x:c r="P1753" t="str">
        <x:v>20|Fée|Peu commune</x:v>
      </x:c>
      <x:c r="Q1753" t="n">
        <x:v>2700000</x:v>
      </x:c>
      <x:c r="R1753" t="str">
        <x:v>1d4</x:v>
      </x:c>
      <x:c r="S1753" t="str">
        <x:v>PP</x:v>
      </x:c>
      <x:c r="T1753" t="n">
        <x:v>0</x:v>
      </x:c>
      <x:c r="U1753" t="n">
        <x:v>20</x:v>
      </x:c>
      <x:c r="V1753" t="n">
        <x:v>0</x:v>
      </x:c>
      <x:c r="W1753" t="n">
        <x:v>0</x:v>
      </x:c>
      <x:c r="X1753" t="str">
        <x:v>VALUE: [[1d4]] PP 20 PO</x:v>
      </x:c>
    </x:row>
    <x:row r="1754">
      <x:c r="P1754" t="str">
        <x:v>20|Fée|Rare</x:v>
      </x:c>
      <x:c r="Q1754" t="n">
        <x:v>4500000</x:v>
      </x:c>
      <x:c r="R1754" t="str">
        <x:v>1d6</x:v>
      </x:c>
      <x:c r="S1754" t="str">
        <x:v>PP</x:v>
      </x:c>
      <x:c r="T1754" t="n">
        <x:v>1</x:v>
      </x:c>
      <x:c r="U1754" t="n">
        <x:v>0</x:v>
      </x:c>
      <x:c r="V1754" t="n">
        <x:v>0</x:v>
      </x:c>
      <x:c r="W1754" t="n">
        <x:v>0</x:v>
      </x:c>
      <x:c r="X1754" t="str">
        <x:v>VALUE: [[1d6]] PP 1 PP</x:v>
      </x:c>
    </x:row>
    <x:row r="1755">
      <x:c r="P1755" t="str">
        <x:v>20|Fée|Précieuse</x:v>
      </x:c>
      <x:c r="Q1755" t="n">
        <x:v>7200000</x:v>
      </x:c>
      <x:c r="R1755" t="str">
        <x:v>2d4</x:v>
      </x:c>
      <x:c r="S1755" t="str">
        <x:v>PP</x:v>
      </x:c>
      <x:c r="T1755" t="n">
        <x:v>2</x:v>
      </x:c>
      <x:c r="U1755" t="n">
        <x:v>20</x:v>
      </x:c>
      <x:c r="V1755" t="n">
        <x:v>0</x:v>
      </x:c>
      <x:c r="W1755" t="n">
        <x:v>0</x:v>
      </x:c>
      <x:c r="X1755" t="str">
        <x:v>VALUE: [[2d4]] PP 2 PP 20 PO</x:v>
      </x:c>
    </x:row>
    <x:row r="1756">
      <x:c r="P1756" t="str">
        <x:v>20|Fée|Exceptionnelle</x:v>
      </x:c>
      <x:c r="Q1756" t="n">
        <x:v>12600000</x:v>
      </x:c>
      <x:c r="R1756" t="str">
        <x:v>2d8</x:v>
      </x:c>
      <x:c r="S1756" t="str">
        <x:v>PP</x:v>
      </x:c>
      <x:c r="T1756" t="n">
        <x:v>3</x:v>
      </x:c>
      <x:c r="U1756" t="n">
        <x:v>60</x:v>
      </x:c>
      <x:c r="V1756" t="n">
        <x:v>0</x:v>
      </x:c>
      <x:c r="W1756" t="n">
        <x:v>0</x:v>
      </x:c>
      <x:c r="X1756" t="str">
        <x:v>VALUE: [[2d8]] PP 3 PP 60 PO</x:v>
      </x:c>
    </x:row>
    <x:row r="1757">
      <x:c r="P1757" t="str">
        <x:v>20|Démon|Commune</x:v>
      </x:c>
      <x:c r="Q1757" t="n">
        <x:v>2000000</x:v>
      </x:c>
      <x:c r="R1757" t="str">
        <x:v>10d20</x:v>
      </x:c>
      <x:c r="S1757" t="str">
        <x:v>PO</x:v>
      </x:c>
      <x:c r="T1757" t="n">
        <x:v>0</x:v>
      </x:c>
      <x:c r="U1757" t="n">
        <x:v>95</x:v>
      </x:c>
      <x:c r="V1757" t="n">
        <x:v>0</x:v>
      </x:c>
      <x:c r="W1757" t="n">
        <x:v>0</x:v>
      </x:c>
      <x:c r="X1757" t="str">
        <x:v>VALUE: [[10d20]] PO 95 PO</x:v>
      </x:c>
    </x:row>
    <x:row r="1758">
      <x:c r="P1758" t="str">
        <x:v>20|Démon|Peu commune</x:v>
      </x:c>
      <x:c r="Q1758" t="n">
        <x:v>3000000</x:v>
      </x:c>
      <x:c r="R1758" t="str">
        <x:v>1d4</x:v>
      </x:c>
      <x:c r="S1758" t="str">
        <x:v>PP</x:v>
      </x:c>
      <x:c r="T1758" t="n">
        <x:v>0</x:v>
      </x:c>
      <x:c r="U1758" t="n">
        <x:v>50</x:v>
      </x:c>
      <x:c r="V1758" t="n">
        <x:v>0</x:v>
      </x:c>
      <x:c r="W1758" t="n">
        <x:v>0</x:v>
      </x:c>
      <x:c r="X1758" t="str">
        <x:v>VALUE: [[1d4]] PP 50 PO</x:v>
      </x:c>
    </x:row>
    <x:row r="1759">
      <x:c r="P1759" t="str">
        <x:v>20|Démon|Rare</x:v>
      </x:c>
      <x:c r="Q1759" t="n">
        <x:v>5000000</x:v>
      </x:c>
      <x:c r="R1759" t="str">
        <x:v>1d6</x:v>
      </x:c>
      <x:c r="S1759" t="str">
        <x:v>PP</x:v>
      </x:c>
      <x:c r="T1759" t="n">
        <x:v>1</x:v>
      </x:c>
      <x:c r="U1759" t="n">
        <x:v>50</x:v>
      </x:c>
      <x:c r="V1759" t="n">
        <x:v>0</x:v>
      </x:c>
      <x:c r="W1759" t="n">
        <x:v>0</x:v>
      </x:c>
      <x:c r="X1759" t="str">
        <x:v>VALUE: [[1d6]] PP 1 PP 50 PO</x:v>
      </x:c>
    </x:row>
    <x:row r="1760">
      <x:c r="P1760" t="str">
        <x:v>20|Démon|Précieuse</x:v>
      </x:c>
      <x:c r="Q1760" t="n">
        <x:v>8000000</x:v>
      </x:c>
      <x:c r="R1760" t="str">
        <x:v>1d10</x:v>
      </x:c>
      <x:c r="S1760" t="str">
        <x:v>PP</x:v>
      </x:c>
      <x:c r="T1760" t="n">
        <x:v>2</x:v>
      </x:c>
      <x:c r="U1760" t="n">
        <x:v>50</x:v>
      </x:c>
      <x:c r="V1760" t="n">
        <x:v>0</x:v>
      </x:c>
      <x:c r="W1760" t="n">
        <x:v>0</x:v>
      </x:c>
      <x:c r="X1760" t="str">
        <x:v>VALUE: [[1d10]] PP 2 PP 50 PO</x:v>
      </x:c>
    </x:row>
    <x:row r="1761">
      <x:c r="P1761" t="str">
        <x:v>20|Démon|Exceptionnelle</x:v>
      </x:c>
      <x:c r="Q1761" t="n">
        <x:v>14000000</x:v>
      </x:c>
      <x:c r="R1761" t="str">
        <x:v>4d4</x:v>
      </x:c>
      <x:c r="S1761" t="str">
        <x:v>PP</x:v>
      </x:c>
      <x:c r="T1761" t="n">
        <x:v>4</x:v>
      </x:c>
      <x:c r="U1761" t="n">
        <x:v>0</x:v>
      </x:c>
      <x:c r="V1761" t="n">
        <x:v>0</x:v>
      </x:c>
      <x:c r="W1761" t="n">
        <x:v>0</x:v>
      </x:c>
      <x:c r="X1761" t="str">
        <x:v>VALUE: [[4d4]] PP 4 PP</x:v>
      </x:c>
    </x:row>
    <x:row r="1762">
      <x:c r="P1762" t="str">
        <x:v>20|Artificiel|Commune</x:v>
      </x:c>
      <x:c r="Q1762" t="n">
        <x:v>2000000</x:v>
      </x:c>
      <x:c r="R1762" t="str">
        <x:v>10d20</x:v>
      </x:c>
      <x:c r="S1762" t="str">
        <x:v>PO</x:v>
      </x:c>
      <x:c r="T1762" t="n">
        <x:v>0</x:v>
      </x:c>
      <x:c r="U1762" t="n">
        <x:v>95</x:v>
      </x:c>
      <x:c r="V1762" t="n">
        <x:v>0</x:v>
      </x:c>
      <x:c r="W1762" t="n">
        <x:v>0</x:v>
      </x:c>
      <x:c r="X1762" t="str">
        <x:v>VALUE: [[10d20]] PO 95 PO</x:v>
      </x:c>
    </x:row>
    <x:row r="1763">
      <x:c r="P1763" t="str">
        <x:v>20|Artificiel|Peu commune</x:v>
      </x:c>
      <x:c r="Q1763" t="n">
        <x:v>3000000</x:v>
      </x:c>
      <x:c r="R1763" t="str">
        <x:v>1d4</x:v>
      </x:c>
      <x:c r="S1763" t="str">
        <x:v>PP</x:v>
      </x:c>
      <x:c r="T1763" t="n">
        <x:v>0</x:v>
      </x:c>
      <x:c r="U1763" t="n">
        <x:v>50</x:v>
      </x:c>
      <x:c r="V1763" t="n">
        <x:v>0</x:v>
      </x:c>
      <x:c r="W1763" t="n">
        <x:v>0</x:v>
      </x:c>
      <x:c r="X1763" t="str">
        <x:v>VALUE: [[1d4]] PP 50 PO</x:v>
      </x:c>
    </x:row>
    <x:row r="1764">
      <x:c r="P1764" t="str">
        <x:v>20|Artificiel|Rare</x:v>
      </x:c>
      <x:c r="Q1764" t="n">
        <x:v>5000000</x:v>
      </x:c>
      <x:c r="R1764" t="str">
        <x:v>1d6</x:v>
      </x:c>
      <x:c r="S1764" t="str">
        <x:v>PP</x:v>
      </x:c>
      <x:c r="T1764" t="n">
        <x:v>1</x:v>
      </x:c>
      <x:c r="U1764" t="n">
        <x:v>50</x:v>
      </x:c>
      <x:c r="V1764" t="n">
        <x:v>0</x:v>
      </x:c>
      <x:c r="W1764" t="n">
        <x:v>0</x:v>
      </x:c>
      <x:c r="X1764" t="str">
        <x:v>VALUE: [[1d6]] PP 1 PP 50 PO</x:v>
      </x:c>
    </x:row>
    <x:row r="1765">
      <x:c r="P1765" t="str">
        <x:v>20|Artificiel|Précieuse</x:v>
      </x:c>
      <x:c r="Q1765" t="n">
        <x:v>8000000</x:v>
      </x:c>
      <x:c r="R1765" t="str">
        <x:v>1d10</x:v>
      </x:c>
      <x:c r="S1765" t="str">
        <x:v>PP</x:v>
      </x:c>
      <x:c r="T1765" t="n">
        <x:v>2</x:v>
      </x:c>
      <x:c r="U1765" t="n">
        <x:v>50</x:v>
      </x:c>
      <x:c r="V1765" t="n">
        <x:v>0</x:v>
      </x:c>
      <x:c r="W1765" t="n">
        <x:v>0</x:v>
      </x:c>
      <x:c r="X1765" t="str">
        <x:v>VALUE: [[1d10]] PP 2 PP 50 PO</x:v>
      </x:c>
    </x:row>
    <x:row r="1766">
      <x:c r="P1766" t="str">
        <x:v>20|Artificiel|Exceptionnelle</x:v>
      </x:c>
      <x:c r="Q1766" t="n">
        <x:v>14000000</x:v>
      </x:c>
      <x:c r="R1766" t="str">
        <x:v>4d4</x:v>
      </x:c>
      <x:c r="S1766" t="str">
        <x:v>PP</x:v>
      </x:c>
      <x:c r="T1766" t="n">
        <x:v>4</x:v>
      </x:c>
      <x:c r="U1766" t="n">
        <x:v>0</x:v>
      </x:c>
      <x:c r="V1766" t="n">
        <x:v>0</x:v>
      </x:c>
      <x:c r="W1766" t="n">
        <x:v>0</x:v>
      </x:c>
      <x:c r="X1766" t="str">
        <x:v>VALUE: [[4d4]] PP 4 PP</x:v>
      </x:c>
    </x:row>
    <x:row r="1767">
      <x:c r="P1767" t="str">
        <x:v>20|Élémentaire|Commune</x:v>
      </x:c>
      <x:c r="Q1767" t="n">
        <x:v>2500000</x:v>
      </x:c>
      <x:c r="R1767" t="str">
        <x:v>10d20</x:v>
      </x:c>
      <x:c r="S1767" t="str">
        <x:v>PO</x:v>
      </x:c>
      <x:c r="T1767" t="n">
        <x:v>1</x:v>
      </x:c>
      <x:c r="U1767" t="n">
        <x:v>45</x:v>
      </x:c>
      <x:c r="V1767" t="n">
        <x:v>0</x:v>
      </x:c>
      <x:c r="W1767" t="n">
        <x:v>0</x:v>
      </x:c>
      <x:c r="X1767" t="str">
        <x:v>VALUE: [[10d20]] PO 1 PP 45 PO</x:v>
      </x:c>
    </x:row>
    <x:row r="1768">
      <x:c r="P1768" t="str">
        <x:v>20|Élémentaire|Peu commune</x:v>
      </x:c>
      <x:c r="Q1768" t="n">
        <x:v>3750000</x:v>
      </x:c>
      <x:c r="R1768" t="str">
        <x:v>1d4</x:v>
      </x:c>
      <x:c r="S1768" t="str">
        <x:v>PP</x:v>
      </x:c>
      <x:c r="T1768" t="n">
        <x:v>1</x:v>
      </x:c>
      <x:c r="U1768" t="n">
        <x:v>25</x:v>
      </x:c>
      <x:c r="V1768" t="n">
        <x:v>0</x:v>
      </x:c>
      <x:c r="W1768" t="n">
        <x:v>0</x:v>
      </x:c>
      <x:c r="X1768" t="str">
        <x:v>VALUE: [[1d4]] PP 1 PP 25 PO</x:v>
      </x:c>
    </x:row>
    <x:row r="1769">
      <x:c r="P1769" t="str">
        <x:v>20|Élémentaire|Rare</x:v>
      </x:c>
      <x:c r="Q1769" t="n">
        <x:v>6250000</x:v>
      </x:c>
      <x:c r="R1769" t="str">
        <x:v>1d8</x:v>
      </x:c>
      <x:c r="S1769" t="str">
        <x:v>PP</x:v>
      </x:c>
      <x:c r="T1769" t="n">
        <x:v>1</x:v>
      </x:c>
      <x:c r="U1769" t="n">
        <x:v>75</x:v>
      </x:c>
      <x:c r="V1769" t="n">
        <x:v>0</x:v>
      </x:c>
      <x:c r="W1769" t="n">
        <x:v>0</x:v>
      </x:c>
      <x:c r="X1769" t="str">
        <x:v>VALUE: [[1d8]] PP 1 PP 75 PO</x:v>
      </x:c>
    </x:row>
    <x:row r="1770">
      <x:c r="P1770" t="str">
        <x:v>20|Élémentaire|Précieuse</x:v>
      </x:c>
      <x:c r="Q1770" t="n">
        <x:v>10000000</x:v>
      </x:c>
      <x:c r="R1770" t="str">
        <x:v>2d6</x:v>
      </x:c>
      <x:c r="S1770" t="str">
        <x:v>PP</x:v>
      </x:c>
      <x:c r="T1770" t="n">
        <x:v>3</x:v>
      </x:c>
      <x:c r="U1770" t="n">
        <x:v>0</x:v>
      </x:c>
      <x:c r="V1770" t="n">
        <x:v>0</x:v>
      </x:c>
      <x:c r="W1770" t="n">
        <x:v>0</x:v>
      </x:c>
      <x:c r="X1770" t="str">
        <x:v>VALUE: [[2d6]] PP 3 PP</x:v>
      </x:c>
    </x:row>
    <x:row r="1771">
      <x:c r="P1771" t="str">
        <x:v>20|Élémentaire|Exceptionnelle</x:v>
      </x:c>
      <x:c r="Q1771" t="n">
        <x:v>17500000</x:v>
      </x:c>
      <x:c r="R1771" t="str">
        <x:v>5d4</x:v>
      </x:c>
      <x:c r="S1771" t="str">
        <x:v>PP</x:v>
      </x:c>
      <x:c r="T1771" t="n">
        <x:v>5</x:v>
      </x:c>
      <x:c r="U1771" t="n">
        <x:v>0</x:v>
      </x:c>
      <x:c r="V1771" t="n">
        <x:v>0</x:v>
      </x:c>
      <x:c r="W1771" t="n">
        <x:v>0</x:v>
      </x:c>
      <x:c r="X1771" t="str">
        <x:v>VALUE: [[5d4]] PP 5 PP</x:v>
      </x:c>
    </x:row>
    <x:row r="1772">
      <x:c r="P1772" t="str">
        <x:v>20|Esprit|Commune</x:v>
      </x:c>
      <x:c r="Q1772" t="n">
        <x:v>2500000</x:v>
      </x:c>
      <x:c r="R1772" t="str">
        <x:v>10d20</x:v>
      </x:c>
      <x:c r="S1772" t="str">
        <x:v>PO</x:v>
      </x:c>
      <x:c r="T1772" t="n">
        <x:v>1</x:v>
      </x:c>
      <x:c r="U1772" t="n">
        <x:v>45</x:v>
      </x:c>
      <x:c r="V1772" t="n">
        <x:v>0</x:v>
      </x:c>
      <x:c r="W1772" t="n">
        <x:v>0</x:v>
      </x:c>
      <x:c r="X1772" t="str">
        <x:v>VALUE: [[10d20]] PO 1 PP 45 PO</x:v>
      </x:c>
    </x:row>
    <x:row r="1773">
      <x:c r="P1773" t="str">
        <x:v>20|Esprit|Peu commune</x:v>
      </x:c>
      <x:c r="Q1773" t="n">
        <x:v>3750000</x:v>
      </x:c>
      <x:c r="R1773" t="str">
        <x:v>1d4</x:v>
      </x:c>
      <x:c r="S1773" t="str">
        <x:v>PP</x:v>
      </x:c>
      <x:c r="T1773" t="n">
        <x:v>1</x:v>
      </x:c>
      <x:c r="U1773" t="n">
        <x:v>25</x:v>
      </x:c>
      <x:c r="V1773" t="n">
        <x:v>0</x:v>
      </x:c>
      <x:c r="W1773" t="n">
        <x:v>0</x:v>
      </x:c>
      <x:c r="X1773" t="str">
        <x:v>VALUE: [[1d4]] PP 1 PP 25 PO</x:v>
      </x:c>
    </x:row>
    <x:row r="1774">
      <x:c r="P1774" t="str">
        <x:v>20|Esprit|Rare</x:v>
      </x:c>
      <x:c r="Q1774" t="n">
        <x:v>6250000</x:v>
      </x:c>
      <x:c r="R1774" t="str">
        <x:v>1d8</x:v>
      </x:c>
      <x:c r="S1774" t="str">
        <x:v>PP</x:v>
      </x:c>
      <x:c r="T1774" t="n">
        <x:v>1</x:v>
      </x:c>
      <x:c r="U1774" t="n">
        <x:v>75</x:v>
      </x:c>
      <x:c r="V1774" t="n">
        <x:v>0</x:v>
      </x:c>
      <x:c r="W1774" t="n">
        <x:v>0</x:v>
      </x:c>
      <x:c r="X1774" t="str">
        <x:v>VALUE: [[1d8]] PP 1 PP 75 PO</x:v>
      </x:c>
    </x:row>
    <x:row r="1775">
      <x:c r="P1775" t="str">
        <x:v>20|Esprit|Précieuse</x:v>
      </x:c>
      <x:c r="Q1775" t="n">
        <x:v>10000000</x:v>
      </x:c>
      <x:c r="R1775" t="str">
        <x:v>2d6</x:v>
      </x:c>
      <x:c r="S1775" t="str">
        <x:v>PP</x:v>
      </x:c>
      <x:c r="T1775" t="n">
        <x:v>3</x:v>
      </x:c>
      <x:c r="U1775" t="n">
        <x:v>0</x:v>
      </x:c>
      <x:c r="V1775" t="n">
        <x:v>0</x:v>
      </x:c>
      <x:c r="W1775" t="n">
        <x:v>0</x:v>
      </x:c>
      <x:c r="X1775" t="str">
        <x:v>VALUE: [[2d6]] PP 3 PP</x:v>
      </x:c>
    </x:row>
    <x:row r="1776">
      <x:c r="P1776" t="str">
        <x:v>20|Esprit|Exceptionnelle</x:v>
      </x:c>
      <x:c r="Q1776" t="n">
        <x:v>17500000</x:v>
      </x:c>
      <x:c r="R1776" t="str">
        <x:v>5d4</x:v>
      </x:c>
      <x:c r="S1776" t="str">
        <x:v>PP</x:v>
      </x:c>
      <x:c r="T1776" t="n">
        <x:v>5</x:v>
      </x:c>
      <x:c r="U1776" t="n">
        <x:v>0</x:v>
      </x:c>
      <x:c r="V1776" t="n">
        <x:v>0</x:v>
      </x:c>
      <x:c r="W1776" t="n">
        <x:v>0</x:v>
      </x:c>
      <x:c r="X1776" t="str">
        <x:v>VALUE: [[5d4]] PP 5 PP</x:v>
      </x:c>
    </x:row>
    <x:row r="1777">
      <x:c r="P1777" t="str">
        <x:v>20|Céleste|Commune</x:v>
      </x:c>
      <x:c r="Q1777" t="n">
        <x:v>3000000</x:v>
      </x:c>
      <x:c r="R1777" t="str">
        <x:v>1d4</x:v>
      </x:c>
      <x:c r="S1777" t="str">
        <x:v>PP</x:v>
      </x:c>
      <x:c r="T1777" t="n">
        <x:v>0</x:v>
      </x:c>
      <x:c r="U1777" t="n">
        <x:v>50</x:v>
      </x:c>
      <x:c r="V1777" t="n">
        <x:v>0</x:v>
      </x:c>
      <x:c r="W1777" t="n">
        <x:v>0</x:v>
      </x:c>
      <x:c r="X1777" t="str">
        <x:v>VALUE: [[1d4]] PP 50 PO</x:v>
      </x:c>
    </x:row>
    <x:row r="1778">
      <x:c r="P1778" t="str">
        <x:v>20|Céleste|Peu commune</x:v>
      </x:c>
      <x:c r="Q1778" t="n">
        <x:v>4500000</x:v>
      </x:c>
      <x:c r="R1778" t="str">
        <x:v>1d6</x:v>
      </x:c>
      <x:c r="S1778" t="str">
        <x:v>PP</x:v>
      </x:c>
      <x:c r="T1778" t="n">
        <x:v>1</x:v>
      </x:c>
      <x:c r="U1778" t="n">
        <x:v>0</x:v>
      </x:c>
      <x:c r="V1778" t="n">
        <x:v>0</x:v>
      </x:c>
      <x:c r="W1778" t="n">
        <x:v>0</x:v>
      </x:c>
      <x:c r="X1778" t="str">
        <x:v>VALUE: [[1d6]] PP 1 PP</x:v>
      </x:c>
    </x:row>
    <x:row r="1779">
      <x:c r="P1779" t="str">
        <x:v>20|Céleste|Rare</x:v>
      </x:c>
      <x:c r="Q1779" t="n">
        <x:v>7500000</x:v>
      </x:c>
      <x:c r="R1779" t="str">
        <x:v>1d10</x:v>
      </x:c>
      <x:c r="S1779" t="str">
        <x:v>PP</x:v>
      </x:c>
      <x:c r="T1779" t="n">
        <x:v>2</x:v>
      </x:c>
      <x:c r="U1779" t="n">
        <x:v>0</x:v>
      </x:c>
      <x:c r="V1779" t="n">
        <x:v>0</x:v>
      </x:c>
      <x:c r="W1779" t="n">
        <x:v>0</x:v>
      </x:c>
      <x:c r="X1779" t="str">
        <x:v>VALUE: [[1d10]] PP 2 PP</x:v>
      </x:c>
    </x:row>
    <x:row r="1780">
      <x:c r="P1780" t="str">
        <x:v>20|Céleste|Précieuse</x:v>
      </x:c>
      <x:c r="Q1780" t="n">
        <x:v>12000000</x:v>
      </x:c>
      <x:c r="R1780" t="str">
        <x:v>2d8</x:v>
      </x:c>
      <x:c r="S1780" t="str">
        <x:v>PP</x:v>
      </x:c>
      <x:c r="T1780" t="n">
        <x:v>3</x:v>
      </x:c>
      <x:c r="U1780" t="n">
        <x:v>0</x:v>
      </x:c>
      <x:c r="V1780" t="n">
        <x:v>0</x:v>
      </x:c>
      <x:c r="W1780" t="n">
        <x:v>0</x:v>
      </x:c>
      <x:c r="X1780" t="str">
        <x:v>VALUE: [[2d8]] PP 3 PP</x:v>
      </x:c>
    </x:row>
    <x:row r="1781">
      <x:c r="P1781" t="str">
        <x:v>20|Céleste|Exceptionnelle</x:v>
      </x:c>
      <x:c r="Q1781" t="n">
        <x:v>21000000</x:v>
      </x:c>
      <x:c r="R1781" t="str">
        <x:v>6d4</x:v>
      </x:c>
      <x:c r="S1781" t="str">
        <x:v>PP</x:v>
      </x:c>
      <x:c r="T1781" t="n">
        <x:v>6</x:v>
      </x:c>
      <x:c r="U1781" t="n">
        <x:v>0</x:v>
      </x:c>
      <x:c r="V1781" t="n">
        <x:v>0</x:v>
      </x:c>
      <x:c r="W1781" t="n">
        <x:v>0</x:v>
      </x:c>
      <x:c r="X1781" t="str">
        <x:v>VALUE: [[6d4]] PP 6 PP</x:v>
      </x:c>
    </x:row>
    <x:row r="1782">
      <x:c r="P1782" t="str">
        <x:v>20|Dragon|Commune</x:v>
      </x:c>
      <x:c r="Q1782" t="n">
        <x:v>5000000</x:v>
      </x:c>
      <x:c r="R1782" t="str">
        <x:v>1d6</x:v>
      </x:c>
      <x:c r="S1782" t="str">
        <x:v>PP</x:v>
      </x:c>
      <x:c r="T1782" t="n">
        <x:v>1</x:v>
      </x:c>
      <x:c r="U1782" t="n">
        <x:v>50</x:v>
      </x:c>
      <x:c r="V1782" t="n">
        <x:v>0</x:v>
      </x:c>
      <x:c r="W1782" t="n">
        <x:v>0</x:v>
      </x:c>
      <x:c r="X1782" t="str">
        <x:v>VALUE: [[1d6]] PP 1 PP 50 PO</x:v>
      </x:c>
    </x:row>
    <x:row r="1783">
      <x:c r="P1783" t="str">
        <x:v>20|Dragon|Peu commune</x:v>
      </x:c>
      <x:c r="Q1783" t="n">
        <x:v>7500000</x:v>
      </x:c>
      <x:c r="R1783" t="str">
        <x:v>1d10</x:v>
      </x:c>
      <x:c r="S1783" t="str">
        <x:v>PP</x:v>
      </x:c>
      <x:c r="T1783" t="n">
        <x:v>2</x:v>
      </x:c>
      <x:c r="U1783" t="n">
        <x:v>0</x:v>
      </x:c>
      <x:c r="V1783" t="n">
        <x:v>0</x:v>
      </x:c>
      <x:c r="W1783" t="n">
        <x:v>0</x:v>
      </x:c>
      <x:c r="X1783" t="str">
        <x:v>VALUE: [[1d10]] PP 2 PP</x:v>
      </x:c>
    </x:row>
    <x:row r="1784">
      <x:c r="P1784" t="str">
        <x:v>20|Dragon|Rare</x:v>
      </x:c>
      <x:c r="Q1784" t="n">
        <x:v>12500000</x:v>
      </x:c>
      <x:c r="R1784" t="str">
        <x:v>2d8</x:v>
      </x:c>
      <x:c r="S1784" t="str">
        <x:v>PP</x:v>
      </x:c>
      <x:c r="T1784" t="n">
        <x:v>3</x:v>
      </x:c>
      <x:c r="U1784" t="n">
        <x:v>50</x:v>
      </x:c>
      <x:c r="V1784" t="n">
        <x:v>0</x:v>
      </x:c>
      <x:c r="W1784" t="n">
        <x:v>0</x:v>
      </x:c>
      <x:c r="X1784" t="str">
        <x:v>VALUE: [[2d8]] PP 3 PP 50 PO</x:v>
      </x:c>
    </x:row>
    <x:row r="1785">
      <x:c r="P1785" t="str">
        <x:v>20|Dragon|Précieuse</x:v>
      </x:c>
      <x:c r="Q1785" t="n">
        <x:v>20000000</x:v>
      </x:c>
      <x:c r="R1785" t="str">
        <x:v>4d6</x:v>
      </x:c>
      <x:c r="S1785" t="str">
        <x:v>PP</x:v>
      </x:c>
      <x:c r="T1785" t="n">
        <x:v>6</x:v>
      </x:c>
      <x:c r="U1785" t="n">
        <x:v>0</x:v>
      </x:c>
      <x:c r="V1785" t="n">
        <x:v>0</x:v>
      </x:c>
      <x:c r="W1785" t="n">
        <x:v>0</x:v>
      </x:c>
      <x:c r="X1785" t="str">
        <x:v>VALUE: [[4d6]] PP 6 PP</x:v>
      </x:c>
    </x:row>
    <x:row r="1786">
      <x:c r="P1786" t="str">
        <x:v>20|Dragon|Exceptionnelle</x:v>
      </x:c>
      <x:c r="Q1786" t="n">
        <x:v>35000000</x:v>
      </x:c>
      <x:c r="R1786" t="str">
        <x:v>7d6</x:v>
      </x:c>
      <x:c r="S1786" t="str">
        <x:v>PP</x:v>
      </x:c>
      <x:c r="T1786" t="n">
        <x:v>10</x:v>
      </x:c>
      <x:c r="U1786" t="n">
        <x:v>50</x:v>
      </x:c>
      <x:c r="V1786" t="n">
        <x:v>0</x:v>
      </x:c>
      <x:c r="W1786" t="n">
        <x:v>0</x:v>
      </x:c>
      <x:c r="X1786" t="str">
        <x:v>VALUE: [[7d6]] PP 10 PP 50 PO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25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0" hidden="0" customWidth="1"/>
    <x:col min="9" max="9" width="10" hidden="0" customWidth="1"/>
    <x:col min="10" max="10" width="12" hidden="0" customWidth="1"/>
    <x:col min="11" max="11" width="10" hidden="0" customWidth="1"/>
    <x:col min="12" max="12" width="16" hidden="0" customWidth="1"/>
    <x:col min="13" max="13" width="12" hidden="0" customWidth="1"/>
    <x:col min="14" max="14" width="10" hidden="0" customWidth="1"/>
    <x:col min="15" max="15" width="12" hidden="0" customWidth="1"/>
    <x:col min="16" max="16" width="26" hidden="0" customWidth="1"/>
    <x:col min="17" max="17" width="80" hidden="0" customWidth="1"/>
    <x:col min="18" max="18" width="40" hidden="0" customWidth="1"/>
    <x:col min="19" max="19" width="10" hidden="0" customWidth="1"/>
    <x:col min="20" max="20" width="30" hidden="0" customWidth="1"/>
    <x:col min="21" max="21" width="15" hidden="0" customWidth="1"/>
    <x:col min="22" max="22" width="15" hidden="0" customWidth="1"/>
    <x:col min="23" max="23" width="18" hidden="0" customWidth="1"/>
    <x:col min="24" max="24" width="16" hidden="0" customWidth="1"/>
    <x:col min="25" max="25" width="48" hidden="0" customWidth="1"/>
    <x:col min="27" max="27" width="42" hidden="0" customWidth="1"/>
    <x:col min="28" max="28" width="65" hidden="0" customWidth="1"/>
    <x:col min="29" max="29" width="18" hidden="0" customWidth="1"/>
    <x:col min="30" max="30" width="100" hidden="0" customWidth="1"/>
    <x:col min="32" max="32" width="30" hidden="0" customWidth="1"/>
    <x:col min="33" max="33" width="100" hidden="0" customWidth="1"/>
    <x:col min="34" max="34" width="45" hidden="0" customWidth="1"/>
    <x:col min="35" max="35" width="12" hidden="0" customWidth="1"/>
    <x:col min="36" max="36" width="120" hidden="0" customWidth="1"/>
    <x:col min="38" max="38" width="22" hidden="0" customWidth="1"/>
    <x:col min="39" max="39" width="120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</x:cols>
  <x:sheetData>
    <x:row r="1">
      <x:c r="A1" s="106" t="str">
        <x:v>Source</x:v>
      </x:c>
      <x:c r="B1" s="106" t="str">
        <x:v>Slot</x:v>
      </x:c>
      <x:c r="C1" s="106" t="str">
        <x:v>Nom</x:v>
      </x:c>
      <x:c r="D1" s="106" t="str">
        <x:v>Mode</x:v>
      </x:c>
      <x:c r="E1" s="106" t="str">
        <x:v>Type brut</x:v>
      </x:c>
      <x:c r="F1" s="106" t="str">
        <x:v>Type script</x:v>
      </x:c>
      <x:c r="G1" s="106" t="str">
        <x:v>État</x:v>
      </x:c>
      <x:c r="H1" s="106" t="str">
        <x:v>Save</x:v>
      </x:c>
      <x:c r="I1" s="106" t="str">
        <x:v>Opp.</x:v>
      </x:c>
      <x:c r="J1" s="106" t="str">
        <x:v>Zone</x:v>
      </x:c>
      <x:c r="K1" s="106" t="str">
        <x:v>Portée</x:v>
      </x:c>
      <x:c r="L1" s="106" t="str">
        <x:v>Usage</x:v>
      </x:c>
      <x:c r="M1" s="106" t="str">
        <x:v>Dés</x:v>
      </x:c>
      <x:c r="N1" s="106" t="str">
        <x:v>Bonus</x:v>
      </x:c>
      <x:c r="O1" s="106" t="str">
        <x:v>Toucher/DD</x:v>
      </x:c>
      <x:c r="P1" s="106" t="str">
        <x:v>Prédicat</x:v>
      </x:c>
      <x:c r="Q1" s="106" t="str">
        <x:v>Commande</x:v>
      </x:c>
      <x:c r="R1" s="106" t="str">
        <x:v>Effet</x:v>
      </x:c>
      <x:c r="S1" s="106" t="str">
        <x:v>Carac</x:v>
      </x:c>
      <x:c r="T1" s="106" t="str">
        <x:v>Usage option</x:v>
      </x:c>
      <x:c r="U1" s="106" t="str">
        <x:v>Zone option</x:v>
      </x:c>
      <x:c r="V1" s="106" t="str">
        <x:v>Type option</x:v>
      </x:c>
      <x:c r="W1" s="106" t="str">
        <x:v>DM expr</x:v>
      </x:c>
      <x:c r="X1" s="106" t="str">
        <x:v>Special</x:v>
      </x:c>
      <x:c r="Y1" s="106" t="str">
        <x:v>Description ligne</x:v>
      </x:c>
      <x:c r="Z1" s="31"/>
      <x:c r="AA1" s="106" t="str">
        <x:v>Agrégat export</x:v>
      </x:c>
      <x:c r="AB1" s="106" t="str">
        <x:v>Valeur</x:v>
      </x:c>
      <x:c r="AC1" s="31"/>
      <x:c r="AD1" s="31"/>
      <x:c r="AE1" s="31"/>
      <x:c r="AF1" s="31"/>
      <x:c r="AG1" s="31"/>
      <x:c r="AH1" s="31"/>
      <x:c r="AI1" s="31"/>
      <x:c r="AJ1" s="31"/>
      <x:c r="AK1" s="31"/>
      <x:c r="AL1" s="106" t="str">
        <x:v>Final</x:v>
      </x:c>
      <x:c r="AM1" s="106" t="str">
        <x:v>Valeur</x:v>
      </x:c>
      <x:c r="AO1"/>
      <x:c r="AP1"/>
      <x:c r="AQ1" s="105" t="str">
        <x:v>ATTACK</x:v>
      </x:c>
      <x:c r="AR1" s="105" t="str">
        <x:v>ATTACK_SAVE</x:v>
      </x:c>
      <x:c r="AS1" s="105" t="str">
        <x:v>AOE_SAVE</x:v>
      </x:c>
      <x:c r="AT1" s="105" t="str">
        <x:v>CONTROL_SAVE</x:v>
      </x:c>
      <x:c r="AU1" s="105" t="str">
        <x:v>CONTROL_SAVE_DMG</x:v>
      </x:c>
      <x:c r="AV1" s="105" t="str">
        <x:v>AOE_CONTROL</x:v>
      </x:c>
      <x:c r="AW1" s="105" t="str">
        <x:v>CONTROL_OPPOSE</x:v>
      </x:c>
      <x:c r="AX1" s="105" t="str">
        <x:v>MANOEUVRE</x:v>
      </x:c>
      <x:c r="AY1" s="105" t="str">
        <x:v>TELEPORT</x:v>
      </x:c>
      <x:c r="AZ1" s="105" t="str">
        <x:v>HEAL10</x:v>
      </x:c>
      <x:c r="BA1" s="105" t="str">
        <x:v>HEAL20</x:v>
      </x:c>
      <x:c r="BB1" s="105" t="str">
        <x:v>SELF_STATE</x:v>
      </x:c>
      <x:c r="BC1" s="105" t="str">
        <x:v>MULTIATTACK</x:v>
      </x:c>
      <x:c r="BD1" t="str">
        <x:v>STATBLOCK JSON — aides</x:v>
      </x:c>
      <x:c r="BE1" t="str">
        <x:v>Fragment attaque</x:v>
      </x:c>
      <x:c r="BF1" t="str">
        <x:v>Attaques JSON</x:v>
      </x:c>
      <x:c r="BG1" t="str">
        <x:v>JSON statblock</x:v>
      </x:c>
      <x:c r="BH1" t="str">
        <x:v>JSON statblock final</x:v>
      </x:c>
      <x:c r="BI1" t="str">
        <x:v>Action statblock fragment</x:v>
      </x:c>
      <x:c r="BJ1" t="str">
        <x:v>Actions statblock JSON</x:v>
      </x:c>
      <x:c r="BK1" t="str">
        <x:v>Prédicats JSON escaped</x:v>
      </x:c>
      <x:c r="BL1" t="str">
        <x:v>Métadonnées Monster Creator — échappées JSON</x:v>
      </x:c>
      <x:c r="BM1" t="str">
        <x:v>Source</x:v>
      </x:c>
      <x:c r="BN1" t="str">
        <x:v>SOUS-FAMILLES — GOOGLE SHEETS</x:v>
      </x:c>
      <x:c r="BO1" t="str">
        <x:v>Compatibilité</x:v>
      </x:c>
    </x:row>
    <x:row r="2">
      <x:c r="A2" t="str">
        <x:v>Signature</x:v>
      </x:c>
      <x:c r="B2" t="n">
        <x:v>1</x:v>
      </x:c>
      <x:c r="C2" t="str">
        <x:f>Creator!A31</x:f>
        <x:v>Souffle élémentaire</x:v>
      </x:c>
      <x:c r="D2" t="str">
        <x:f>IF(C2="","",IFERROR(VLOOKUP($A2&amp;"|"&amp;$C2,Ref_Roll20!$E:$N,2,FALSE),"DESCRIPTIF"))</x:f>
        <x:v>AOE_SAVE</x:v>
      </x:c>
      <x:c r="E2" t="str">
        <x:f>IF(C2="","",IFERROR(VLOOKUP($A2&amp;"|"&amp;$C2,Ref_Roll20!$E:$N,3,FALSE),""))</x:f>
        <x:v>ELEMENT</x:v>
      </x:c>
      <x:c r="F2" t="str">
        <x:f>IF(C2="","",IF(E2="ELEMENT",IF(Creator!$B$16="","",VLOOKUP(Creator!$B$16,Ref_Roll20!$A:$C,2,FALSE)),IF(E2="ATTAQUE1",IF(Creator!$B$39="","",VLOOKUP(Creator!$B$39,Ref_Roll20!$A:$C,2,FALSE)),IF(E2="","",IFERROR(VLOOKUP(E2,Ref_Roll20!$A:$C,2,FALSE),"")))))</x:f>
        <x:v>feu</x:v>
      </x:c>
      <x:c r="G2" t="str">
        <x:f>IF(C2="","",IFERROR(VLOOKUP($A2&amp;"|"&amp;$C2,Ref_Roll20!$E:$N,4,FALSE),""))</x:f>
      </x:c>
      <x:c r="H2" t="str">
        <x:f>IF(C2="","",IFERROR(VLOOKUP($A2&amp;"|"&amp;$C2,Ref_Roll20!$E:$N,5,FALSE),""))</x:f>
        <x:v>DEX</x:v>
      </x:c>
      <x:c r="I2" t="str">
        <x:f>IF(C2="","",IFERROR(VLOOKUP($A2&amp;"|"&amp;$C2,Ref_Roll20!$E:$N,6,FALSE),""))</x:f>
      </x:c>
      <x:c r="J2" t="str">
        <x:f>IF(C2="","",IFERROR(VLOOKUP($A2&amp;"|"&amp;$C2,Ref_Roll20!$E:$N,7,FALSE),""))</x:f>
        <x:v>CONE</x:v>
      </x:c>
      <x:c r="K2" t="n">
        <x:f>IF(C2="","",IFERROR(VLOOKUP($A2&amp;"|"&amp;$C2,Ref_Roll20!$E:$N,8,FALSE),0))</x:f>
        <x:v>15</x:v>
      </x:c>
      <x:c r="L2" t="str">
        <x:f>IF(C2="","",Creator!C31)</x:f>
        <x:v>Recharge 5-6</x:v>
      </x:c>
      <x:c r="M2" t="str">
        <x:f>IF(C2="","",Creator!E31)</x:f>
        <x:v>2d12</x:v>
      </x:c>
      <x:c r="N2" t="n">
        <x:f>IF(C2="","",IF(S2="",0,IF(S2="FOR",Creator!$E$4,IF(S2="DEX",Creator!$E$5,IF(S2="CON",Creator!$E$6,IF(S2="INT",Creator!$E$7,IF(S2="SAG",Creator!$E$8,IF(S2="CHA",Creator!$E$9,0))))))))</x:f>
        <x:v>1</x:v>
      </x:c>
      <x:c r="O2" t="n">
        <x:f>IF(C2="","",IF(D2="ATTACK",IF(S2="FOR",Creator!$E$4,IF(S2="DEX",Creator!$E$5,IF(S2="CON",Creator!$E$6,IF(S2="INT",Creator!$E$7,IF(S2="SAG",Creator!$E$8,IF(S2="CHA",Creator!$E$9,0))))))+Moteur!$B$6+Moteur!$R$4,IF(D2="ATTACK_SAVE",Creator!D31,IF(OR(D2="AOE_SAVE",D2="AOE_CONTROL",D2="CONTROL_SAVE",D2="CONTROL_SAVE_DMG"),Creator!D31,Creator!D31))))</x:f>
        <x:v>13</x:v>
      </x:c>
      <x:c r="P2" t="str">
        <x:f>IF(C2="","",IF(D2="REGEN5","vitaliteSurnaturelle:"&amp;MAX(1,ROUND(Creator!$E$10*0.05,0)),IF(D2="REGEN10","vitaliteSurnaturelle:"&amp;MAX(1,ROUND(Creator!$E$10*0.10,0)),IFERROR(VLOOKUP($A2&amp;"|"&amp;$C2,Ref_Roll20!$E:$N,9,FALSE),""))))</x:f>
      </x:c>
      <x:c r="Q2" t="str">
        <x:f>IF(C2="","",TEXTJOIN("",TRUE,AQ2:BC2))</x:f>
        <x:v>!cof-attack @{selected|token_id} @{target|token_id} Souffle élémentaire --auto --dm 2d12+1 --portee 15 --feu --cone 90 --psave DEX 13 --recharge 5 MC_SIG1</x:v>
      </x:c>
      <x:c r="R2" t="str">
        <x:f>IF(C2="","",Creator!G31)</x:f>
        <x:v>Élément associé ; moitié sur réussite</x:v>
      </x:c>
      <x:c r="S2" t="str">
        <x:f>IF(C2="","",IFERROR(VLOOKUP(Creator!A31,Ref_Signatures!C:L,4,FALSE),""))</x:f>
        <x:v>CON</x:v>
      </x:c>
      <x:c r="T2" t="str">
        <x:f>IF(C2="","",IF(L2="Recharge 5-6"," --recharge 5 MC_SIG1",IF(L2="1/combat"," --limiteParCombat 1 MC_SIG1",IF(L2="1/tour"," --limiteParTour 1 MC_SIG1",""))))</x:f>
        <x:v> --recharge 5 MC_SIG1</x:v>
      </x:c>
      <x:c r="U2" t="str">
        <x:f>IF(J2="CONE"," --cone 90",IF(J2="LIGNE"," --ligne",IF(J2="DISQUE2"," --disque 2",IF(J2="DISQUE3"," --disque 3",""))))</x:f>
        <x:v> --cone 90</x:v>
      </x:c>
      <x:c r="V2" t="str">
        <x:f>IF(F2="",""," --"&amp;F2)</x:f>
        <x:v> --feu</x:v>
      </x:c>
      <x:c r="W2" t="str">
        <x:f>IF(M2="","",M2&amp;IF(N2=0,"",IF(N2&gt;0,"+"&amp;N2,N2)))</x:f>
        <x:v>2d12+1</x:v>
      </x:c>
      <x:c r="X2" t="str">
        <x:f>IF(C2="","",IFERROR(VLOOKUP($A2&amp;"|"&amp;$C2,Ref_Roll20!$E:$N,10,FALSE),""))</x:f>
      </x:c>
      <x:c r="Y2" t="str">
        <x:f>IF(C2="","",C2&amp;" : "&amp;R2)</x:f>
        <x:v>Souffle élémentaire : Élément associé ; moitié sur réussite</x:v>
      </x:c>
      <x:c r="AA2" t="str">
        <x:v>Prédicats famille</x:v>
      </x:c>
      <x:c r="AB2" t="str">
        <x:f>IF(Creator!B6="Mort-vivant","nonVivant ",IF(Creator!B6="Élémentaire","nonVivant ",IF(Creator!B6="Esprit","nonVivant ",IF(Creator!B6="Plante","vegetatif ",IF(Creator!B6="Artificiel","sansEsprit creatureArtificielle immuniteSaignement ","")))))</x:f>
      </x:c>
      <x:c r="AL2" t="str">
        <x:v>Attributes JSON</x:v>
      </x:c>
      <x:c r="AM2" t="str">
        <x:f>TEXTJOIN(",",TRUE,AD11:AD213)</x:f>
        <x:v>{"name":"version","current":"5.05","max":""},{"name":"type_personnage","current":"PNJ","max":""},{"name":"character_name","current":"Créature exemple","max":""},{"name":"niveau","current":"10","max":""},{"name":"race","current":"Dragon","max":""},{"name":"profil","current":"Dragon élémentaire · Standard","max":""},{"name":"sous_famille","current":"Dragon élémentaire","max":""},{"name":"taille","current":"Grand","max":""},{"name":"pnj_for","current":"5","max":""},{"name":"pnj_dex","current":"3","max":""},{"name":"pnj_con","current":"1","max":""},{"name":"pnj_sag","current":"3","max":""},{"name":"pnj_cha","current":"1","max":""},{"name":"force","current":"20","max":""},{"name":"dexterite","current":"16","max":""},{"name":"constitution","current":"12","max":""},{"name":"intelligence","current":"10","max":""},{"name":"sagesse","current":"16","max":""},{"name":"charisme","current":"12","max":""},{"name":"PV","current":"101","max":"101"},{"name":"PV_max","current":"101","max":""},{"name":"pnj_def","current":"21","max":""},{"name":"pnj_init","current":"15","max":""},{"name":"predicats_script","current":"resistanceA_tranchant resistanceA_percant absorptionA_feu faiblesseMajeureA_eau","max":""},{"name":"capacites_pnj","current":"Souffle élémentaire : Élément associé ; moitié sur réussite","max":""},{"name":"show_script","current":"1","max":""},{"name":"pnj_default_jets_caches","current":"false","max":""},{"name":"element_lie","current":"Feu","max":""},{"name":"element_oppose","current":"Eau","max":""},{"name":"affinites","current":"R Tranchant; R Perforant; S Feu; FM Eau","max":""},{"name":"mouvement","current":"9","max":""},{"name":"vol","current":"12","max":""},{"name":"nage","current":"9","max":""},{"name":"allonge","current":"2","max":""},{"name":"NC_REEL","current":"10.713373319298498","max":""},{"name":"DANGER_REEL","current":"873.6211402457027","max":""},{"name":"loot_moyen_pc","current":"15000","max":""},{"name":"max_attack_label","current":"2","max":""},{"name":"maxrangaction","current":"18","max":""},{"name":"repeating_pnjatk_MCATK1_armelabel","current":"1","max":""},{"name":"repeating_pnjatk_MCATK1_armeactionvisible","current":"1","max":""},{"name":"repeating_pnjatk_MCATK1_armenom","current":"Attaque principale","max":""},{"name":"repeating_pnjatk_MCATK1_armeatk","current":"7","max":""},{"name":"repeating_pnjatk_MCATK1_armecrit","current":"20","max":""},{"name":"repeating_pnjatk_MCATK1_armedmnbde","current":"2","max":""},{"name":"repeating_pnjatk_MCATK1_armedmde","current":"12","max":""},{"name":"repeating_pnjatk_MCATK1_armedm","current":"5","max":""},{"name":"repeating_pnjatk_MCATK1_armetypeattaque","current":"Naturel","max":""},{"name":"repeating_pnjatk_MCATK1_armetypedegats","current":"tranchant","max":""},{"name":"repeating_pnjatk_MCATK2_armelabel","current":"2","max":""},{"name":"repeating_pnjatk_MCATK2_armeactionvisible","current":"1","max":""},{"name":"repeating_pnjatk_MCATK2_armenom","current":"Attaque secondaire","max":""},{"name":"repeating_pnjatk_MCATK2_armeatk","current":"5","max":""},{"name":"repeating_pnjatk_MCATK2_armecrit","current":"20","max":""},{"name":"repeating_pnjatk_MCATK2_armedmnbde","current":"2","max":""},{"name":"repeating_pnjatk_MCATK2_armedmde","current":"12","max":""},{"name":"repeating_pnjatk_MCATK2_armedm","current":"3","max":""},{"name":"repeating_pnjatk_MCATK2_armeportee","current":"10","max":""},{"name":"repeating_pnjatk_MCATK2_armetypeattaque","current":"Naturel","max":""},{"name":"repeating_pnjatk_MCATK2_armetypedegats","current":"percant","max":""},{"name":"repeating_actions_MCACT1_actionmontree","current":"1","max":""},{"name":"repeating_actions_MCACT1_actionrang","current":"1","max":""},{"name":"repeating_actions_MCACT1_actiontitre","current":"Souffle élémentaire","max":""},{"name":"repeating_actions_MCACT1_actiontype","current":"action","max":""},{"name":"repeating_actions_MCACT1_actioncode","current":"!cof-attack @{selected|token_id} @{target|token_id} Souffle élémentaire --auto --dm 2d12+1 --portee 15 --feu --cone 90 --psave DEX 13 --recharge 5 MC_SIG1","max":""}</x:v>
      </x:c>
      <x:c r="AO2"/>
      <x:c r="AP2"/>
      <x:c r="AQ2" t="str">
        <x:f>IF(D2="ATTACK","!cof-attack @{selected|token_id} @{target|token_id} "&amp;C2&amp;" --toucher "&amp;O2&amp;" --dm "&amp;W2&amp;IF(K2&gt;0," --portee "&amp;K2,"")&amp;V2&amp;T2,"")</x:f>
      </x:c>
      <x:c r="AR2" t="str">
        <x:f>IF(D2="ATTACK_SAVE","!cof-attack @{selected|token_id} @{target|token_id} "&amp;C2&amp;" --auto --dm "&amp;W2&amp;IF(K2&gt;0," --portee "&amp;K2,"")&amp;V2&amp;" --psave "&amp;H2&amp;" "&amp;O2&amp;T2,"")</x:f>
      </x:c>
      <x:c r="AS2" t="str">
        <x:f>IF(D2="AOE_SAVE","!cof-attack @{selected|token_id} @{target|token_id} "&amp;C2&amp;" --auto --dm "&amp;W2&amp;IF(K2&gt;0," --portee "&amp;K2,"")&amp;V2&amp;U2&amp;" --psave "&amp;H2&amp;" "&amp;O2&amp;T2,"")</x:f>
        <x:v>!cof-attack @{selected|token_id} @{target|token_id} Souffle élémentaire --auto --dm 2d12+1 --portee 15 --feu --cone 90 --psave DEX 13 --recharge 5 MC_SIG1</x:v>
      </x:c>
      <x:c r="AT2" t="str">
        <x:f>IF(D2="CONTROL_SAVE","!cof-attack @{selected|token_id} @{target|token_id} "&amp;C2&amp;" --auto --pasDeDmg"&amp;IF(K2&gt;0," --portee "&amp;K2,"")&amp;U2&amp;" --etat "&amp;G2&amp;" "&amp;H2&amp;" "&amp;O2&amp;" --save "&amp;H2&amp;" "&amp;O2&amp;T2,"")</x:f>
      </x:c>
      <x:c r="AU2" t="str">
        <x:f>IF(D2="CONTROL_SAVE_DMG","!cof-attack @{selected|token_id} @{target|token_id} "&amp;C2&amp;" --auto --dm "&amp;W2&amp;IF(K2&gt;0," --portee "&amp;K2,"")&amp;V2&amp;" --ifSaveFails "&amp;H2&amp;" "&amp;O2&amp;" --etat "&amp;G2&amp;" --else --diviseDmg 2 --endif"&amp;T2,"")</x:f>
      </x:c>
      <x:c r="AV2" t="str">
        <x:f>IF(D2="AOE_CONTROL",IF(M2="","!cof-attack @{selected|token_id} @{target|token_id} "&amp;C2&amp;" --auto --pasDeDmg"&amp;IF(K2&gt;0," --portee "&amp;K2,"")&amp;U2&amp;" --etat "&amp;G2&amp;" "&amp;H2&amp;" "&amp;O2&amp;" --save "&amp;H2&amp;" "&amp;O2&amp;T2,"!cof-attack @{selected|token_id} @{target|token_id} "&amp;C2&amp;" --auto --dm "&amp;W2&amp;IF(K2&gt;0," --portee "&amp;K2,"")&amp;V2&amp;U2&amp;" --ifSaveFails "&amp;H2&amp;" "&amp;O2&amp;" --etat "&amp;G2&amp;" --else --diviseDmg 2 --endif"&amp;T2),"")</x:f>
      </x:c>
      <x:c r="AW2" t="str">
        <x:f>IF(D2="CONTROL_OPPOSE","!cof-etat-oppose @{selected|token_id} @{target|token_id} "&amp;G2&amp;" "&amp;S2&amp;" "&amp;I2&amp;T2,"")</x:f>
      </x:c>
      <x:c r="AX2" t="str">
        <x:f>IF(D2="MANOEUVRE","!cof-manoeuvre @{selected|token_id} @{target|token_id} "&amp;X2,"")</x:f>
      </x:c>
      <x:c r="AY2" t="str">
        <x:f>IF(D2="TELEPORT","!cof-teleportation @{selected|token_id} "&amp;K2,"")</x:f>
      </x:c>
      <x:c r="AZ2" t="str">
        <x:f>IF(D2="HEAL10","!cof-soin @{selected|token_id} @{target|token_id} "&amp;MAX(1,ROUND(Creator!$E$10*0.10,0))&amp;T2,"")</x:f>
      </x:c>
      <x:c r="BA2" t="str">
        <x:f>IF(D2="HEAL20","!cof-soin @{selected|token_id} @{target|token_id} "&amp;MAX(1,ROUND(Creator!$E$10*0.20,0))&amp;T2,"")</x:f>
      </x:c>
      <x:c r="BB2" t="str">
        <x:f>IF(D2="SELF_STATE","!cof-set-state "&amp;G2&amp;" true --target @{selected|token_id}","")</x:f>
      </x:c>
      <x:c r="BC2" t="str">
        <x:f>IF(D2="MULTIATTACK","!cof-attack @{selected|token_id} @{target|token_id} 1"&amp;CHAR(10)&amp;"!cof-attack @{selected|token_id} @{target|token_id} 1","")</x:f>
      </x:c>
      <x:c r="BD2" t="str">
        <x:f>SUBSTITUTE(SUBSTITUTE(SUBSTITUTE(SUBSTITUTE(Creator!B4,CHAR(92),CHAR(92)&amp;CHAR(92)),CHAR(34),CHAR(92)&amp;CHAR(34)),CHAR(13),""),CHAR(10),CHAR(92)&amp;"n")</x:f>
        <x:v>Créature exemple</x:v>
      </x:c>
      <x:c r="BF2" t="str">
        <x:f>TEXTJOIN(",",TRUE,BE22:BE25)</x:f>
        <x:v>{"name":"Attaque principale","test":"+7","dm":"2d12+5","special":null,"reach":null},{"name":"Attaque secondaire","test":"+5","dm":"2d12+3","special":null,"reach":"10"}</x:v>
      </x:c>
      <x:c r="BG2" t="str">
        <x:f>CHAR(123)&amp;CHAR(34)&amp;"name"&amp;CHAR(34)&amp;":[{"&amp;CHAR(34)&amp;"value"&amp;CHAR(34)&amp;":"&amp;CHAR(34)&amp;BD2&amp;CHAR(34)&amp;"}]"&amp;","&amp;CHAR(34)&amp;"appearance"&amp;CHAR(34)&amp;":[]"&amp;","&amp;CHAR(34)&amp;"description"&amp;CHAR(34)&amp;":[]"</x:f>
        <x:v>{"name":[{"value":"Créature exemple"}],"appearance":[],"description":[]</x:v>
      </x:c>
      <x:c r="BH2" t="str">
        <x:f>TEXTJOIN("",TRUE,BG2:BG16)</x:f>
        <x:v>{"name":[{"value":"Créature exemple"}],"appearance":[],"description":[],"creature_family":[{"value":"Dragon","label":"Dragon"}],"archetype":[{"value":"Standard","label":"Standard"}],"level":[{"value":"10"}],"category":[{"value":"alive"}],"size":[{"value":"Grand","label":"Grand"}],"str_mod":[{"value":"5"}],"dex_mod":[{"value":"3"}],"con_mod":[{"value":"1"}],"int_mod":[{"value":"0"}],"wis_mod":[{"value":"3"}],"cha_mod":[{"value":"1"}],"sup_abilities":[],"defense":[{"value":"21"}],"health_point":[{"value":"101"}],"dmg_reduction":[],"init":[{"value":"15"}],"attacks":[{"value":"","format":"simple_html","data":[{"name":"Attaque principale","test":"+7","dm":"2d12+5","special":null,"reach":null},{"name":"Attaque secondaire","test":"+5","dm":"2d12+3","special":null,"reach":"10"}]}],"profile":[{"value":"Dragon élémentaire · Standard"}],"paths":[],"special_capabilities":[{"value":"Souffle élémentaire : Élément associé ; moitié sur réussite","format":"simple_html"}],"structured_capabilities":[],"capabilities":[],"spells":[],"movement":[{"value":"9"}],"flight":[{"value":"12"}],"swim":[{"value":"9"}],"climb":[{"value":"0"}],"burrow":[{"value":"0"}],"reach":[{"value":"2"}],"predicates":[{"value":"resistanceA_tranchant resistanceA_percant absorptionA_feu faiblesseMajeureA_eau"}],"cof_actions":[{"name":"Souffle élémentaire","command":"!cof-attack @{selected|token_id} @{target|token_id} Souffle élémentaire --auto --dm 2d12+1 --portee 15 --feu --cone 90 --psave DEX 13 --recharge 5 MC_SIG1","description":"Élément associé ; moitié sur réussite"}],"subfamily":[{"value":"Dragon élémentaire"}],"major_archetype":[{"value":"Martial"}],"physical_archetype":[{"value":"Ravageur"}],"mental_archetype":[{"value":"Mystique"}],"minor_archetype":[{"value":"Prudent"}],"armor_choice":[{"value":"Aucune"}],"component_rarity":[{"value":"Commune"}],"linked_element":[{"value":"Feu"}],"opposed_element":[{"value":"Eau"}],"affinities":[{"value":"R Tranchant; R Perforant; S Feu; FM Eau"}],"comments":[{"value":"[LOOT]\nTYPE: CREATURE\nNAME: Créature exemple\nFAMILY: Dragon\nTIER: NC 10.71\nRARITY: COMMUN\nVALUE: [[10d20]] PA 45 PA\n[/LOOT]","format":"simple_html"}],"picture":[]}</x:v>
      </x:c>
      <x:c r="BI2" t="str">
        <x:f>IF(OR(C2="",Q2=""),"",CHAR(123)&amp;CHAR(34)&amp;"name"&amp;CHAR(34)&amp;":"&amp;CHAR(34)&amp;SUBSTITUTE(SUBSTITUTE(SUBSTITUTE(SUBSTITUTE(C2,CHAR(92),CHAR(92)&amp;CHAR(92)),CHAR(34),CHAR(92)&amp;CHAR(34)),CHAR(13),""),CHAR(10),CHAR(92)&amp;"n")&amp;CHAR(34)&amp;","&amp;CHAR(34)&amp;"command"&amp;CHAR(34)&amp;":"&amp;CHAR(34)&amp;SUBSTITUTE(SUBSTITUTE(SUBSTITUTE(SUBSTITUTE(Q2,CHAR(92),CHAR(92)&amp;CHAR(92)),CHAR(34),CHAR(92)&amp;CHAR(34)),CHAR(13),""),CHAR(10),CHAR(92)&amp;"n")&amp;CHAR(34)&amp;","&amp;CHAR(34)&amp;"description"&amp;CHAR(34)&amp;":"&amp;CHAR(34)&amp;SUBSTITUTE(SUBSTITUTE(SUBSTITUTE(SUBSTITUTE(R2,CHAR(92),CHAR(92)&amp;CHAR(92)),CHAR(34),CHAR(92)&amp;CHAR(34)),CHAR(13),""),CHAR(10),CHAR(92)&amp;"n")&amp;CHAR(34)&amp;CHAR(125))</x:f>
        <x:v>{"name":"Souffle élémentaire","command":"!cof-attack @{selected|token_id} @{target|token_id} Souffle élémentaire --auto --dm 2d12+1 --portee 15 --feu --cone 90 --psave DEX 13 --recharge 5 MC_SIG1","description":"Élément associé ; moitié sur réussite"}</x:v>
      </x:c>
      <x:c r="BJ2" t="str">
        <x:f>TEXTJOIN(",",TRUE,BI2:BI19)</x:f>
        <x:v>{"name":"Souffle élémentaire","command":"!cof-attack @{selected|token_id} @{target|token_id} Souffle élémentaire --auto --dm 2d12+1 --portee 15 --feu --cone 90 --psave DEX 13 --recharge 5 MC_SIG1","description":"Élément associé ; moitié sur réussite"}</x:v>
      </x:c>
      <x:c r="BK2" t="str">
        <x:f>SUBSTITUTE(SUBSTITUTE(SUBSTITUTE(SUBSTITUTE(AB5,CHAR(92),CHAR(92)&amp;CHAR(92)),CHAR(34),CHAR(92)&amp;CHAR(34)),CHAR(13),""),CHAR(10),CHAR(92)&amp;"n")</x:f>
        <x:v>resistanceA_tranchant resistanceA_percant absorptionA_feu faiblesseMajeureA_eau</x:v>
      </x:c>
      <x:c r="BL2" t="str">
        <x:f>SUBSTITUTE(SUBSTITUTE(SUBSTITUTE(SUBSTITUTE(Creator!B7,CHAR(92),CHAR(92)&amp;CHAR(92)),CHAR(34),CHAR(92)&amp;CHAR(34)),CHAR(13),""),CHAR(10),CHAR(92)&amp;"n")</x:f>
        <x:v>Dragon élémentaire</x:v>
      </x:c>
      <x:c r="BM2" t="str">
        <x:v>Sous-famille</x:v>
      </x:c>
      <x:c r="BN2" t="str">
        <x:f>IFERROR(INDEX(Ref_SousFamilles!$N$2:$AD$8,ROW(A1),MATCH(Creator!$B$6,Ref_SousFamilles!$N$1:$AD$1,0)),"")</x:f>
        <x:v>Dragon mineur</x:v>
      </x:c>
      <x:c r="BO2" t="str">
        <x:v>B7 utilise une plage helper fixe pour rester compatible avec Google Sheets.</x:v>
      </x:c>
    </x:row>
    <x:row r="3">
      <x:c r="A3" t="str">
        <x:v>Signature</x:v>
      </x:c>
      <x:c r="B3" t="n">
        <x:v>2</x:v>
      </x:c>
      <x:c r="C3" t="n">
        <x:f>Creator!A32</x:f>
        <x:v>0</x:v>
      </x:c>
      <x:c r="D3" t="str">
        <x:f>IF(C3="","",IFERROR(VLOOKUP($A3&amp;"|"&amp;$C3,Ref_Roll20!$E:$N,2,FALSE),"DESCRIPTIF"))</x:f>
      </x:c>
      <x:c r="E3" t="str">
        <x:f>IF(C3="","",IFERROR(VLOOKUP($A3&amp;"|"&amp;$C3,Ref_Roll20!$E:$N,3,FALSE),""))</x:f>
      </x:c>
      <x:c r="F3" t="str">
        <x:f>IF(C3="","",IF(E3="ELEMENT",IF(Creator!$B$16="","",VLOOKUP(Creator!$B$16,Ref_Roll20!$A:$C,2,FALSE)),IF(E3="ATTAQUE1",IF(Creator!$B$39="","",VLOOKUP(Creator!$B$39,Ref_Roll20!$A:$C,2,FALSE)),IF(E3="","",IFERROR(VLOOKUP(E3,Ref_Roll20!$A:$C,2,FALSE),"")))))</x:f>
      </x:c>
      <x:c r="G3" t="str">
        <x:f>IF(C3="","",IFERROR(VLOOKUP($A3&amp;"|"&amp;$C3,Ref_Roll20!$E:$N,4,FALSE),""))</x:f>
      </x:c>
      <x:c r="H3" t="str">
        <x:f>IF(C3="","",IFERROR(VLOOKUP($A3&amp;"|"&amp;$C3,Ref_Roll20!$E:$N,5,FALSE),""))</x:f>
      </x:c>
      <x:c r="I3" t="str">
        <x:f>IF(C3="","",IFERROR(VLOOKUP($A3&amp;"|"&amp;$C3,Ref_Roll20!$E:$N,6,FALSE),""))</x:f>
      </x:c>
      <x:c r="J3" t="str">
        <x:f>IF(C3="","",IFERROR(VLOOKUP($A3&amp;"|"&amp;$C3,Ref_Roll20!$E:$N,7,FALSE),""))</x:f>
      </x:c>
      <x:c r="K3" t="str">
        <x:f>IF(C3="","",IFERROR(VLOOKUP($A3&amp;"|"&amp;$C3,Ref_Roll20!$E:$N,8,FALSE),0))</x:f>
      </x:c>
      <x:c r="L3" t="str">
        <x:f>IF(C3="","",Creator!C32)</x:f>
      </x:c>
      <x:c r="M3" t="str">
        <x:f>IF(C3="","",Creator!E32)</x:f>
      </x:c>
      <x:c r="N3" t="str">
        <x:f>IF(C3="","",IF(S3="",0,IF(S3="FOR",Creator!$E$4,IF(S3="DEX",Creator!$E$5,IF(S3="CON",Creator!$E$6,IF(S3="INT",Creator!$E$7,IF(S3="SAG",Creator!$E$8,IF(S3="CHA",Creator!$E$9,0))))))))</x:f>
      </x:c>
      <x:c r="O3" t="str">
        <x:f>IF(C3="","",IF(D3="ATTACK",IF(S3="FOR",Creator!$E$4,IF(S3="DEX",Creator!$E$5,IF(S3="CON",Creator!$E$6,IF(S3="INT",Creator!$E$7,IF(S3="SAG",Creator!$E$8,IF(S3="CHA",Creator!$E$9,0))))))+Moteur!$B$6+Moteur!$R$4,IF(D3="ATTACK_SAVE",Creator!D32,IF(OR(D3="AOE_SAVE",D3="AOE_CONTROL",D3="CONTROL_SAVE",D3="CONTROL_SAVE_DMG"),Creator!D32,Creator!D32))))</x:f>
      </x:c>
      <x:c r="P3" t="str">
        <x:f>IF(C3="","",IF(D3="REGEN5","vitaliteSurnaturelle:"&amp;MAX(1,ROUND(Creator!$E$10*0.05,0)),IF(D3="REGEN10","vitaliteSurnaturelle:"&amp;MAX(1,ROUND(Creator!$E$10*0.10,0)),IFERROR(VLOOKUP($A3&amp;"|"&amp;$C3,Ref_Roll20!$E:$N,9,FALSE),""))))</x:f>
      </x:c>
      <x:c r="Q3" t="str">
        <x:f>IF(C3="","",TEXTJOIN("",TRUE,AQ3:BC3))</x:f>
      </x:c>
      <x:c r="R3" t="str">
        <x:f>IF(C3="","",Creator!G32)</x:f>
      </x:c>
      <x:c r="S3" t="str">
        <x:f>IF(C3="","",IFERROR(VLOOKUP(Creator!A32,Ref_Signatures!C:L,4,FALSE),""))</x:f>
      </x:c>
      <x:c r="T3" t="str">
        <x:f>IF(C3="","",IF(L3="Recharge 5-6"," --recharge 5 MC_SIG2",IF(L3="1/combat"," --limiteParCombat 1 MC_SIG2",IF(L3="1/tour"," --limiteParTour 1 MC_SIG2",""))))</x:f>
      </x:c>
      <x:c r="U3" t="str">
        <x:f>IF(J3="CONE"," --cone 90",IF(J3="LIGNE"," --ligne",IF(J3="DISQUE2"," --disque 2",IF(J3="DISQUE3"," --disque 3",""))))</x:f>
      </x:c>
      <x:c r="V3" t="str">
        <x:f>IF(F3="",""," --"&amp;F3)</x:f>
      </x:c>
      <x:c r="W3" t="str">
        <x:f>IF(M3="","",M3&amp;IF(N3=0,"",IF(N3&gt;0,"+"&amp;N3,N3)))</x:f>
      </x:c>
      <x:c r="X3" t="str">
        <x:f>IF(C3="","",IFERROR(VLOOKUP($A3&amp;"|"&amp;$C3,Ref_Roll20!$E:$N,10,FALSE),""))</x:f>
      </x:c>
      <x:c r="Y3" t="str">
        <x:f>IF(C3="","",C3&amp;" : "&amp;R3)</x:f>
      </x:c>
      <x:c r="AA3" t="str">
        <x:v>Prédicats affinités</x:v>
      </x:c>
      <x:c r="AB3" t="str">
        <x:f>IF(ISNUMBER(SEARCH("R Tranchant",Creator!$E$25)),"resistanceA_tranchant ","")&amp;IF(ISNUMBER(SEARCH("I Tranchant",Creator!$E$25)),"immunite_tranchant ","")&amp;IF(ISNUMBER(SEARCH("S Tranchant",Creator!$E$25)),"absorptionA_tranchant ","")&amp;IF(ISNUMBER(SEARCH("V Tranchant",Creator!$E$25)),"vulnerableA_tranchant ","")&amp;IF(ISNUMBER(SEARCH("FM Tranchant",Creator!$E$25)),"faiblesseMajeureA_tranchant ","")&amp;IF(ISNUMBER(SEARCH("R Perforant",Creator!$E$25)),"resistanceA_percant ","")&amp;IF(ISNUMBER(SEARCH("I Perforant",Creator!$E$25)),"immunite_percant ","")&amp;IF(ISNUMBER(SEARCH("S Perforant",Creator!$E$25)),"absorptionA_percant ","")&amp;IF(ISNUMBER(SEARCH("V Perforant",Creator!$E$25)),"vulnerableA_percant ","")&amp;IF(ISNUMBER(SEARCH("FM Perforant",Creator!$E$25)),"faiblesseMajeureA_percant ","")&amp;IF(ISNUMBER(SEARCH("R Contondant",Creator!$E$25)),"resistanceA_contondant ","")&amp;IF(ISNUMBER(SEARCH("I Contondant",Creator!$E$25)),"immunite_contondant ","")&amp;IF(ISNUMBER(SEARCH("S Contondant",Creator!$E$25)),"absorptionA_contondant ","")&amp;IF(ISNUMBER(SEARCH("V Contondant",Creator!$E$25)),"vulnerableA_contondant ","")&amp;IF(ISNUMBER(SEARCH("FM Contondant",Creator!$E$25)),"faiblesseMajeureA_contondant ","")&amp;IF(ISNUMBER(SEARCH("R Feu",Creator!$E$25)),"resistanceA_feu ","")&amp;IF(ISNUMBER(SEARCH("I Feu",Creator!$E$25)),"immunite_feu ","")&amp;IF(ISNUMBER(SEARCH("S Feu",Creator!$E$25)),"absorptionA_feu ","")&amp;IF(ISNUMBER(SEARCH("V Feu",Creator!$E$25)),"vulnerableA_feu ","")&amp;IF(ISNUMBER(SEARCH("FM Feu",Creator!$E$25)),"faiblesseMajeureA_feu ","")&amp;IF(ISNUMBER(SEARCH("R Air",Creator!$E$25)),"resistanceA_air ","")&amp;IF(ISNUMBER(SEARCH("I Air",Creator!$E$25)),"immunite_air ","")&amp;IF(ISNUMBER(SEARCH("S Air",Creator!$E$25)),"absorptionA_air ","")&amp;IF(ISNUMBER(SEARCH("V Air",Creator!$E$25)),"vulnerableA_air ","")&amp;IF(ISNUMBER(SEARCH("FM Air",Creator!$E$25)),"faiblesseMajeureA_air ","")&amp;IF(ISNUMBER(SEARCH("R Eau",Creator!$E$25)),"resistanceA_eau ","")&amp;IF(ISNUMBER(SEARCH("I Eau",Creator!$E$25)),"immunite_eau ","")&amp;IF(ISNUMBER(SEARCH("S Eau",Creator!$E$25)),"absorptionA_eau ","")&amp;IF(ISNUMBER(SEARCH("V Eau",Creator!$E$25)),"vulnerableA_eau ","")&amp;IF(ISNUMBER(SEARCH("FM Eau",Creator!$E$25)),"faiblesseMajeureA_eau ","")&amp;IF(ISNUMBER(SEARCH("R Terre",Creator!$E$25)),"resistanceA_terre ","")&amp;IF(ISNUMBER(SEARCH("I Terre",Creator!$E$25)),"immunite_terre ","")&amp;IF(ISNUMBER(SEARCH("S Terre",Creator!$E$25)),"absorptionA_terre ","")&amp;IF(ISNUMBER(SEARCH("V Terre",Creator!$E$25)),"vulnerableA_terre ","")&amp;IF(ISNUMBER(SEARCH("FM Terre",Creator!$E$25)),"faiblesseMajeureA_terre ","")&amp;IF(ISNUMBER(SEARCH("R Ombre",Creator!$E$25)),"resistanceA_ombre ","")&amp;IF(ISNUMBER(SEARCH("I Ombre",Creator!$E$25)),"immunite_ombre ","")&amp;IF(ISNUMBER(SEARCH("S Ombre",Creator!$E$25)),"absorptionA_ombre ","")&amp;IF(ISNUMBER(SEARCH("V Ombre",Creator!$E$25)),"vulnerableA_ombre ","")&amp;IF(ISNUMBER(SEARCH("FM Ombre",Creator!$E$25)),"faiblesseMajeureA_ombre ","")&amp;IF(ISNUMBER(SEARCH("R Lumière",Creator!$E$25)),"resistanceA_lumiere ","")&amp;IF(ISNUMBER(SEARCH("I Lumière",Creator!$E$25)),"immunite_lumiere ","")&amp;IF(ISNUMBER(SEARCH("S Lumière",Creator!$E$25)),"absorptionA_lumiere ","")&amp;IF(ISNUMBER(SEARCH("V Lumière",Creator!$E$25)),"vulnerableA_lumiere ","")&amp;IF(ISNUMBER(SEARCH("FM Lumière",Creator!$E$25)),"faiblesseMajeureA_lumiere ","")&amp;IF(ISNUMBER(SEARCH("R Force",Creator!$E$25)),"resistanceA_force ","")&amp;IF(ISNUMBER(SEARCH("I Force",Creator!$E$25)),"immunite_force ","")&amp;IF(ISNUMBER(SEARCH("S Force",Creator!$E$25)),"absorptionA_force ","")&amp;IF(ISNUMBER(SEARCH("V Force",Creator!$E$25)),"vulnerableA_force ","")&amp;IF(ISNUMBER(SEARCH("FM Force",Creator!$E$25)),"faiblesseMajeureA_force ","")&amp;IF(ISNUMBER(SEARCH("R Toxique",Creator!$E$25)),"resistanceA_toxique ","")&amp;IF(ISNUMBER(SEARCH("I Toxique",Creator!$E$25)),"immunite_toxique ","")&amp;IF(ISNUMBER(SEARCH("S Toxique",Creator!$E$25)),"absorptionA_toxique ","")&amp;IF(ISNUMBER(SEARCH("V Toxique",Creator!$E$25)),"vulnerableA_toxique ","")&amp;IF(ISNUMBER(SEARCH("FM Toxique",Creator!$E$25)),"faiblesseMajeureA_toxique ","")&amp;IF(ISNUMBER(SEARCH("R Psychique",Creator!$E$25)),"resistanceA_psychique ","")&amp;IF(ISNUMBER(SEARCH("I Psychique",Creator!$E$25)),"immunite_psychique ","")&amp;IF(ISNUMBER(SEARCH("S Psychique",Creator!$E$25)),"absorptionA_psychique ","")&amp;IF(ISNUMBER(SEARCH("V Psychique",Creator!$E$25)),"vulnerableA_psychique ","")&amp;IF(ISNUMBER(SEARCH("FM Psychique",Creator!$E$25)),"faiblesseMajeureA_psychique ","")&amp;IF(ISNUMBER(SEARCH("R Drain",Creator!$E$25)),"resistanceA_drain ","")&amp;IF(ISNUMBER(SEARCH("I Drain",Creator!$E$25)),"immunite_drain ","")&amp;IF(ISNUMBER(SEARCH("S Drain",Creator!$E$25)),"absorptionA_drain ","")&amp;IF(ISNUMBER(SEARCH("V Drain",Creator!$E$25)),"vulnerableA_drain ","")&amp;IF(ISNUMBER(SEARCH("FM Drain",Creator!$E$25)),"faiblesseMajeureA_drain ","")</x:f>
        <x:v>resistanceA_tranchant resistanceA_percant absorptionA_feu faiblesseMajeureA_eau </x:v>
      </x:c>
      <x:c r="AL3" t="str">
        <x:v>Abilities JSON</x:v>
      </x:c>
      <x:c r="AM3" t="str">
        <x:f>TEXTJOIN(",",TRUE,AJ11:AJ32)</x:f>
        <x:v>{"name":"Attaque 1 - Attaque principale","description":"Contact · Toucher +7 · 2d12+5 Tranchant","action":"!cof-attack @{selected|token_id} @{target|token_id} 1 --tranchant","istokenaction":false},{"name":"Attaque 2 - Attaque secondaire","description":"Courte · Toucher +5 · 2d12+3 Perforant","action":"!cof-attack @{selected|token_id} @{target|token_id} 2 --percant","istokenaction":false},{"name":"Souffle élémentaire","description":"Élément associé ; moitié sur réussite","action":"!cof-attack @{selected|token_id} @{target|token_id} Souffle élémentaire --auto --dm 2d12+1 --portee 15 --feu --cone 90 --psave DEX 13 --recharge 5 MC_SIG1","istokenaction":false}</x:v>
      </x:c>
      <x:c r="AO3"/>
      <x:c r="AP3"/>
      <x:c r="AQ3" t="str">
        <x:f>IF(D3="ATTACK","!cof-attack @{selected|token_id} @{target|token_id} "&amp;C3&amp;" --toucher "&amp;O3&amp;" --dm "&amp;W3&amp;IF(K3&gt;0," --portee "&amp;K3,"")&amp;V3&amp;T3,"")</x:f>
      </x:c>
      <x:c r="AR3" t="str">
        <x:f>IF(D3="ATTACK_SAVE","!cof-attack @{selected|token_id} @{target|token_id} "&amp;C3&amp;" --auto --dm "&amp;W3&amp;IF(K3&gt;0," --portee "&amp;K3,"")&amp;V3&amp;" --psave "&amp;H3&amp;" "&amp;O3&amp;T3,"")</x:f>
      </x:c>
      <x:c r="AS3" t="str">
        <x:f>IF(D3="AOE_SAVE","!cof-attack @{selected|token_id} @{target|token_id} "&amp;C3&amp;" --auto --dm "&amp;W3&amp;IF(K3&gt;0," --portee "&amp;K3,"")&amp;V3&amp;U3&amp;" --psave "&amp;H3&amp;" "&amp;O3&amp;T3,"")</x:f>
      </x:c>
      <x:c r="AT3" t="str">
        <x:f>IF(D3="CONTROL_SAVE","!cof-attack @{selected|token_id} @{target|token_id} "&amp;C3&amp;" --auto --pasDeDmg"&amp;IF(K3&gt;0," --portee "&amp;K3,"")&amp;U3&amp;" --etat "&amp;G3&amp;" "&amp;H3&amp;" "&amp;O3&amp;" --save "&amp;H3&amp;" "&amp;O3&amp;T3,"")</x:f>
      </x:c>
      <x:c r="AU3" t="str">
        <x:f>IF(D3="CONTROL_SAVE_DMG","!cof-attack @{selected|token_id} @{target|token_id} "&amp;C3&amp;" --auto --dm "&amp;W3&amp;IF(K3&gt;0," --portee "&amp;K3,"")&amp;V3&amp;" --ifSaveFails "&amp;H3&amp;" "&amp;O3&amp;" --etat "&amp;G3&amp;" --else --diviseDmg 2 --endif"&amp;T3,"")</x:f>
      </x:c>
      <x:c r="AV3" t="str">
        <x:f>IF(D3="AOE_CONTROL",IF(M3="","!cof-attack @{selected|token_id} @{target|token_id} "&amp;C3&amp;" --auto --pasDeDmg"&amp;IF(K3&gt;0," --portee "&amp;K3,"")&amp;U3&amp;" --etat "&amp;G3&amp;" "&amp;H3&amp;" "&amp;O3&amp;" --save "&amp;H3&amp;" "&amp;O3&amp;T3,"!cof-attack @{selected|token_id} @{target|token_id} "&amp;C3&amp;" --auto --dm "&amp;W3&amp;IF(K3&gt;0," --portee "&amp;K3,"")&amp;V3&amp;U3&amp;" --ifSaveFails "&amp;H3&amp;" "&amp;O3&amp;" --etat "&amp;G3&amp;" --else --diviseDmg 2 --endif"&amp;T3),"")</x:f>
      </x:c>
      <x:c r="AW3" t="str">
        <x:f>IF(D3="CONTROL_OPPOSE","!cof-etat-oppose @{selected|token_id} @{target|token_id} "&amp;G3&amp;" "&amp;S3&amp;" "&amp;I3&amp;T3,"")</x:f>
      </x:c>
      <x:c r="AX3" t="str">
        <x:f>IF(D3="MANOEUVRE","!cof-manoeuvre @{selected|token_id} @{target|token_id} "&amp;X3,"")</x:f>
      </x:c>
      <x:c r="AY3" t="str">
        <x:f>IF(D3="TELEPORT","!cof-teleportation @{selected|token_id} "&amp;K3,"")</x:f>
      </x:c>
      <x:c r="AZ3" t="str">
        <x:f>IF(D3="HEAL10","!cof-soin @{selected|token_id} @{target|token_id} "&amp;MAX(1,ROUND(Creator!$E$10*0.10,0))&amp;T3,"")</x:f>
      </x:c>
      <x:c r="BA3" t="str">
        <x:f>IF(D3="HEAL20","!cof-soin @{selected|token_id} @{target|token_id} "&amp;MAX(1,ROUND(Creator!$E$10*0.20,0))&amp;T3,"")</x:f>
      </x:c>
      <x:c r="BB3" t="str">
        <x:f>IF(D3="SELF_STATE","!cof-set-state "&amp;G3&amp;" true --target @{selected|token_id}","")</x:f>
      </x:c>
      <x:c r="BC3" t="str">
        <x:f>IF(D3="MULTIATTACK","!cof-attack @{selected|token_id} @{target|token_id} 1"&amp;CHAR(10)&amp;"!cof-attack @{selected|token_id} @{target|token_id} 1","")</x:f>
      </x:c>
      <x:c r="BD3" t="str">
        <x:f>SUBSTITUTE(SUBSTITUTE(SUBSTITUTE(SUBSTITUTE(Creator!B6,CHAR(92),CHAR(92)&amp;CHAR(92)),CHAR(34),CHAR(92)&amp;CHAR(34)),CHAR(13),""),CHAR(10),CHAR(92)&amp;"n")</x:f>
        <x:v>Dragon</x:v>
      </x:c>
      <x:c r="BG3" t="str">
        <x:f>","&amp;CHAR(34)&amp;"creature_family"&amp;CHAR(34)&amp;":[{"&amp;CHAR(34)&amp;"value"&amp;CHAR(34)&amp;":"&amp;CHAR(34)&amp;BD3&amp;CHAR(34)&amp;","&amp;CHAR(34)&amp;"label"&amp;CHAR(34)&amp;":"&amp;CHAR(34)&amp;BD3&amp;CHAR(34)&amp;"}]"</x:f>
        <x:v>,"creature_family":[{"value":"Dragon","label":"Dragon"}]</x:v>
      </x:c>
      <x:c r="BI3" t="str">
        <x:f>IF(OR(C3="",Q3=""),"",CHAR(123)&amp;CHAR(34)&amp;"name"&amp;CHAR(34)&amp;":"&amp;CHAR(34)&amp;SUBSTITUTE(SUBSTITUTE(SUBSTITUTE(SUBSTITUTE(C3,CHAR(92),CHAR(92)&amp;CHAR(92)),CHAR(34),CHAR(92)&amp;CHAR(34)),CHAR(13),""),CHAR(10),CHAR(92)&amp;"n")&amp;CHAR(34)&amp;","&amp;CHAR(34)&amp;"command"&amp;CHAR(34)&amp;":"&amp;CHAR(34)&amp;SUBSTITUTE(SUBSTITUTE(SUBSTITUTE(SUBSTITUTE(Q3,CHAR(92),CHAR(92)&amp;CHAR(92)),CHAR(34),CHAR(92)&amp;CHAR(34)),CHAR(13),""),CHAR(10),CHAR(92)&amp;"n")&amp;CHAR(34)&amp;","&amp;CHAR(34)&amp;"description"&amp;CHAR(34)&amp;":"&amp;CHAR(34)&amp;SUBSTITUTE(SUBSTITUTE(SUBSTITUTE(SUBSTITUTE(R3,CHAR(92),CHAR(92)&amp;CHAR(92)),CHAR(34),CHAR(92)&amp;CHAR(34)),CHAR(13),""),CHAR(10),CHAR(92)&amp;"n")&amp;CHAR(34)&amp;CHAR(125))</x:f>
      </x:c>
      <x:c r="BL3" t="str">
        <x:f>SUBSTITUTE(SUBSTITUTE(SUBSTITUTE(SUBSTITUTE(Creator!B10,CHAR(92),CHAR(92)&amp;CHAR(92)),CHAR(34),CHAR(92)&amp;CHAR(34)),CHAR(13),""),CHAR(10),CHAR(92)&amp;"n")</x:f>
        <x:v>Martial</x:v>
      </x:c>
      <x:c r="BM3" t="str">
        <x:v>Archétype principal</x:v>
      </x:c>
      <x:c r="BN3" t="str">
        <x:f>IFERROR(INDEX(Ref_SousFamilles!$N$2:$AD$8,ROW(A2),MATCH(Creator!$B$6,Ref_SousFamilles!$N$1:$AD$1,0)),"")</x:f>
        <x:v>Dragon élémentaire</x:v>
      </x:c>
    </x:row>
    <x:row r="4">
      <x:c r="A4" t="str">
        <x:v>Signature</x:v>
      </x:c>
      <x:c r="B4" t="n">
        <x:v>3</x:v>
      </x:c>
      <x:c r="C4" t="n">
        <x:f>Creator!A33</x:f>
        <x:v>0</x:v>
      </x:c>
      <x:c r="D4" t="str">
        <x:f>IF(C4="","",IFERROR(VLOOKUP($A4&amp;"|"&amp;$C4,Ref_Roll20!$E:$N,2,FALSE),"DESCRIPTIF"))</x:f>
      </x:c>
      <x:c r="E4" t="str">
        <x:f>IF(C4="","",IFERROR(VLOOKUP($A4&amp;"|"&amp;$C4,Ref_Roll20!$E:$N,3,FALSE),""))</x:f>
      </x:c>
      <x:c r="F4" t="str">
        <x:f>IF(C4="","",IF(E4="ELEMENT",IF(Creator!$B$16="","",VLOOKUP(Creator!$B$16,Ref_Roll20!$A:$C,2,FALSE)),IF(E4="ATTAQUE1",IF(Creator!$B$39="","",VLOOKUP(Creator!$B$39,Ref_Roll20!$A:$C,2,FALSE)),IF(E4="","",IFERROR(VLOOKUP(E4,Ref_Roll20!$A:$C,2,FALSE),"")))))</x:f>
      </x:c>
      <x:c r="G4" t="str">
        <x:f>IF(C4="","",IFERROR(VLOOKUP($A4&amp;"|"&amp;$C4,Ref_Roll20!$E:$N,4,FALSE),""))</x:f>
      </x:c>
      <x:c r="H4" t="str">
        <x:f>IF(C4="","",IFERROR(VLOOKUP($A4&amp;"|"&amp;$C4,Ref_Roll20!$E:$N,5,FALSE),""))</x:f>
      </x:c>
      <x:c r="I4" t="str">
        <x:f>IF(C4="","",IFERROR(VLOOKUP($A4&amp;"|"&amp;$C4,Ref_Roll20!$E:$N,6,FALSE),""))</x:f>
      </x:c>
      <x:c r="J4" t="str">
        <x:f>IF(C4="","",IFERROR(VLOOKUP($A4&amp;"|"&amp;$C4,Ref_Roll20!$E:$N,7,FALSE),""))</x:f>
      </x:c>
      <x:c r="K4" t="str">
        <x:f>IF(C4="","",IFERROR(VLOOKUP($A4&amp;"|"&amp;$C4,Ref_Roll20!$E:$N,8,FALSE),0))</x:f>
      </x:c>
      <x:c r="L4" t="str">
        <x:f>IF(C4="","",Creator!C33)</x:f>
      </x:c>
      <x:c r="M4" t="str">
        <x:f>IF(C4="","",Creator!E33)</x:f>
      </x:c>
      <x:c r="N4" t="str">
        <x:f>IF(C4="","",IF(S4="",0,IF(S4="FOR",Creator!$E$4,IF(S4="DEX",Creator!$E$5,IF(S4="CON",Creator!$E$6,IF(S4="INT",Creator!$E$7,IF(S4="SAG",Creator!$E$8,IF(S4="CHA",Creator!$E$9,0))))))))</x:f>
      </x:c>
      <x:c r="O4" t="str">
        <x:f>IF(C4="","",IF(D4="ATTACK",IF(S4="FOR",Creator!$E$4,IF(S4="DEX",Creator!$E$5,IF(S4="CON",Creator!$E$6,IF(S4="INT",Creator!$E$7,IF(S4="SAG",Creator!$E$8,IF(S4="CHA",Creator!$E$9,0))))))+Moteur!$B$6+Moteur!$R$4,IF(D4="ATTACK_SAVE",Creator!D33,IF(OR(D4="AOE_SAVE",D4="AOE_CONTROL",D4="CONTROL_SAVE",D4="CONTROL_SAVE_DMG"),Creator!D33,Creator!D33))))</x:f>
      </x:c>
      <x:c r="P4" t="str">
        <x:f>IF(C4="","",IF(D4="REGEN5","vitaliteSurnaturelle:"&amp;MAX(1,ROUND(Creator!$E$10*0.05,0)),IF(D4="REGEN10","vitaliteSurnaturelle:"&amp;MAX(1,ROUND(Creator!$E$10*0.10,0)),IFERROR(VLOOKUP($A4&amp;"|"&amp;$C4,Ref_Roll20!$E:$N,9,FALSE),""))))</x:f>
      </x:c>
      <x:c r="Q4" t="str">
        <x:f>IF(C4="","",TEXTJOIN("",TRUE,AQ4:BC4))</x:f>
      </x:c>
      <x:c r="R4" t="str">
        <x:f>IF(C4="","",Creator!G33)</x:f>
      </x:c>
      <x:c r="S4" t="str">
        <x:f>IF(C4="","",IFERROR(VLOOKUP(Creator!A33,Ref_Signatures!C:L,4,FALSE),""))</x:f>
      </x:c>
      <x:c r="T4" t="str">
        <x:f>IF(C4="","",IF(L4="Recharge 5-6"," --recharge 5 MC_SIG3",IF(L4="1/combat"," --limiteParCombat 1 MC_SIG3",IF(L4="1/tour"," --limiteParTour 1 MC_SIG3",""))))</x:f>
      </x:c>
      <x:c r="U4" t="str">
        <x:f>IF(J4="CONE"," --cone 90",IF(J4="LIGNE"," --ligne",IF(J4="DISQUE2"," --disque 2",IF(J4="DISQUE3"," --disque 3",""))))</x:f>
      </x:c>
      <x:c r="V4" t="str">
        <x:f>IF(F4="",""," --"&amp;F4)</x:f>
      </x:c>
      <x:c r="W4" t="str">
        <x:f>IF(M4="","",M4&amp;IF(N4=0,"",IF(N4&gt;0,"+"&amp;N4,N4)))</x:f>
      </x:c>
      <x:c r="X4" t="str">
        <x:f>IF(C4="","",IFERROR(VLOOKUP($A4&amp;"|"&amp;$C4,Ref_Roll20!$E:$N,10,FALSE),""))</x:f>
      </x:c>
      <x:c r="Y4" t="str">
        <x:f>IF(C4="","",C4&amp;" : "&amp;R4)</x:f>
      </x:c>
      <x:c r="AA4" t="str">
        <x:v>Prédicats capacités</x:v>
      </x:c>
      <x:c r="AB4" t="str">
        <x:f>TEXTJOIN(" ",TRUE,P2:P19)</x:f>
      </x:c>
      <x:c r="AL4" t="str">
        <x:v>GM Notes escaped</x:v>
      </x:c>
      <x:c r="AM4" t="str">
        <x:f>SUBSTITUTE(SUBSTITUTE(SUBSTITUTE(SUBSTITUTE($AB$7,CHAR(92),CHAR(92)&amp;CHAR(92)),CHAR(34),CHAR(92)&amp;CHAR(34)),CHAR(13),""),CHAR(10),CHAR(92)&amp;"n")</x:f>
        <x:v>[LOOT]\nTYPE: CREATURE\nNAME: Créature exemple\nFAMILY: Dragon\nTIER: NC 10.71\nRARITY: COMMUN\nVALUE: [[10d20]] PA 45 PA\n[/LOOT]</x:v>
      </x:c>
      <x:c r="AQ4" t="str">
        <x:f>IF(D4="ATTACK","!cof-attack @{selected|token_id} @{target|token_id} "&amp;C4&amp;" --toucher "&amp;O4&amp;" --dm "&amp;W4&amp;IF(K4&gt;0," --portee "&amp;K4,"")&amp;V4&amp;T4,"")</x:f>
      </x:c>
      <x:c r="AR4" t="str">
        <x:f>IF(D4="ATTACK_SAVE","!cof-attack @{selected|token_id} @{target|token_id} "&amp;C4&amp;" --auto --dm "&amp;W4&amp;IF(K4&gt;0," --portee "&amp;K4,"")&amp;V4&amp;" --psave "&amp;H4&amp;" "&amp;O4&amp;T4,"")</x:f>
      </x:c>
      <x:c r="AS4" t="str">
        <x:f>IF(D4="AOE_SAVE","!cof-attack @{selected|token_id} @{target|token_id} "&amp;C4&amp;" --auto --dm "&amp;W4&amp;IF(K4&gt;0," --portee "&amp;K4,"")&amp;V4&amp;U4&amp;" --psave "&amp;H4&amp;" "&amp;O4&amp;T4,"")</x:f>
      </x:c>
      <x:c r="AT4" t="str">
        <x:f>IF(D4="CONTROL_SAVE","!cof-attack @{selected|token_id} @{target|token_id} "&amp;C4&amp;" --auto --pasDeDmg"&amp;IF(K4&gt;0," --portee "&amp;K4,"")&amp;U4&amp;" --etat "&amp;G4&amp;" "&amp;H4&amp;" "&amp;O4&amp;" --save "&amp;H4&amp;" "&amp;O4&amp;T4,"")</x:f>
      </x:c>
      <x:c r="AU4" t="str">
        <x:f>IF(D4="CONTROL_SAVE_DMG","!cof-attack @{selected|token_id} @{target|token_id} "&amp;C4&amp;" --auto --dm "&amp;W4&amp;IF(K4&gt;0," --portee "&amp;K4,"")&amp;V4&amp;" --ifSaveFails "&amp;H4&amp;" "&amp;O4&amp;" --etat "&amp;G4&amp;" --else --diviseDmg 2 --endif"&amp;T4,"")</x:f>
      </x:c>
      <x:c r="AV4" t="str">
        <x:f>IF(D4="AOE_CONTROL",IF(M4="","!cof-attack @{selected|token_id} @{target|token_id} "&amp;C4&amp;" --auto --pasDeDmg"&amp;IF(K4&gt;0," --portee "&amp;K4,"")&amp;U4&amp;" --etat "&amp;G4&amp;" "&amp;H4&amp;" "&amp;O4&amp;" --save "&amp;H4&amp;" "&amp;O4&amp;T4,"!cof-attack @{selected|token_id} @{target|token_id} "&amp;C4&amp;" --auto --dm "&amp;W4&amp;IF(K4&gt;0," --portee "&amp;K4,"")&amp;V4&amp;U4&amp;" --ifSaveFails "&amp;H4&amp;" "&amp;O4&amp;" --etat "&amp;G4&amp;" --else --diviseDmg 2 --endif"&amp;T4),"")</x:f>
      </x:c>
      <x:c r="AW4" t="str">
        <x:f>IF(D4="CONTROL_OPPOSE","!cof-etat-oppose @{selected|token_id} @{target|token_id} "&amp;G4&amp;" "&amp;S4&amp;" "&amp;I4&amp;T4,"")</x:f>
      </x:c>
      <x:c r="AX4" t="str">
        <x:f>IF(D4="MANOEUVRE","!cof-manoeuvre @{selected|token_id} @{target|token_id} "&amp;X4,"")</x:f>
      </x:c>
      <x:c r="AY4" t="str">
        <x:f>IF(D4="TELEPORT","!cof-teleportation @{selected|token_id} "&amp;K4,"")</x:f>
      </x:c>
      <x:c r="AZ4" t="str">
        <x:f>IF(D4="HEAL10","!cof-soin @{selected|token_id} @{target|token_id} "&amp;MAX(1,ROUND(Creator!$E$10*0.10,0))&amp;T4,"")</x:f>
      </x:c>
      <x:c r="BA4" t="str">
        <x:f>IF(D4="HEAL20","!cof-soin @{selected|token_id} @{target|token_id} "&amp;MAX(1,ROUND(Creator!$E$10*0.20,0))&amp;T4,"")</x:f>
      </x:c>
      <x:c r="BB4" t="str">
        <x:f>IF(D4="SELF_STATE","!cof-set-state "&amp;G4&amp;" true --target @{selected|token_id}","")</x:f>
      </x:c>
      <x:c r="BC4" t="str">
        <x:f>IF(D4="MULTIATTACK","!cof-attack @{selected|token_id} @{target|token_id} 1"&amp;CHAR(10)&amp;"!cof-attack @{selected|token_id} @{target|token_id} 1","")</x:f>
      </x:c>
      <x:c r="BD4" t="str">
        <x:f>SUBSTITUTE(SUBSTITUTE(SUBSTITUTE(SUBSTITUTE(AB16,CHAR(92),CHAR(92)&amp;CHAR(92)),CHAR(34),CHAR(92)&amp;CHAR(34)),CHAR(13),""),CHAR(10),CHAR(92)&amp;"n")</x:f>
        <x:v>Dragon élémentaire · Standard</x:v>
      </x:c>
      <x:c r="BG4" t="str">
        <x:f>","&amp;CHAR(34)&amp;"archetype"&amp;CHAR(34)&amp;":[{"&amp;CHAR(34)&amp;"value"&amp;CHAR(34)&amp;":"&amp;CHAR(34)&amp;BD9&amp;CHAR(34)&amp;","&amp;CHAR(34)&amp;"label"&amp;CHAR(34)&amp;":"&amp;CHAR(34)&amp;BD9&amp;CHAR(34)&amp;"}]"&amp;","&amp;CHAR(34)&amp;"level"&amp;CHAR(34)&amp;":[{"&amp;CHAR(34)&amp;"value"&amp;CHAR(34)&amp;":"&amp;CHAR(34)&amp;Creator!B5&amp;CHAR(34)&amp;"}]"&amp;","&amp;CHAR(34)&amp;"category"&amp;CHAR(34)&amp;":[{"&amp;CHAR(34)&amp;"value"&amp;CHAR(34)&amp;":"&amp;CHAR(34)&amp;BD7&amp;CHAR(34)&amp;"}]"</x:f>
        <x:v>,"archetype":[{"value":"Standard","label":"Standard"}],"level":[{"value":"10"}],"category":[{"value":"alive"}]</x:v>
      </x:c>
      <x:c r="BI4" t="str">
        <x:f>IF(OR(C4="",Q4=""),"",CHAR(123)&amp;CHAR(34)&amp;"name"&amp;CHAR(34)&amp;":"&amp;CHAR(34)&amp;SUBSTITUTE(SUBSTITUTE(SUBSTITUTE(SUBSTITUTE(C4,CHAR(92),CHAR(92)&amp;CHAR(92)),CHAR(34),CHAR(92)&amp;CHAR(34)),CHAR(13),""),CHAR(10),CHAR(92)&amp;"n")&amp;CHAR(34)&amp;","&amp;CHAR(34)&amp;"command"&amp;CHAR(34)&amp;":"&amp;CHAR(34)&amp;SUBSTITUTE(SUBSTITUTE(SUBSTITUTE(SUBSTITUTE(Q4,CHAR(92),CHAR(92)&amp;CHAR(92)),CHAR(34),CHAR(92)&amp;CHAR(34)),CHAR(13),""),CHAR(10),CHAR(92)&amp;"n")&amp;CHAR(34)&amp;","&amp;CHAR(34)&amp;"description"&amp;CHAR(34)&amp;":"&amp;CHAR(34)&amp;SUBSTITUTE(SUBSTITUTE(SUBSTITUTE(SUBSTITUTE(R4,CHAR(92),CHAR(92)&amp;CHAR(92)),CHAR(34),CHAR(92)&amp;CHAR(34)),CHAR(13),""),CHAR(10),CHAR(92)&amp;"n")&amp;CHAR(34)&amp;CHAR(125))</x:f>
      </x:c>
      <x:c r="BL4" t="str">
        <x:f>SUBSTITUTE(SUBSTITUTE(SUBSTITUTE(SUBSTITUTE(Creator!B11,CHAR(92),CHAR(92)&amp;CHAR(92)),CHAR(34),CHAR(92)&amp;CHAR(34)),CHAR(13),""),CHAR(10),CHAR(92)&amp;"n")</x:f>
        <x:v>Ravageur</x:v>
      </x:c>
      <x:c r="BM4" t="str">
        <x:v>Archétype physique</x:v>
      </x:c>
      <x:c r="BN4" t="str">
        <x:f>IFERROR(INDEX(Ref_SousFamilles!$N$2:$AD$8,ROW(A3),MATCH(Creator!$B$6,Ref_SousFamilles!$N$1:$AD$1,0)),"")</x:f>
        <x:v>Dragon de métal</x:v>
      </x:c>
    </x:row>
    <x:row r="5">
      <x:c r="A5" t="str">
        <x:v>Signature</x:v>
      </x:c>
      <x:c r="B5" t="n">
        <x:v>4</x:v>
      </x:c>
      <x:c r="C5" t="n">
        <x:f>Creator!A34</x:f>
        <x:v>0</x:v>
      </x:c>
      <x:c r="D5" t="str">
        <x:f>IF(C5="","",IFERROR(VLOOKUP($A5&amp;"|"&amp;$C5,Ref_Roll20!$E:$N,2,FALSE),"DESCRIPTIF"))</x:f>
      </x:c>
      <x:c r="E5" t="str">
        <x:f>IF(C5="","",IFERROR(VLOOKUP($A5&amp;"|"&amp;$C5,Ref_Roll20!$E:$N,3,FALSE),""))</x:f>
      </x:c>
      <x:c r="F5" t="str">
        <x:f>IF(C5="","",IF(E5="ELEMENT",IF(Creator!$B$16="","",VLOOKUP(Creator!$B$16,Ref_Roll20!$A:$C,2,FALSE)),IF(E5="ATTAQUE1",IF(Creator!$B$39="","",VLOOKUP(Creator!$B$39,Ref_Roll20!$A:$C,2,FALSE)),IF(E5="","",IFERROR(VLOOKUP(E5,Ref_Roll20!$A:$C,2,FALSE),"")))))</x:f>
      </x:c>
      <x:c r="G5" t="str">
        <x:f>IF(C5="","",IFERROR(VLOOKUP($A5&amp;"|"&amp;$C5,Ref_Roll20!$E:$N,4,FALSE),""))</x:f>
      </x:c>
      <x:c r="H5" t="str">
        <x:f>IF(C5="","",IFERROR(VLOOKUP($A5&amp;"|"&amp;$C5,Ref_Roll20!$E:$N,5,FALSE),""))</x:f>
      </x:c>
      <x:c r="I5" t="str">
        <x:f>IF(C5="","",IFERROR(VLOOKUP($A5&amp;"|"&amp;$C5,Ref_Roll20!$E:$N,6,FALSE),""))</x:f>
      </x:c>
      <x:c r="J5" t="str">
        <x:f>IF(C5="","",IFERROR(VLOOKUP($A5&amp;"|"&amp;$C5,Ref_Roll20!$E:$N,7,FALSE),""))</x:f>
      </x:c>
      <x:c r="K5" t="str">
        <x:f>IF(C5="","",IFERROR(VLOOKUP($A5&amp;"|"&amp;$C5,Ref_Roll20!$E:$N,8,FALSE),0))</x:f>
      </x:c>
      <x:c r="L5" t="str">
        <x:f>IF(C5="","",Creator!C34)</x:f>
      </x:c>
      <x:c r="M5" t="str">
        <x:f>IF(C5="","",Creator!E34)</x:f>
      </x:c>
      <x:c r="N5" t="str">
        <x:f>IF(C5="","",IF(S5="",0,IF(S5="FOR",Creator!$E$4,IF(S5="DEX",Creator!$E$5,IF(S5="CON",Creator!$E$6,IF(S5="INT",Creator!$E$7,IF(S5="SAG",Creator!$E$8,IF(S5="CHA",Creator!$E$9,0))))))))</x:f>
      </x:c>
      <x:c r="O5" t="str">
        <x:f>IF(C5="","",IF(D5="ATTACK",IF(S5="FOR",Creator!$E$4,IF(S5="DEX",Creator!$E$5,IF(S5="CON",Creator!$E$6,IF(S5="INT",Creator!$E$7,IF(S5="SAG",Creator!$E$8,IF(S5="CHA",Creator!$E$9,0))))))+Moteur!$B$6+Moteur!$R$4,IF(D5="ATTACK_SAVE",Creator!D34,IF(OR(D5="AOE_SAVE",D5="AOE_CONTROL",D5="CONTROL_SAVE",D5="CONTROL_SAVE_DMG"),Creator!D34,Creator!D34))))</x:f>
      </x:c>
      <x:c r="P5" t="str">
        <x:f>IF(C5="","",IF(D5="REGEN5","vitaliteSurnaturelle:"&amp;MAX(1,ROUND(Creator!$E$10*0.05,0)),IF(D5="REGEN10","vitaliteSurnaturelle:"&amp;MAX(1,ROUND(Creator!$E$10*0.10,0)),IFERROR(VLOOKUP($A5&amp;"|"&amp;$C5,Ref_Roll20!$E:$N,9,FALSE),""))))</x:f>
      </x:c>
      <x:c r="Q5" t="str">
        <x:f>IF(C5="","",TEXTJOIN("",TRUE,AQ5:BC5))</x:f>
      </x:c>
      <x:c r="R5" t="str">
        <x:f>IF(C5="","",Creator!G34)</x:f>
      </x:c>
      <x:c r="S5" t="str">
        <x:f>IF(C5="","",IFERROR(VLOOKUP(Creator!A34,Ref_Signatures!C:L,4,FALSE),""))</x:f>
      </x:c>
      <x:c r="T5" t="str">
        <x:f>IF(C5="","",IF(L5="Recharge 5-6"," --recharge 5 MC_SIG4",IF(L5="1/combat"," --limiteParCombat 1 MC_SIG4",IF(L5="1/tour"," --limiteParTour 1 MC_SIG4",""))))</x:f>
      </x:c>
      <x:c r="U5" t="str">
        <x:f>IF(J5="CONE"," --cone 90",IF(J5="LIGNE"," --ligne",IF(J5="DISQUE2"," --disque 2",IF(J5="DISQUE3"," --disque 3",""))))</x:f>
      </x:c>
      <x:c r="V5" t="str">
        <x:f>IF(F5="",""," --"&amp;F5)</x:f>
      </x:c>
      <x:c r="W5" t="str">
        <x:f>IF(M5="","",M5&amp;IF(N5=0,"",IF(N5&gt;0,"+"&amp;N5,N5)))</x:f>
      </x:c>
      <x:c r="X5" t="str">
        <x:f>IF(C5="","",IFERROR(VLOOKUP($A5&amp;"|"&amp;$C5,Ref_Roll20!$E:$N,10,FALSE),""))</x:f>
      </x:c>
      <x:c r="Y5" t="str">
        <x:f>IF(C5="","",C5&amp;" : "&amp;R5)</x:f>
      </x:c>
      <x:c r="AA5" t="str">
        <x:v>Prédicats finaux</x:v>
      </x:c>
      <x:c r="AB5" t="str">
        <x:f>TRIM(AB2&amp;AB3&amp;AB4)</x:f>
        <x:v>resistanceA_tranchant resistanceA_percant absorptionA_feu faiblesseMajeureA_eau</x:v>
      </x:c>
      <x:c r="AL5" t="str">
        <x:v>Character JSON</x:v>
      </x:c>
      <x:c r="AM5" t="str">
        <x:f>CHAR(123)&amp;CHAR(34)&amp;"character"&amp;CHAR(34)&amp;":"&amp;CHAR(123)&amp;CHAR(34)&amp;"name"&amp;CHAR(34)&amp;":"&amp;CHAR(34)&amp;SUBSTITUTE(SUBSTITUTE(Creator!B4,CHAR(92),CHAR(92)&amp;CHAR(92)),CHAR(34),CHAR(92)&amp;CHAR(34))&amp;CHAR(34)&amp;","&amp;CHAR(34)&amp;"avatar"&amp;CHAR(34)&amp;":"&amp;CHAR(34)&amp;SUBSTITUTE(SUBSTITUTE(Creator!B18,CHAR(92),CHAR(92)&amp;CHAR(92)),CHAR(34),CHAR(92)&amp;CHAR(34))&amp;CHAR(34)&amp;","&amp;CHAR(34)&amp;"notes"&amp;CHAR(34)&amp;":"&amp;CHAR(34)&amp;CHAR(34)&amp;","&amp;CHAR(34)&amp;"gmnotes"&amp;CHAR(34)&amp;":"&amp;CHAR(34)&amp;AM4&amp;CHAR(34)&amp;","&amp;CHAR(34)&amp;"bio"&amp;CHAR(34)&amp;":"&amp;CHAR(34)&amp;CHAR(34)&amp;CHAR(125)&amp;","&amp;CHAR(34)&amp;"attributes"&amp;CHAR(34)&amp;":["&amp;AM2&amp;"],"&amp;CHAR(34)&amp;"abilities"&amp;CHAR(34)&amp;":["&amp;AM3&amp;"]"&amp;CHAR(125)</x:f>
        <x:v>{"character":{"name":"Créature exemple","avatar":"","notes":"","gmnotes":"[LOOT]\nTYPE: CREATURE\nNAME: Créature exemple\nFAMILY: Dragon\nTIER: NC 10.71\nRARITY: COMMUN\nVALUE: [[10d20]] PA 45 PA\n[/LOOT]","bio":""},"attributes":[{"name":"version","current":"5.05","max":""},{"name":"type_personnage","current":"PNJ","max":""},{"name":"character_name","current":"Créature exemple","max":""},{"name":"niveau","current":"10","max":""},{"name":"race","current":"Dragon","max":""},{"name":"profil","current":"Dragon élémentaire · Standard","max":""},{"name":"sous_famille","current":"Dragon élémentaire","max":""},{"name":"taille","current":"Grand","max":""},{"name":"pnj_for","current":"5","max":""},{"name":"pnj_dex","current":"3","max":""},{"name":"pnj_con","current":"1","max":""},{"name":"pnj_sag","current":"3","max":""},{"name":"pnj_cha","current":"1","max":""},{"name":"force","current":"20","max":""},{"name":"dexterite","current":"16","max":""},{"name":"constitution","current":"12","max":""},{"name":"intelligence","current":"10","max":""},{"name":"sagesse","current":"16","max":""},{"name":"charisme","current":"12","max":""},{"name":"PV","current":"101","max":"101"},{"name":"PV_max","current":"101","max":""},{"name":"pnj_def","current":"21","max":""},{"name":"pnj_init","current":"15","max":""},{"name":"predicats_script","current":"resistanceA_tranchant resistanceA_percant absorptionA_feu faiblesseMajeureA_eau","max":""},{"name":"capacites_pnj","current":"Souffle élémentaire : Élément associé ; moitié sur réussite","max":""},{"name":"show_script","current":"1","max":""},{"name":"pnj_default_jets_caches","current":"false","max":""},{"name":"element_lie","current":"Feu","max":""},{"name":"element_oppose","current":"Eau","max":""},{"name":"affinites","current":"R Tranchant; R Perforant; S Feu; FM Eau","max":""},{"name":"mouvement","current":"9","max":""},{"name":"vol","current":"12","max":""},{"name":"nage","current":"9","max":""},{"name":"allonge","current":"2","max":""},{"name":"NC_REEL","current":"10.713373319298498","max":""},{"name":"DANGER_REEL","current":"873.6211402457027","max":""},{"name":"loot_moyen_pc","current":"15000","max":""},{"name":"max_attack_label","current":"2","max":""},{"name":"maxrangaction","current":"18","max":""},{"name":"repeating_pnjatk_MCATK1_armelabel","current":"1","max":""},{"name":"repeating_pnjatk_MCATK1_armeactionvisible","current":"1","max":""},{"name":"repeating_pnjatk_MCATK1_armenom","current":"Attaque principale","max":""},{"name":"repeating_pnjatk_MCATK1_armeatk","current":"7","max":""},{"name":"repeating_pnjatk_MCATK1_armecrit","current":"20","max":""},{"name":"repeating_pnjatk_MCATK1_armedmnbde","current":"2","max":""},{"name":"repeating_pnjatk_MCATK1_armedmde","current":"12","max":""},{"name":"repeating_pnjatk_MCATK1_armedm","current":"5","max":""},{"name":"repeating_pnjatk_MCATK1_armetypeattaque","current":"Naturel","max":""},{"name":"repeating_pnjatk_MCATK1_armetypedegats","current":"tranchant","max":""},{"name":"repeating_pnjatk_MCATK2_armelabel","current":"2","max":""},{"name":"repeating_pnjatk_MCATK2_armeactionvisible","current":"1","max":""},{"name":"repeating_pnjatk_MCATK2_armenom","current":"Attaque secondaire","max":""},{"name":"repeating_pnjatk_MCATK2_armeatk","current":"5","max":""},{"name":"repeating_pnjatk_MCATK2_armecrit","current":"20","max":""},{"name":"repeating_pnjatk_MCATK2_armedmnbde","current":"2","max":""},{"name":"repeating_pnjatk_MCATK2_armedmde","current":"12","max":""},{"name":"repeating_pnjatk_MCATK2_armedm","current":"3","max":""},{"name":"repeating_pnjatk_MCATK2_armeportee","current":"10","max":""},{"name":"repeating_pnjatk_MCATK2_armetypeattaque","current":"Naturel","max":""},{"name":"repeating_pnjatk_MCATK2_armetypedegats","current":"percant","max":""},{"name":"repeating_actions_MCACT1_actionmontree","current":"1","max":""},{"name":"repeating_actions_MCACT1_actionrang","current":"1","max":""},{"name":"repeating_actions_MCACT1_actiontitre","current":"Souffle élémentaire","max":""},{"name":"repeating_actions_MCACT1_actiontype","current":"action","max":""},{"name":"repeating_actions_MCACT1_actioncode","current":"!cof-attack @{selected|token_id} @{target|token_id} Souffle élémentaire --auto --dm 2d12+1 --portee 15 --feu --cone 90 --psave DEX 13 --recharge 5 MC_SIG1","max":""}],"abilities":[{"name":"Attaque 1 - Attaque principale","description":"Contact · Toucher +7 · 2d12+5 Tranchant","action":"!cof-attack @{selected|token_id} @{target|token_id} 1 --tranchant","istokenaction":false},{"name":"Attaque 2 - Attaque secondaire","description":"Courte · Toucher +5 · 2d12+3 Perforant","action":"!cof-attack @{selected|token_id} @{target|token_id} 2 --percant","istokenaction":false},{"name":"Souffle élémentaire","description":"Élément associé ; moitié sur réussite","action":"!cof-attack @{selected|token_id} @{target|token_id} Souffle élémentaire --auto --dm 2d12+1 --portee 15 --feu --cone 90 --psave DEX 13 --recharge 5 MC_SIG1","istokenaction":false}]}</x:v>
      </x:c>
      <x:c r="AQ5" t="str">
        <x:f>IF(D5="ATTACK","!cof-attack @{selected|token_id} @{target|token_id} "&amp;C5&amp;" --toucher "&amp;O5&amp;" --dm "&amp;W5&amp;IF(K5&gt;0," --portee "&amp;K5,"")&amp;V5&amp;T5,"")</x:f>
      </x:c>
      <x:c r="AR5" t="str">
        <x:f>IF(D5="ATTACK_SAVE","!cof-attack @{selected|token_id} @{target|token_id} "&amp;C5&amp;" --auto --dm "&amp;W5&amp;IF(K5&gt;0," --portee "&amp;K5,"")&amp;V5&amp;" --psave "&amp;H5&amp;" "&amp;O5&amp;T5,"")</x:f>
      </x:c>
      <x:c r="AS5" t="str">
        <x:f>IF(D5="AOE_SAVE","!cof-attack @{selected|token_id} @{target|token_id} "&amp;C5&amp;" --auto --dm "&amp;W5&amp;IF(K5&gt;0," --portee "&amp;K5,"")&amp;V5&amp;U5&amp;" --psave "&amp;H5&amp;" "&amp;O5&amp;T5,"")</x:f>
      </x:c>
      <x:c r="AT5" t="str">
        <x:f>IF(D5="CONTROL_SAVE","!cof-attack @{selected|token_id} @{target|token_id} "&amp;C5&amp;" --auto --pasDeDmg"&amp;IF(K5&gt;0," --portee "&amp;K5,"")&amp;U5&amp;" --etat "&amp;G5&amp;" "&amp;H5&amp;" "&amp;O5&amp;" --save "&amp;H5&amp;" "&amp;O5&amp;T5,"")</x:f>
      </x:c>
      <x:c r="AU5" t="str">
        <x:f>IF(D5="CONTROL_SAVE_DMG","!cof-attack @{selected|token_id} @{target|token_id} "&amp;C5&amp;" --auto --dm "&amp;W5&amp;IF(K5&gt;0," --portee "&amp;K5,"")&amp;V5&amp;" --ifSaveFails "&amp;H5&amp;" "&amp;O5&amp;" --etat "&amp;G5&amp;" --else --diviseDmg 2 --endif"&amp;T5,"")</x:f>
      </x:c>
      <x:c r="AV5" t="str">
        <x:f>IF(D5="AOE_CONTROL",IF(M5="","!cof-attack @{selected|token_id} @{target|token_id} "&amp;C5&amp;" --auto --pasDeDmg"&amp;IF(K5&gt;0," --portee "&amp;K5,"")&amp;U5&amp;" --etat "&amp;G5&amp;" "&amp;H5&amp;" "&amp;O5&amp;" --save "&amp;H5&amp;" "&amp;O5&amp;T5,"!cof-attack @{selected|token_id} @{target|token_id} "&amp;C5&amp;" --auto --dm "&amp;W5&amp;IF(K5&gt;0," --portee "&amp;K5,"")&amp;V5&amp;U5&amp;" --ifSaveFails "&amp;H5&amp;" "&amp;O5&amp;" --etat "&amp;G5&amp;" --else --diviseDmg 2 --endif"&amp;T5),"")</x:f>
      </x:c>
      <x:c r="AW5" t="str">
        <x:f>IF(D5="CONTROL_OPPOSE","!cof-etat-oppose @{selected|token_id} @{target|token_id} "&amp;G5&amp;" "&amp;S5&amp;" "&amp;I5&amp;T5,"")</x:f>
      </x:c>
      <x:c r="AX5" t="str">
        <x:f>IF(D5="MANOEUVRE","!cof-manoeuvre @{selected|token_id} @{target|token_id} "&amp;X5,"")</x:f>
      </x:c>
      <x:c r="AY5" t="str">
        <x:f>IF(D5="TELEPORT","!cof-teleportation @{selected|token_id} "&amp;K5,"")</x:f>
      </x:c>
      <x:c r="AZ5" t="str">
        <x:f>IF(D5="HEAL10","!cof-soin @{selected|token_id} @{target|token_id} "&amp;MAX(1,ROUND(Creator!$E$10*0.10,0))&amp;T5,"")</x:f>
      </x:c>
      <x:c r="BA5" t="str">
        <x:f>IF(D5="HEAL20","!cof-soin @{selected|token_id} @{target|token_id} "&amp;MAX(1,ROUND(Creator!$E$10*0.20,0))&amp;T5,"")</x:f>
      </x:c>
      <x:c r="BB5" t="str">
        <x:f>IF(D5="SELF_STATE","!cof-set-state "&amp;G5&amp;" true --target @{selected|token_id}","")</x:f>
      </x:c>
      <x:c r="BC5" t="str">
        <x:f>IF(D5="MULTIATTACK","!cof-attack @{selected|token_id} @{target|token_id} 1"&amp;CHAR(10)&amp;"!cof-attack @{selected|token_id} @{target|token_id} 1","")</x:f>
      </x:c>
      <x:c r="BD5" t="str">
        <x:f>SUBSTITUTE(SUBSTITUTE(SUBSTITUTE(SUBSTITUTE(AB6,CHAR(92),CHAR(92)&amp;CHAR(92)),CHAR(34),CHAR(92)&amp;CHAR(34)),CHAR(13),""),CHAR(10),CHAR(92)&amp;"n")</x:f>
        <x:v>Souffle élémentaire : Élément associé ; moitié sur réussite</x:v>
      </x:c>
      <x:c r="BG5" t="str">
        <x:f>","&amp;CHAR(34)&amp;"size"&amp;CHAR(34)&amp;":[{"&amp;CHAR(34)&amp;"value"&amp;CHAR(34)&amp;":"&amp;CHAR(34)&amp;BD8&amp;CHAR(34)&amp;","&amp;CHAR(34)&amp;"label"&amp;CHAR(34)&amp;":"&amp;CHAR(34)&amp;BD8&amp;CHAR(34)&amp;"}]"&amp;","&amp;CHAR(34)&amp;"str_mod"&amp;CHAR(34)&amp;":[{"&amp;CHAR(34)&amp;"value"&amp;CHAR(34)&amp;":"&amp;CHAR(34)&amp;Creator!E4&amp;CHAR(34)&amp;"}]"&amp;","&amp;CHAR(34)&amp;"dex_mod"&amp;CHAR(34)&amp;":[{"&amp;CHAR(34)&amp;"value"&amp;CHAR(34)&amp;":"&amp;CHAR(34)&amp;Creator!E5&amp;CHAR(34)&amp;"}]"&amp;","&amp;CHAR(34)&amp;"con_mod"&amp;CHAR(34)&amp;":[{"&amp;CHAR(34)&amp;"value"&amp;CHAR(34)&amp;":"&amp;CHAR(34)&amp;Creator!E6&amp;CHAR(34)&amp;"}]"&amp;","&amp;CHAR(34)&amp;"int_mod"&amp;CHAR(34)&amp;":[{"&amp;CHAR(34)&amp;"value"&amp;CHAR(34)&amp;":"&amp;CHAR(34)&amp;Creator!E7&amp;CHAR(34)&amp;"}]"&amp;","&amp;CHAR(34)&amp;"wis_mod"&amp;CHAR(34)&amp;":[{"&amp;CHAR(34)&amp;"value"&amp;CHAR(34)&amp;":"&amp;CHAR(34)&amp;Creator!E8&amp;CHAR(34)&amp;"}]"&amp;","&amp;CHAR(34)&amp;"cha_mod"&amp;CHAR(34)&amp;":[{"&amp;CHAR(34)&amp;"value"&amp;CHAR(34)&amp;":"&amp;CHAR(34)&amp;Creator!E9&amp;CHAR(34)&amp;"}]"&amp;","&amp;CHAR(34)&amp;"sup_abilities"&amp;CHAR(34)&amp;":[]"</x:f>
        <x:v>,"size":[{"value":"Grand","label":"Grand"}],"str_mod":[{"value":"5"}],"dex_mod":[{"value":"3"}],"con_mod":[{"value":"1"}],"int_mod":[{"value":"0"}],"wis_mod":[{"value":"3"}],"cha_mod":[{"value":"1"}],"sup_abilities":[]</x:v>
      </x:c>
      <x:c r="BI5" t="str">
        <x:f>IF(OR(C5="",Q5=""),"",CHAR(123)&amp;CHAR(34)&amp;"name"&amp;CHAR(34)&amp;":"&amp;CHAR(34)&amp;SUBSTITUTE(SUBSTITUTE(SUBSTITUTE(SUBSTITUTE(C5,CHAR(92),CHAR(92)&amp;CHAR(92)),CHAR(34),CHAR(92)&amp;CHAR(34)),CHAR(13),""),CHAR(10),CHAR(92)&amp;"n")&amp;CHAR(34)&amp;","&amp;CHAR(34)&amp;"command"&amp;CHAR(34)&amp;":"&amp;CHAR(34)&amp;SUBSTITUTE(SUBSTITUTE(SUBSTITUTE(SUBSTITUTE(Q5,CHAR(92),CHAR(92)&amp;CHAR(92)),CHAR(34),CHAR(92)&amp;CHAR(34)),CHAR(13),""),CHAR(10),CHAR(92)&amp;"n")&amp;CHAR(34)&amp;","&amp;CHAR(34)&amp;"description"&amp;CHAR(34)&amp;":"&amp;CHAR(34)&amp;SUBSTITUTE(SUBSTITUTE(SUBSTITUTE(SUBSTITUTE(R5,CHAR(92),CHAR(92)&amp;CHAR(92)),CHAR(34),CHAR(92)&amp;CHAR(34)),CHAR(13),""),CHAR(10),CHAR(92)&amp;"n")&amp;CHAR(34)&amp;CHAR(125))</x:f>
      </x:c>
      <x:c r="BL5" t="str">
        <x:f>SUBSTITUTE(SUBSTITUTE(SUBSTITUTE(SUBSTITUTE(Creator!B12,CHAR(92),CHAR(92)&amp;CHAR(92)),CHAR(34),CHAR(92)&amp;CHAR(34)),CHAR(13),""),CHAR(10),CHAR(92)&amp;"n")</x:f>
        <x:v>Mystique</x:v>
      </x:c>
      <x:c r="BM5" t="str">
        <x:v>Archétype mental</x:v>
      </x:c>
      <x:c r="BN5" t="str">
        <x:f>IFERROR(INDEX(Ref_SousFamilles!$N$2:$AD$8,ROW(A4),MATCH(Creator!$B$6,Ref_SousFamilles!$N$1:$AD$1,0)),"")</x:f>
        <x:v>Dragon de gemme</x:v>
      </x:c>
    </x:row>
    <x:row r="6">
      <x:c r="A6" t="str">
        <x:v>Capacité</x:v>
      </x:c>
      <x:c r="B6" t="n">
        <x:v>1</x:v>
      </x:c>
      <x:c r="C6" t="n">
        <x:f>Creator!A48</x:f>
        <x:v>0</x:v>
      </x:c>
      <x:c r="D6" t="str">
        <x:f>IF(C6="","",IFERROR(VLOOKUP($A6&amp;"|"&amp;$C6,Ref_Roll20!$E:$N,2,FALSE),"DESCRIPTIF"))</x:f>
      </x:c>
      <x:c r="E6" t="str">
        <x:f>IF(C6="","",IFERROR(VLOOKUP($A6&amp;"|"&amp;$C6,Ref_Roll20!$E:$N,3,FALSE),""))</x:f>
      </x:c>
      <x:c r="F6" t="str">
        <x:f>IF(C6="","",IF(E6="ELEMENT",IF(Creator!$B$16="","",VLOOKUP(Creator!$B$16,Ref_Roll20!$A:$C,2,FALSE)),IF(E6="ATTAQUE1",IF(Creator!$B$39="","",VLOOKUP(Creator!$B$39,Ref_Roll20!$A:$C,2,FALSE)),IF(E6="","",IFERROR(VLOOKUP(E6,Ref_Roll20!$A:$C,2,FALSE),"")))))</x:f>
      </x:c>
      <x:c r="G6" t="str">
        <x:f>IF(C6="","",IFERROR(VLOOKUP($A6&amp;"|"&amp;$C6,Ref_Roll20!$E:$N,4,FALSE),""))</x:f>
      </x:c>
      <x:c r="H6" t="str">
        <x:f>IF(C6="","",IFERROR(VLOOKUP($A6&amp;"|"&amp;$C6,Ref_Roll20!$E:$N,5,FALSE),""))</x:f>
      </x:c>
      <x:c r="I6" t="str">
        <x:f>IF(C6="","",IFERROR(VLOOKUP($A6&amp;"|"&amp;$C6,Ref_Roll20!$E:$N,6,FALSE),""))</x:f>
      </x:c>
      <x:c r="J6" t="str">
        <x:f>IF(C6="","",IFERROR(VLOOKUP($A6&amp;"|"&amp;$C6,Ref_Roll20!$E:$N,7,FALSE),""))</x:f>
      </x:c>
      <x:c r="K6" t="str">
        <x:f>IF(C6="","",IFERROR(VLOOKUP($A6&amp;"|"&amp;$C6,Ref_Roll20!$E:$N,8,FALSE),0))</x:f>
      </x:c>
      <x:c r="L6" t="str">
        <x:f>IF(C6="","",Creator!C48)</x:f>
      </x:c>
      <x:c r="M6" t="str">
        <x:f>IF(C6="","",Creator!E48)</x:f>
      </x:c>
      <x:c r="N6" t="str">
        <x:f>IF(C6="","",IF(S6="",0,IF(S6="FOR",Creator!$E$4,IF(S6="DEX",Creator!$E$5,IF(S6="CON",Creator!$E$6,IF(S6="INT",Creator!$E$7,IF(S6="SAG",Creator!$E$8,IF(S6="CHA",Creator!$E$9,0))))))))</x:f>
      </x:c>
      <x:c r="O6" t="str">
        <x:f>IF(C6="","",IF(D6="ATTACK",IF(S6="FOR",Creator!$E$4,IF(S6="DEX",Creator!$E$5,IF(S6="CON",Creator!$E$6,IF(S6="INT",Creator!$E$7,IF(S6="SAG",Creator!$E$8,IF(S6="CHA",Creator!$E$9,0))))))+Moteur!$B$6+Moteur!$R$4,IF(D6="ATTACK_SAVE",Creator!D48,IF(OR(D6="AOE_SAVE",D6="AOE_CONTROL",D6="CONTROL_SAVE",D6="CONTROL_SAVE_DMG"),Creator!D48,Creator!D48))))</x:f>
      </x:c>
      <x:c r="P6" t="str">
        <x:f>IF(C6="","",IF(D6="REGEN5","vitaliteSurnaturelle:"&amp;MAX(1,ROUND(Creator!$E$10*0.05,0)),IF(D6="REGEN10","vitaliteSurnaturelle:"&amp;MAX(1,ROUND(Creator!$E$10*0.10,0)),IFERROR(VLOOKUP($A6&amp;"|"&amp;$C6,Ref_Roll20!$E:$N,9,FALSE),""))))</x:f>
      </x:c>
      <x:c r="Q6" t="str">
        <x:f>IF(C6="","",TEXTJOIN("",TRUE,AQ6:BC6))</x:f>
      </x:c>
      <x:c r="R6" t="str">
        <x:f>IF(C6="","",Creator!G48)</x:f>
      </x:c>
      <x:c r="S6" t="str">
        <x:f>IF(C6="","",IFERROR(VLOOKUP(Creator!A48,Ref_Capacites!A:I,5,FALSE),""))</x:f>
      </x:c>
      <x:c r="T6" t="str">
        <x:f>IF(C6="","",IF(L6="Recharge 5-6"," --recharge 5 MC_CAP1",IF(L6="1/combat"," --limiteParCombat 1 MC_CAP1",IF(L6="1/tour"," --limiteParTour 1 MC_CAP1",""))))</x:f>
      </x:c>
      <x:c r="U6" t="str">
        <x:f>IF(J6="CONE"," --cone 90",IF(J6="LIGNE"," --ligne",IF(J6="DISQUE2"," --disque 2",IF(J6="DISQUE3"," --disque 3",""))))</x:f>
      </x:c>
      <x:c r="V6" t="str">
        <x:f>IF(F6="",""," --"&amp;F6)</x:f>
      </x:c>
      <x:c r="W6" t="str">
        <x:f>IF(M6="","",M6&amp;IF(N6=0,"",IF(N6&gt;0,"+"&amp;N6,N6)))</x:f>
      </x:c>
      <x:c r="X6" t="str">
        <x:f>IF(C6="","",IFERROR(VLOOKUP($A6&amp;"|"&amp;$C6,Ref_Roll20!$E:$N,10,FALSE),""))</x:f>
      </x:c>
      <x:c r="Y6" t="str">
        <x:f>IF(C6="","",C6&amp;" : "&amp;R6)</x:f>
      </x:c>
      <x:c r="AA6" t="str">
        <x:v>Capacités texte</x:v>
      </x:c>
      <x:c r="AB6" t="str">
        <x:f>TEXTJOIN(CHAR(10),TRUE,Y2:Y19)</x:f>
        <x:v>Souffle élémentaire : Élément associé ; moitié sur réussite</x:v>
      </x:c>
      <x:c r="AL6" t="str">
        <x:v>Final JSON</x:v>
      </x:c>
      <x:c r="AM6" t="str">
        <x:f>"["&amp;AM5&amp;"]"</x:f>
        <x:v>[{"character":{"name":"Créature exemple","avatar":"","notes":"","gmnotes":"[LOOT]\nTYPE: CREATURE\nNAME: Créature exemple\nFAMILY: Dragon\nTIER: NC 10.71\nRARITY: COMMUN\nVALUE: [[10d20]] PA 45 PA\n[/LOOT]","bio":""},"attributes":[{"name":"version","current":"5.05","max":""},{"name":"type_personnage","current":"PNJ","max":""},{"name":"character_name","current":"Créature exemple","max":""},{"name":"niveau","current":"10","max":""},{"name":"race","current":"Dragon","max":""},{"name":"profil","current":"Dragon élémentaire · Standard","max":""},{"name":"sous_famille","current":"Dragon élémentaire","max":""},{"name":"taille","current":"Grand","max":""},{"name":"pnj_for","current":"5","max":""},{"name":"pnj_dex","current":"3","max":""},{"name":"pnj_con","current":"1","max":""},{"name":"pnj_sag","current":"3","max":""},{"name":"pnj_cha","current":"1","max":""},{"name":"force","current":"20","max":""},{"name":"dexterite","current":"16","max":""},{"name":"constitution","current":"12","max":""},{"name":"intelligence","current":"10","max":""},{"name":"sagesse","current":"16","max":""},{"name":"charisme","current":"12","max":""},{"name":"PV","current":"101","max":"101"},{"name":"PV_max","current":"101","max":""},{"name":"pnj_def","current":"21","max":""},{"name":"pnj_init","current":"15","max":""},{"name":"predicats_script","current":"resistanceA_tranchant resistanceA_percant absorptionA_feu faiblesseMajeureA_eau","max":""},{"name":"capacites_pnj","current":"Souffle élémentaire : Élément associé ; moitié sur réussite","max":""},{"name":"show_script","current":"1","max":""},{"name":"pnj_default_jets_caches","current":"false","max":""},{"name":"element_lie","current":"Feu","max":""},{"name":"element_oppose","current":"Eau","max":""},{"name":"affinites","current":"R Tranchant; R Perforant; S Feu; FM Eau","max":""},{"name":"mouvement","current":"9","max":""},{"name":"vol","current":"12","max":""},{"name":"nage","current":"9","max":""},{"name":"allonge","current":"2","max":""},{"name":"NC_REEL","current":"10.713373319298498","max":""},{"name":"DANGER_REEL","current":"873.6211402457027","max":""},{"name":"loot_moyen_pc","current":"15000","max":""},{"name":"max_attack_label","current":"2","max":""},{"name":"maxrangaction","current":"18","max":""},{"name":"repeating_pnjatk_MCATK1_armelabel","current":"1","max":""},{"name":"repeating_pnjatk_MCATK1_armeactionvisible","current":"1","max":""},{"name":"repeating_pnjatk_MCATK1_armenom","current":"Attaque principale","max":""},{"name":"repeating_pnjatk_MCATK1_armeatk","current":"7","max":""},{"name":"repeating_pnjatk_MCATK1_armecrit","current":"20","max":""},{"name":"repeating_pnjatk_MCATK1_armedmnbde","current":"2","max":""},{"name":"repeating_pnjatk_MCATK1_armedmde","current":"12","max":""},{"name":"repeating_pnjatk_MCATK1_armedm","current":"5","max":""},{"name":"repeating_pnjatk_MCATK1_armetypeattaque","current":"Naturel","max":""},{"name":"repeating_pnjatk_MCATK1_armetypedegats","current":"tranchant","max":""},{"name":"repeating_pnjatk_MCATK2_armelabel","current":"2","max":""},{"name":"repeating_pnjatk_MCATK2_armeactionvisible","current":"1","max":""},{"name":"repeating_pnjatk_MCATK2_armenom","current":"Attaque secondaire","max":""},{"name":"repeating_pnjatk_MCATK2_armeatk","current":"5","max":""},{"name":"repeating_pnjatk_MCATK2_armecrit","current":"20","max":""},{"name":"repeating_pnjatk_MCATK2_armedmnbde","current":"2","max":""},{"name":"repeating_pnjatk_MCATK2_armedmde","current":"12","max":""},{"name":"repeating_pnjatk_MCATK2_armedm","current":"3","max":""},{"name":"repeating_pnjatk_MCATK2_armeportee","current":"10","max":""},{"name":"repeating_pnjatk_MCATK2_armetypeattaque","current":"Naturel","max":""},{"name":"repeating_pnjatk_MCATK2_armetypedegats","current":"percant","max":""},{"name":"repeating_actions_MCACT1_actionmontree","current":"1","max":""},{"name":"repeating_actions_MCACT1_actionrang","current":"1","max":""},{"name":"repeating_actions_MCACT1_actiontitre","current":"Souffle élémentaire","max":""},{"name":"repeating_actions_MCACT1_actiontype","current":"action","max":""},{"name":"repeating_actions_MCACT1_actioncode","current":"!cof-attack @{selected|token_id} @{target|token_id} Souffle élémentaire --auto --dm 2d12+1 --portee 15 --feu --cone 90 --psave DEX 13 --recharge 5 MC_SIG1","max":""}],"abilities":[{"name":"Attaque 1 - Attaque principale","description":"Contact · Toucher +7 · 2d12+5 Tranchant","action":"!cof-attack @{selected|token_id} @{target|token_id} 1 --tranchant","istokenaction":false},{"name":"Attaque 2 - Attaque secondaire","description":"Courte · Toucher +5 · 2d12+3 Perforant","action":"!cof-attack @{selected|token_id} @{target|token_id} 2 --percant","istokenaction":false},{"name":"Souffle élémentaire","description":"Élément associé ; moitié sur réussite","action":"!cof-attack @{selected|token_id} @{target|token_id} Souffle élémentaire --auto --dm 2d12+1 --portee 15 --feu --cone 90 --psave DEX 13 --recharge 5 MC_SIG1","istokenaction":false}]}]</x:v>
      </x:c>
      <x:c r="AQ6" t="str">
        <x:f>IF(D6="ATTACK","!cof-attack @{selected|token_id} @{target|token_id} "&amp;C6&amp;" --toucher "&amp;O6&amp;" --dm "&amp;W6&amp;IF(K6&gt;0," --portee "&amp;K6,"")&amp;V6&amp;T6,"")</x:f>
      </x:c>
      <x:c r="AR6" t="str">
        <x:f>IF(D6="ATTACK_SAVE","!cof-attack @{selected|token_id} @{target|token_id} "&amp;C6&amp;" --auto --dm "&amp;W6&amp;IF(K6&gt;0," --portee "&amp;K6,"")&amp;V6&amp;" --psave "&amp;H6&amp;" "&amp;O6&amp;T6,"")</x:f>
      </x:c>
      <x:c r="AS6" t="str">
        <x:f>IF(D6="AOE_SAVE","!cof-attack @{selected|token_id} @{target|token_id} "&amp;C6&amp;" --auto --dm "&amp;W6&amp;IF(K6&gt;0," --portee "&amp;K6,"")&amp;V6&amp;U6&amp;" --psave "&amp;H6&amp;" "&amp;O6&amp;T6,"")</x:f>
      </x:c>
      <x:c r="AT6" t="str">
        <x:f>IF(D6="CONTROL_SAVE","!cof-attack @{selected|token_id} @{target|token_id} "&amp;C6&amp;" --auto --pasDeDmg"&amp;IF(K6&gt;0," --portee "&amp;K6,"")&amp;U6&amp;" --etat "&amp;G6&amp;" "&amp;H6&amp;" "&amp;O6&amp;" --save "&amp;H6&amp;" "&amp;O6&amp;T6,"")</x:f>
      </x:c>
      <x:c r="AU6" t="str">
        <x:f>IF(D6="CONTROL_SAVE_DMG","!cof-attack @{selected|token_id} @{target|token_id} "&amp;C6&amp;" --auto --dm "&amp;W6&amp;IF(K6&gt;0," --portee "&amp;K6,"")&amp;V6&amp;" --ifSaveFails "&amp;H6&amp;" "&amp;O6&amp;" --etat "&amp;G6&amp;" --else --diviseDmg 2 --endif"&amp;T6,"")</x:f>
      </x:c>
      <x:c r="AV6" t="str">
        <x:f>IF(D6="AOE_CONTROL",IF(M6="","!cof-attack @{selected|token_id} @{target|token_id} "&amp;C6&amp;" --auto --pasDeDmg"&amp;IF(K6&gt;0," --portee "&amp;K6,"")&amp;U6&amp;" --etat "&amp;G6&amp;" "&amp;H6&amp;" "&amp;O6&amp;" --save "&amp;H6&amp;" "&amp;O6&amp;T6,"!cof-attack @{selected|token_id} @{target|token_id} "&amp;C6&amp;" --auto --dm "&amp;W6&amp;IF(K6&gt;0," --portee "&amp;K6,"")&amp;V6&amp;U6&amp;" --ifSaveFails "&amp;H6&amp;" "&amp;O6&amp;" --etat "&amp;G6&amp;" --else --diviseDmg 2 --endif"&amp;T6),"")</x:f>
      </x:c>
      <x:c r="AW6" t="str">
        <x:f>IF(D6="CONTROL_OPPOSE","!cof-etat-oppose @{selected|token_id} @{target|token_id} "&amp;G6&amp;" "&amp;S6&amp;" "&amp;I6&amp;T6,"")</x:f>
      </x:c>
      <x:c r="AX6" t="str">
        <x:f>IF(D6="MANOEUVRE","!cof-manoeuvre @{selected|token_id} @{target|token_id} "&amp;X6,"")</x:f>
      </x:c>
      <x:c r="AY6" t="str">
        <x:f>IF(D6="TELEPORT","!cof-teleportation @{selected|token_id} "&amp;K6,"")</x:f>
      </x:c>
      <x:c r="AZ6" t="str">
        <x:f>IF(D6="HEAL10","!cof-soin @{selected|token_id} @{target|token_id} "&amp;MAX(1,ROUND(Creator!$E$10*0.10,0))&amp;T6,"")</x:f>
      </x:c>
      <x:c r="BA6" t="str">
        <x:f>IF(D6="HEAL20","!cof-soin @{selected|token_id} @{target|token_id} "&amp;MAX(1,ROUND(Creator!$E$10*0.20,0))&amp;T6,"")</x:f>
      </x:c>
      <x:c r="BB6" t="str">
        <x:f>IF(D6="SELF_STATE","!cof-set-state "&amp;G6&amp;" true --target @{selected|token_id}","")</x:f>
      </x:c>
      <x:c r="BC6" t="str">
        <x:f>IF(D6="MULTIATTACK","!cof-attack @{selected|token_id} @{target|token_id} 1"&amp;CHAR(10)&amp;"!cof-attack @{selected|token_id} @{target|token_id} 1","")</x:f>
      </x:c>
      <x:c r="BD6" t="str">
        <x:f>SUBSTITUTE(SUBSTITUTE(SUBSTITUTE(SUBSTITUTE(AB7,CHAR(92),CHAR(92)&amp;CHAR(92)),CHAR(34),CHAR(92)&amp;CHAR(34)),CHAR(13),""),CHAR(10),CHAR(92)&amp;"n")</x:f>
        <x:v>[LOOT]\nTYPE: CREATURE\nNAME: Créature exemple\nFAMILY: Dragon\nTIER: NC 10.71\nRARITY: COMMUN\nVALUE: [[10d20]] PA 45 PA\n[/LOOT]</x:v>
      </x:c>
      <x:c r="BG6" t="str">
        <x:f>","&amp;CHAR(34)&amp;"defense"&amp;CHAR(34)&amp;":[{"&amp;CHAR(34)&amp;"value"&amp;CHAR(34)&amp;":"&amp;CHAR(34)&amp;Creator!E11&amp;CHAR(34)&amp;"}]"&amp;","&amp;CHAR(34)&amp;"health_point"&amp;CHAR(34)&amp;":[{"&amp;CHAR(34)&amp;"value"&amp;CHAR(34)&amp;":"&amp;CHAR(34)&amp;Creator!E10&amp;CHAR(34)&amp;"}]"&amp;","&amp;CHAR(34)&amp;"dmg_reduction"&amp;CHAR(34)&amp;":"&amp;IF(AB37="","[]","[{"&amp;CHAR(34)&amp;"value"&amp;CHAR(34)&amp;":"&amp;CHAR(34)&amp;AB37&amp;CHAR(34)&amp;"}]")&amp;","&amp;CHAR(34)&amp;"init"&amp;CHAR(34)&amp;":[{"&amp;CHAR(34)&amp;"value"&amp;CHAR(34)&amp;":"&amp;CHAR(34)&amp;Creator!E12&amp;CHAR(34)&amp;"}]"</x:f>
        <x:v>,"defense":[{"value":"21"}],"health_point":[{"value":"101"}],"dmg_reduction":[],"init":[{"value":"15"}]</x:v>
      </x:c>
      <x:c r="BI6" t="str">
        <x:f>IF(OR(C6="",Q6=""),"",CHAR(123)&amp;CHAR(34)&amp;"name"&amp;CHAR(34)&amp;":"&amp;CHAR(34)&amp;SUBSTITUTE(SUBSTITUTE(SUBSTITUTE(SUBSTITUTE(C6,CHAR(92),CHAR(92)&amp;CHAR(92)),CHAR(34),CHAR(92)&amp;CHAR(34)),CHAR(13),""),CHAR(10),CHAR(92)&amp;"n")&amp;CHAR(34)&amp;","&amp;CHAR(34)&amp;"command"&amp;CHAR(34)&amp;":"&amp;CHAR(34)&amp;SUBSTITUTE(SUBSTITUTE(SUBSTITUTE(SUBSTITUTE(Q6,CHAR(92),CHAR(92)&amp;CHAR(92)),CHAR(34),CHAR(92)&amp;CHAR(34)),CHAR(13),""),CHAR(10),CHAR(92)&amp;"n")&amp;CHAR(34)&amp;","&amp;CHAR(34)&amp;"description"&amp;CHAR(34)&amp;":"&amp;CHAR(34)&amp;SUBSTITUTE(SUBSTITUTE(SUBSTITUTE(SUBSTITUTE(R6,CHAR(92),CHAR(92)&amp;CHAR(92)),CHAR(34),CHAR(92)&amp;CHAR(34)),CHAR(13),""),CHAR(10),CHAR(92)&amp;"n")&amp;CHAR(34)&amp;CHAR(125))</x:f>
      </x:c>
      <x:c r="BL6" t="str">
        <x:f>SUBSTITUTE(SUBSTITUTE(SUBSTITUTE(SUBSTITUTE(Creator!B13,CHAR(92),CHAR(92)&amp;CHAR(92)),CHAR(34),CHAR(92)&amp;CHAR(34)),CHAR(13),""),CHAR(10),CHAR(92)&amp;"n")</x:f>
        <x:v>Prudent</x:v>
      </x:c>
      <x:c r="BM6" t="str">
        <x:v>Archétype mineur</x:v>
      </x:c>
      <x:c r="BN6" t="str">
        <x:f>IFERROR(INDEX(Ref_SousFamilles!$N$2:$AD$8,ROW(A5),MATCH(Creator!$B$6,Ref_SousFamilles!$N$1:$AD$1,0)),"")</x:f>
        <x:v>Dragon nécrotique</x:v>
      </x:c>
    </x:row>
    <x:row r="7">
      <x:c r="A7" t="str">
        <x:v>Capacité</x:v>
      </x:c>
      <x:c r="B7" t="n">
        <x:v>2</x:v>
      </x:c>
      <x:c r="C7" t="n">
        <x:f>Creator!A49</x:f>
        <x:v>0</x:v>
      </x:c>
      <x:c r="D7" t="str">
        <x:f>IF(C7="","",IFERROR(VLOOKUP($A7&amp;"|"&amp;$C7,Ref_Roll20!$E:$N,2,FALSE),"DESCRIPTIF"))</x:f>
      </x:c>
      <x:c r="E7" t="str">
        <x:f>IF(C7="","",IFERROR(VLOOKUP($A7&amp;"|"&amp;$C7,Ref_Roll20!$E:$N,3,FALSE),""))</x:f>
      </x:c>
      <x:c r="F7" t="str">
        <x:f>IF(C7="","",IF(E7="ELEMENT",IF(Creator!$B$16="","",VLOOKUP(Creator!$B$16,Ref_Roll20!$A:$C,2,FALSE)),IF(E7="ATTAQUE1",IF(Creator!$B$39="","",VLOOKUP(Creator!$B$39,Ref_Roll20!$A:$C,2,FALSE)),IF(E7="","",IFERROR(VLOOKUP(E7,Ref_Roll20!$A:$C,2,FALSE),"")))))</x:f>
      </x:c>
      <x:c r="G7" t="str">
        <x:f>IF(C7="","",IFERROR(VLOOKUP($A7&amp;"|"&amp;$C7,Ref_Roll20!$E:$N,4,FALSE),""))</x:f>
      </x:c>
      <x:c r="H7" t="str">
        <x:f>IF(C7="","",IFERROR(VLOOKUP($A7&amp;"|"&amp;$C7,Ref_Roll20!$E:$N,5,FALSE),""))</x:f>
      </x:c>
      <x:c r="I7" t="str">
        <x:f>IF(C7="","",IFERROR(VLOOKUP($A7&amp;"|"&amp;$C7,Ref_Roll20!$E:$N,6,FALSE),""))</x:f>
      </x:c>
      <x:c r="J7" t="str">
        <x:f>IF(C7="","",IFERROR(VLOOKUP($A7&amp;"|"&amp;$C7,Ref_Roll20!$E:$N,7,FALSE),""))</x:f>
      </x:c>
      <x:c r="K7" t="str">
        <x:f>IF(C7="","",IFERROR(VLOOKUP($A7&amp;"|"&amp;$C7,Ref_Roll20!$E:$N,8,FALSE),0))</x:f>
      </x:c>
      <x:c r="L7" t="str">
        <x:f>IF(C7="","",Creator!C49)</x:f>
      </x:c>
      <x:c r="M7" t="str">
        <x:f>IF(C7="","",Creator!E49)</x:f>
      </x:c>
      <x:c r="N7" t="str">
        <x:f>IF(C7="","",IF(S7="",0,IF(S7="FOR",Creator!$E$4,IF(S7="DEX",Creator!$E$5,IF(S7="CON",Creator!$E$6,IF(S7="INT",Creator!$E$7,IF(S7="SAG",Creator!$E$8,IF(S7="CHA",Creator!$E$9,0))))))))</x:f>
      </x:c>
      <x:c r="O7" t="str">
        <x:f>IF(C7="","",IF(D7="ATTACK",IF(S7="FOR",Creator!$E$4,IF(S7="DEX",Creator!$E$5,IF(S7="CON",Creator!$E$6,IF(S7="INT",Creator!$E$7,IF(S7="SAG",Creator!$E$8,IF(S7="CHA",Creator!$E$9,0))))))+Moteur!$B$6+Moteur!$R$4,IF(D7="ATTACK_SAVE",Creator!D49,IF(OR(D7="AOE_SAVE",D7="AOE_CONTROL",D7="CONTROL_SAVE",D7="CONTROL_SAVE_DMG"),Creator!D49,Creator!D49))))</x:f>
      </x:c>
      <x:c r="P7" t="str">
        <x:f>IF(C7="","",IF(D7="REGEN5","vitaliteSurnaturelle:"&amp;MAX(1,ROUND(Creator!$E$10*0.05,0)),IF(D7="REGEN10","vitaliteSurnaturelle:"&amp;MAX(1,ROUND(Creator!$E$10*0.10,0)),IFERROR(VLOOKUP($A7&amp;"|"&amp;$C7,Ref_Roll20!$E:$N,9,FALSE),""))))</x:f>
      </x:c>
      <x:c r="Q7" t="str">
        <x:f>IF(C7="","",TEXTJOIN("",TRUE,AQ7:BC7))</x:f>
      </x:c>
      <x:c r="R7" t="str">
        <x:f>IF(C7="","",Creator!G49)</x:f>
      </x:c>
      <x:c r="S7" t="str">
        <x:f>IF(C7="","",IFERROR(VLOOKUP(Creator!A49,Ref_Capacites!A:I,5,FALSE),""))</x:f>
      </x:c>
      <x:c r="T7" t="str">
        <x:f>IF(C7="","",IF(L7="Recharge 5-6"," --recharge 5 MC_CAP2",IF(L7="1/combat"," --limiteParCombat 1 MC_CAP2",IF(L7="1/tour"," --limiteParTour 1 MC_CAP2",""))))</x:f>
      </x:c>
      <x:c r="U7" t="str">
        <x:f>IF(J7="CONE"," --cone 90",IF(J7="LIGNE"," --ligne",IF(J7="DISQUE2"," --disque 2",IF(J7="DISQUE3"," --disque 3",""))))</x:f>
      </x:c>
      <x:c r="V7" t="str">
        <x:f>IF(F7="",""," --"&amp;F7)</x:f>
      </x:c>
      <x:c r="W7" t="str">
        <x:f>IF(M7="","",M7&amp;IF(N7=0,"",IF(N7&gt;0,"+"&amp;N7,N7)))</x:f>
      </x:c>
      <x:c r="X7" t="str">
        <x:f>IF(C7="","",IFERROR(VLOOKUP($A7&amp;"|"&amp;$C7,Ref_Roll20!$E:$N,10,FALSE),""))</x:f>
      </x:c>
      <x:c r="Y7" t="str">
        <x:f>IF(C7="","",C7&amp;" : "&amp;R7)</x:f>
      </x:c>
      <x:c r="AA7" t="str">
        <x:v>Loot gmnotes</x:v>
      </x:c>
      <x:c r="AB7" t="str">
        <x:f>"[LOOT]"&amp;CHAR(10)&amp;"TYPE: CREATURE"&amp;CHAR(10)&amp;"NAME: "&amp;Creator!B4&amp;CHAR(10)&amp;"FAMILY: "&amp;Creator!B6&amp;CHAR(10)&amp;"TIER: NC "&amp;TEXT(Moteur!AB27,"0.00")&amp;CHAR(10)&amp;"RARITY: "&amp;VLOOKUP(Creator!B15,Ref_Roll20!Z:AA,2,FALSE)&amp;CHAR(10)&amp;AB8&amp;CHAR(10)&amp;"[/LOOT]"</x:f>
        <x:v>[LOOT]
TYPE: CREATURE
NAME: Créature exemple
FAMILY: Dragon
TIER: NC 10.71
RARITY: COMMUN
VALUE: [[10d20]] PA 45 PA
[/LOOT]</x:v>
      </x:c>
      <x:c r="AQ7" t="str">
        <x:f>IF(D7="ATTACK","!cof-attack @{selected|token_id} @{target|token_id} "&amp;C7&amp;" --toucher "&amp;O7&amp;" --dm "&amp;W7&amp;IF(K7&gt;0," --portee "&amp;K7,"")&amp;V7&amp;T7,"")</x:f>
      </x:c>
      <x:c r="AR7" t="str">
        <x:f>IF(D7="ATTACK_SAVE","!cof-attack @{selected|token_id} @{target|token_id} "&amp;C7&amp;" --auto --dm "&amp;W7&amp;IF(K7&gt;0," --portee "&amp;K7,"")&amp;V7&amp;" --psave "&amp;H7&amp;" "&amp;O7&amp;T7,"")</x:f>
      </x:c>
      <x:c r="AS7" t="str">
        <x:f>IF(D7="AOE_SAVE","!cof-attack @{selected|token_id} @{target|token_id} "&amp;C7&amp;" --auto --dm "&amp;W7&amp;IF(K7&gt;0," --portee "&amp;K7,"")&amp;V7&amp;U7&amp;" --psave "&amp;H7&amp;" "&amp;O7&amp;T7,"")</x:f>
      </x:c>
      <x:c r="AT7" t="str">
        <x:f>IF(D7="CONTROL_SAVE","!cof-attack @{selected|token_id} @{target|token_id} "&amp;C7&amp;" --auto --pasDeDmg"&amp;IF(K7&gt;0," --portee "&amp;K7,"")&amp;U7&amp;" --etat "&amp;G7&amp;" "&amp;H7&amp;" "&amp;O7&amp;" --save "&amp;H7&amp;" "&amp;O7&amp;T7,"")</x:f>
      </x:c>
      <x:c r="AU7" t="str">
        <x:f>IF(D7="CONTROL_SAVE_DMG","!cof-attack @{selected|token_id} @{target|token_id} "&amp;C7&amp;" --auto --dm "&amp;W7&amp;IF(K7&gt;0," --portee "&amp;K7,"")&amp;V7&amp;" --ifSaveFails "&amp;H7&amp;" "&amp;O7&amp;" --etat "&amp;G7&amp;" --else --diviseDmg 2 --endif"&amp;T7,"")</x:f>
      </x:c>
      <x:c r="AV7" t="str">
        <x:f>IF(D7="AOE_CONTROL",IF(M7="","!cof-attack @{selected|token_id} @{target|token_id} "&amp;C7&amp;" --auto --pasDeDmg"&amp;IF(K7&gt;0," --portee "&amp;K7,"")&amp;U7&amp;" --etat "&amp;G7&amp;" "&amp;H7&amp;" "&amp;O7&amp;" --save "&amp;H7&amp;" "&amp;O7&amp;T7,"!cof-attack @{selected|token_id} @{target|token_id} "&amp;C7&amp;" --auto --dm "&amp;W7&amp;IF(K7&gt;0," --portee "&amp;K7,"")&amp;V7&amp;U7&amp;" --ifSaveFails "&amp;H7&amp;" "&amp;O7&amp;" --etat "&amp;G7&amp;" --else --diviseDmg 2 --endif"&amp;T7),"")</x:f>
      </x:c>
      <x:c r="AW7" t="str">
        <x:f>IF(D7="CONTROL_OPPOSE","!cof-etat-oppose @{selected|token_id} @{target|token_id} "&amp;G7&amp;" "&amp;S7&amp;" "&amp;I7&amp;T7,"")</x:f>
      </x:c>
      <x:c r="AX7" t="str">
        <x:f>IF(D7="MANOEUVRE","!cof-manoeuvre @{selected|token_id} @{target|token_id} "&amp;X7,"")</x:f>
      </x:c>
      <x:c r="AY7" t="str">
        <x:f>IF(D7="TELEPORT","!cof-teleportation @{selected|token_id} "&amp;K7,"")</x:f>
      </x:c>
      <x:c r="AZ7" t="str">
        <x:f>IF(D7="HEAL10","!cof-soin @{selected|token_id} @{target|token_id} "&amp;MAX(1,ROUND(Creator!$E$10*0.10,0))&amp;T7,"")</x:f>
      </x:c>
      <x:c r="BA7" t="str">
        <x:f>IF(D7="HEAL20","!cof-soin @{selected|token_id} @{target|token_id} "&amp;MAX(1,ROUND(Creator!$E$10*0.20,0))&amp;T7,"")</x:f>
      </x:c>
      <x:c r="BB7" t="str">
        <x:f>IF(D7="SELF_STATE","!cof-set-state "&amp;G7&amp;" true --target @{selected|token_id}","")</x:f>
      </x:c>
      <x:c r="BC7" t="str">
        <x:f>IF(D7="MULTIATTACK","!cof-attack @{selected|token_id} @{target|token_id} 1"&amp;CHAR(10)&amp;"!cof-attack @{selected|token_id} @{target|token_id} 1","")</x:f>
      </x:c>
      <x:c r="BD7" t="str">
        <x:f>IF(Creator!B6="Humanoïde","humanoid",IF(Creator!B6="Plante","vegetative",IF(OR(Creator!B6="Mort-vivant",Creator!B6="Élémentaire",Creator!B6="Esprit",Creator!B6="Artificiel"),"non_living","alive")))</x:f>
        <x:v>alive</x:v>
      </x:c>
      <x:c r="BG7" t="str">
        <x:f>","&amp;CHAR(34)&amp;"attacks"&amp;CHAR(34)&amp;":"&amp;IF(BF2="","[]","[{"&amp;CHAR(34)&amp;"value"&amp;CHAR(34)&amp;":"&amp;CHAR(34)&amp;CHAR(34)&amp;","&amp;CHAR(34)&amp;"format"&amp;CHAR(34)&amp;":"&amp;CHAR(34)&amp;"simple_html"&amp;CHAR(34)&amp;","&amp;CHAR(34)&amp;"data"&amp;CHAR(34)&amp;":["&amp;BF2&amp;"]}]")</x:f>
        <x:v>,"attacks":[{"value":"","format":"simple_html","data":[{"name":"Attaque principale","test":"+7","dm":"2d12+5","special":null,"reach":null},{"name":"Attaque secondaire","test":"+5","dm":"2d12+3","special":null,"reach":"10"}]}]</x:v>
      </x:c>
      <x:c r="BI7" t="str">
        <x:f>IF(OR(C7="",Q7=""),"",CHAR(123)&amp;CHAR(34)&amp;"name"&amp;CHAR(34)&amp;":"&amp;CHAR(34)&amp;SUBSTITUTE(SUBSTITUTE(SUBSTITUTE(SUBSTITUTE(C7,CHAR(92),CHAR(92)&amp;CHAR(92)),CHAR(34),CHAR(92)&amp;CHAR(34)),CHAR(13),""),CHAR(10),CHAR(92)&amp;"n")&amp;CHAR(34)&amp;","&amp;CHAR(34)&amp;"command"&amp;CHAR(34)&amp;":"&amp;CHAR(34)&amp;SUBSTITUTE(SUBSTITUTE(SUBSTITUTE(SUBSTITUTE(Q7,CHAR(92),CHAR(92)&amp;CHAR(92)),CHAR(34),CHAR(92)&amp;CHAR(34)),CHAR(13),""),CHAR(10),CHAR(92)&amp;"n")&amp;CHAR(34)&amp;","&amp;CHAR(34)&amp;"description"&amp;CHAR(34)&amp;":"&amp;CHAR(34)&amp;SUBSTITUTE(SUBSTITUTE(SUBSTITUTE(SUBSTITUTE(R7,CHAR(92),CHAR(92)&amp;CHAR(92)),CHAR(34),CHAR(92)&amp;CHAR(34)),CHAR(13),""),CHAR(10),CHAR(92)&amp;"n")&amp;CHAR(34)&amp;CHAR(125))</x:f>
      </x:c>
      <x:c r="BL7" t="str">
        <x:f>SUBSTITUTE(SUBSTITUTE(SUBSTITUTE(SUBSTITUTE(Creator!B14,CHAR(92),CHAR(92)&amp;CHAR(92)),CHAR(34),CHAR(92)&amp;CHAR(34)),CHAR(13),""),CHAR(10),CHAR(92)&amp;"n")</x:f>
        <x:v>Aucune</x:v>
      </x:c>
      <x:c r="BM7" t="str">
        <x:v>Armure</x:v>
      </x:c>
      <x:c r="BN7" t="str">
        <x:f>IFERROR(INDEX(Ref_SousFamilles!$N$2:$AD$8,ROW(A6),MATCH(Creator!$B$6,Ref_SousFamilles!$N$1:$AD$1,0)),"")</x:f>
        <x:v>Dragon primordial</x:v>
      </x:c>
    </x:row>
    <x:row r="8">
      <x:c r="A8" t="str">
        <x:v>Capacité</x:v>
      </x:c>
      <x:c r="B8" t="n">
        <x:v>3</x:v>
      </x:c>
      <x:c r="C8" t="n">
        <x:f>Creator!A50</x:f>
        <x:v>0</x:v>
      </x:c>
      <x:c r="D8" t="str">
        <x:f>IF(C8="","",IFERROR(VLOOKUP($A8&amp;"|"&amp;$C8,Ref_Roll20!$E:$N,2,FALSE),"DESCRIPTIF"))</x:f>
      </x:c>
      <x:c r="E8" t="str">
        <x:f>IF(C8="","",IFERROR(VLOOKUP($A8&amp;"|"&amp;$C8,Ref_Roll20!$E:$N,3,FALSE),""))</x:f>
      </x:c>
      <x:c r="F8" t="str">
        <x:f>IF(C8="","",IF(E8="ELEMENT",IF(Creator!$B$16="","",VLOOKUP(Creator!$B$16,Ref_Roll20!$A:$C,2,FALSE)),IF(E8="ATTAQUE1",IF(Creator!$B$39="","",VLOOKUP(Creator!$B$39,Ref_Roll20!$A:$C,2,FALSE)),IF(E8="","",IFERROR(VLOOKUP(E8,Ref_Roll20!$A:$C,2,FALSE),"")))))</x:f>
      </x:c>
      <x:c r="G8" t="str">
        <x:f>IF(C8="","",IFERROR(VLOOKUP($A8&amp;"|"&amp;$C8,Ref_Roll20!$E:$N,4,FALSE),""))</x:f>
      </x:c>
      <x:c r="H8" t="str">
        <x:f>IF(C8="","",IFERROR(VLOOKUP($A8&amp;"|"&amp;$C8,Ref_Roll20!$E:$N,5,FALSE),""))</x:f>
      </x:c>
      <x:c r="I8" t="str">
        <x:f>IF(C8="","",IFERROR(VLOOKUP($A8&amp;"|"&amp;$C8,Ref_Roll20!$E:$N,6,FALSE),""))</x:f>
      </x:c>
      <x:c r="J8" t="str">
        <x:f>IF(C8="","",IFERROR(VLOOKUP($A8&amp;"|"&amp;$C8,Ref_Roll20!$E:$N,7,FALSE),""))</x:f>
      </x:c>
      <x:c r="K8" t="str">
        <x:f>IF(C8="","",IFERROR(VLOOKUP($A8&amp;"|"&amp;$C8,Ref_Roll20!$E:$N,8,FALSE),0))</x:f>
      </x:c>
      <x:c r="L8" t="str">
        <x:f>IF(C8="","",Creator!C50)</x:f>
      </x:c>
      <x:c r="M8" t="str">
        <x:f>IF(C8="","",Creator!E50)</x:f>
      </x:c>
      <x:c r="N8" t="str">
        <x:f>IF(C8="","",IF(S8="",0,IF(S8="FOR",Creator!$E$4,IF(S8="DEX",Creator!$E$5,IF(S8="CON",Creator!$E$6,IF(S8="INT",Creator!$E$7,IF(S8="SAG",Creator!$E$8,IF(S8="CHA",Creator!$E$9,0))))))))</x:f>
      </x:c>
      <x:c r="O8" t="str">
        <x:f>IF(C8="","",IF(D8="ATTACK",IF(S8="FOR",Creator!$E$4,IF(S8="DEX",Creator!$E$5,IF(S8="CON",Creator!$E$6,IF(S8="INT",Creator!$E$7,IF(S8="SAG",Creator!$E$8,IF(S8="CHA",Creator!$E$9,0))))))+Moteur!$B$6+Moteur!$R$4,IF(D8="ATTACK_SAVE",Creator!D50,IF(OR(D8="AOE_SAVE",D8="AOE_CONTROL",D8="CONTROL_SAVE",D8="CONTROL_SAVE_DMG"),Creator!D50,Creator!D50))))</x:f>
      </x:c>
      <x:c r="P8" t="str">
        <x:f>IF(C8="","",IF(D8="REGEN5","vitaliteSurnaturelle:"&amp;MAX(1,ROUND(Creator!$E$10*0.05,0)),IF(D8="REGEN10","vitaliteSurnaturelle:"&amp;MAX(1,ROUND(Creator!$E$10*0.10,0)),IFERROR(VLOOKUP($A8&amp;"|"&amp;$C8,Ref_Roll20!$E:$N,9,FALSE),""))))</x:f>
      </x:c>
      <x:c r="Q8" t="str">
        <x:f>IF(C8="","",TEXTJOIN("",TRUE,AQ8:BC8))</x:f>
      </x:c>
      <x:c r="R8" t="str">
        <x:f>IF(C8="","",Creator!G50)</x:f>
      </x:c>
      <x:c r="S8" t="str">
        <x:f>IF(C8="","",IFERROR(VLOOKUP(Creator!A50,Ref_Capacites!A:I,5,FALSE),""))</x:f>
      </x:c>
      <x:c r="T8" t="str">
        <x:f>IF(C8="","",IF(L8="Recharge 5-6"," --recharge 5 MC_CAP3",IF(L8="1/combat"," --limiteParCombat 1 MC_CAP3",IF(L8="1/tour"," --limiteParTour 1 MC_CAP3",""))))</x:f>
      </x:c>
      <x:c r="U8" t="str">
        <x:f>IF(J8="CONE"," --cone 90",IF(J8="LIGNE"," --ligne",IF(J8="DISQUE2"," --disque 2",IF(J8="DISQUE3"," --disque 3",""))))</x:f>
      </x:c>
      <x:c r="V8" t="str">
        <x:f>IF(F8="",""," --"&amp;F8)</x:f>
      </x:c>
      <x:c r="W8" t="str">
        <x:f>IF(M8="","",M8&amp;IF(N8=0,"",IF(N8&gt;0,"+"&amp;N8,N8)))</x:f>
      </x:c>
      <x:c r="X8" t="str">
        <x:f>IF(C8="","",IFERROR(VLOOKUP($A8&amp;"|"&amp;$C8,Ref_Roll20!$E:$N,10,FALSE),""))</x:f>
      </x:c>
      <x:c r="Y8" t="str">
        <x:f>IF(C8="","",C8&amp;" : "&amp;R8)</x:f>
      </x:c>
      <x:c r="AA8" t="str">
        <x:v>Loot VALUE</x:v>
      </x:c>
      <x:c r="AB8" t="str">
        <x:f>VLOOKUP(Creator!B5&amp;"|"&amp;Creator!B6&amp;"|"&amp;Creator!B15,Ref_Roll20!P:X,9,FALSE)</x:f>
        <x:v>VALUE: [[10d20]] PA 45 PA</x:v>
      </x:c>
      <x:c r="AQ8" t="str">
        <x:f>IF(D8="ATTACK","!cof-attack @{selected|token_id} @{target|token_id} "&amp;C8&amp;" --toucher "&amp;O8&amp;" --dm "&amp;W8&amp;IF(K8&gt;0," --portee "&amp;K8,"")&amp;V8&amp;T8,"")</x:f>
      </x:c>
      <x:c r="AR8" t="str">
        <x:f>IF(D8="ATTACK_SAVE","!cof-attack @{selected|token_id} @{target|token_id} "&amp;C8&amp;" --auto --dm "&amp;W8&amp;IF(K8&gt;0," --portee "&amp;K8,"")&amp;V8&amp;" --psave "&amp;H8&amp;" "&amp;O8&amp;T8,"")</x:f>
      </x:c>
      <x:c r="AS8" t="str">
        <x:f>IF(D8="AOE_SAVE","!cof-attack @{selected|token_id} @{target|token_id} "&amp;C8&amp;" --auto --dm "&amp;W8&amp;IF(K8&gt;0," --portee "&amp;K8,"")&amp;V8&amp;U8&amp;" --psave "&amp;H8&amp;" "&amp;O8&amp;T8,"")</x:f>
      </x:c>
      <x:c r="AT8" t="str">
        <x:f>IF(D8="CONTROL_SAVE","!cof-attack @{selected|token_id} @{target|token_id} "&amp;C8&amp;" --auto --pasDeDmg"&amp;IF(K8&gt;0," --portee "&amp;K8,"")&amp;U8&amp;" --etat "&amp;G8&amp;" "&amp;H8&amp;" "&amp;O8&amp;" --save "&amp;H8&amp;" "&amp;O8&amp;T8,"")</x:f>
      </x:c>
      <x:c r="AU8" t="str">
        <x:f>IF(D8="CONTROL_SAVE_DMG","!cof-attack @{selected|token_id} @{target|token_id} "&amp;C8&amp;" --auto --dm "&amp;W8&amp;IF(K8&gt;0," --portee "&amp;K8,"")&amp;V8&amp;" --ifSaveFails "&amp;H8&amp;" "&amp;O8&amp;" --etat "&amp;G8&amp;" --else --diviseDmg 2 --endif"&amp;T8,"")</x:f>
      </x:c>
      <x:c r="AV8" t="str">
        <x:f>IF(D8="AOE_CONTROL",IF(M8="","!cof-attack @{selected|token_id} @{target|token_id} "&amp;C8&amp;" --auto --pasDeDmg"&amp;IF(K8&gt;0," --portee "&amp;K8,"")&amp;U8&amp;" --etat "&amp;G8&amp;" "&amp;H8&amp;" "&amp;O8&amp;" --save "&amp;H8&amp;" "&amp;O8&amp;T8,"!cof-attack @{selected|token_id} @{target|token_id} "&amp;C8&amp;" --auto --dm "&amp;W8&amp;IF(K8&gt;0," --portee "&amp;K8,"")&amp;V8&amp;U8&amp;" --ifSaveFails "&amp;H8&amp;" "&amp;O8&amp;" --etat "&amp;G8&amp;" --else --diviseDmg 2 --endif"&amp;T8),"")</x:f>
      </x:c>
      <x:c r="AW8" t="str">
        <x:f>IF(D8="CONTROL_OPPOSE","!cof-etat-oppose @{selected|token_id} @{target|token_id} "&amp;G8&amp;" "&amp;S8&amp;" "&amp;I8&amp;T8,"")</x:f>
      </x:c>
      <x:c r="AX8" t="str">
        <x:f>IF(D8="MANOEUVRE","!cof-manoeuvre @{selected|token_id} @{target|token_id} "&amp;X8,"")</x:f>
      </x:c>
      <x:c r="AY8" t="str">
        <x:f>IF(D8="TELEPORT","!cof-teleportation @{selected|token_id} "&amp;K8,"")</x:f>
      </x:c>
      <x:c r="AZ8" t="str">
        <x:f>IF(D8="HEAL10","!cof-soin @{selected|token_id} @{target|token_id} "&amp;MAX(1,ROUND(Creator!$E$10*0.10,0))&amp;T8,"")</x:f>
      </x:c>
      <x:c r="BA8" t="str">
        <x:f>IF(D8="HEAL20","!cof-soin @{selected|token_id} @{target|token_id} "&amp;MAX(1,ROUND(Creator!$E$10*0.20,0))&amp;T8,"")</x:f>
      </x:c>
      <x:c r="BB8" t="str">
        <x:f>IF(D8="SELF_STATE","!cof-set-state "&amp;G8&amp;" true --target @{selected|token_id}","")</x:f>
      </x:c>
      <x:c r="BC8" t="str">
        <x:f>IF(D8="MULTIATTACK","!cof-attack @{selected|token_id} @{target|token_id} 1"&amp;CHAR(10)&amp;"!cof-attack @{selected|token_id} @{target|token_id} 1","")</x:f>
      </x:c>
      <x:c r="BD8" t="str">
        <x:f>SUBSTITUTE(SUBSTITUTE(SUBSTITUTE(SUBSTITUTE(Creator!B8,CHAR(92),CHAR(92)&amp;CHAR(92)),CHAR(34),CHAR(92)&amp;CHAR(34)),CHAR(13),""),CHAR(10),CHAR(92)&amp;"n")</x:f>
        <x:v>Grand</x:v>
      </x:c>
      <x:c r="BG8" t="str">
        <x:f>","&amp;CHAR(34)&amp;"profile"&amp;CHAR(34)&amp;":[{"&amp;CHAR(34)&amp;"value"&amp;CHAR(34)&amp;":"&amp;CHAR(34)&amp;BD4&amp;CHAR(34)&amp;"}]"&amp;","&amp;CHAR(34)&amp;"paths"&amp;CHAR(34)&amp;":[]"</x:f>
        <x:v>,"profile":[{"value":"Dragon élémentaire · Standard"}],"paths":[]</x:v>
      </x:c>
      <x:c r="BI8" t="str">
        <x:f>IF(OR(C8="",Q8=""),"",CHAR(123)&amp;CHAR(34)&amp;"name"&amp;CHAR(34)&amp;":"&amp;CHAR(34)&amp;SUBSTITUTE(SUBSTITUTE(SUBSTITUTE(SUBSTITUTE(C8,CHAR(92),CHAR(92)&amp;CHAR(92)),CHAR(34),CHAR(92)&amp;CHAR(34)),CHAR(13),""),CHAR(10),CHAR(92)&amp;"n")&amp;CHAR(34)&amp;","&amp;CHAR(34)&amp;"command"&amp;CHAR(34)&amp;":"&amp;CHAR(34)&amp;SUBSTITUTE(SUBSTITUTE(SUBSTITUTE(SUBSTITUTE(Q8,CHAR(92),CHAR(92)&amp;CHAR(92)),CHAR(34),CHAR(92)&amp;CHAR(34)),CHAR(13),""),CHAR(10),CHAR(92)&amp;"n")&amp;CHAR(34)&amp;","&amp;CHAR(34)&amp;"description"&amp;CHAR(34)&amp;":"&amp;CHAR(34)&amp;SUBSTITUTE(SUBSTITUTE(SUBSTITUTE(SUBSTITUTE(R8,CHAR(92),CHAR(92)&amp;CHAR(92)),CHAR(34),CHAR(92)&amp;CHAR(34)),CHAR(13),""),CHAR(10),CHAR(92)&amp;"n")&amp;CHAR(34)&amp;CHAR(125))</x:f>
      </x:c>
      <x:c r="BL8" t="str">
        <x:f>SUBSTITUTE(SUBSTITUTE(SUBSTITUTE(SUBSTITUTE(Creator!B15,CHAR(92),CHAR(92)&amp;CHAR(92)),CHAR(34),CHAR(92)&amp;CHAR(34)),CHAR(13),""),CHAR(10),CHAR(92)&amp;"n")</x:f>
        <x:v>Commune</x:v>
      </x:c>
      <x:c r="BM8" t="str">
        <x:v>Rareté composant</x:v>
      </x:c>
      <x:c r="BN8" t="str">
        <x:f>IFERROR(INDEX(Ref_SousFamilles!$N$2:$AD$8,ROW(A7),MATCH(Creator!$B$6,Ref_SousFamilles!$N$1:$AD$1,0)),"")</x:f>
      </x:c>
    </x:row>
    <x:row r="9">
      <x:c r="A9" t="str">
        <x:v>Capacité</x:v>
      </x:c>
      <x:c r="B9" t="n">
        <x:v>4</x:v>
      </x:c>
      <x:c r="C9" t="n">
        <x:f>Creator!A51</x:f>
        <x:v>0</x:v>
      </x:c>
      <x:c r="D9" t="str">
        <x:f>IF(C9="","",IFERROR(VLOOKUP($A9&amp;"|"&amp;$C9,Ref_Roll20!$E:$N,2,FALSE),"DESCRIPTIF"))</x:f>
      </x:c>
      <x:c r="E9" t="str">
        <x:f>IF(C9="","",IFERROR(VLOOKUP($A9&amp;"|"&amp;$C9,Ref_Roll20!$E:$N,3,FALSE),""))</x:f>
      </x:c>
      <x:c r="F9" t="str">
        <x:f>IF(C9="","",IF(E9="ELEMENT",IF(Creator!$B$16="","",VLOOKUP(Creator!$B$16,Ref_Roll20!$A:$C,2,FALSE)),IF(E9="ATTAQUE1",IF(Creator!$B$39="","",VLOOKUP(Creator!$B$39,Ref_Roll20!$A:$C,2,FALSE)),IF(E9="","",IFERROR(VLOOKUP(E9,Ref_Roll20!$A:$C,2,FALSE),"")))))</x:f>
      </x:c>
      <x:c r="G9" t="str">
        <x:f>IF(C9="","",IFERROR(VLOOKUP($A9&amp;"|"&amp;$C9,Ref_Roll20!$E:$N,4,FALSE),""))</x:f>
      </x:c>
      <x:c r="H9" t="str">
        <x:f>IF(C9="","",IFERROR(VLOOKUP($A9&amp;"|"&amp;$C9,Ref_Roll20!$E:$N,5,FALSE),""))</x:f>
      </x:c>
      <x:c r="I9" t="str">
        <x:f>IF(C9="","",IFERROR(VLOOKUP($A9&amp;"|"&amp;$C9,Ref_Roll20!$E:$N,6,FALSE),""))</x:f>
      </x:c>
      <x:c r="J9" t="str">
        <x:f>IF(C9="","",IFERROR(VLOOKUP($A9&amp;"|"&amp;$C9,Ref_Roll20!$E:$N,7,FALSE),""))</x:f>
      </x:c>
      <x:c r="K9" t="str">
        <x:f>IF(C9="","",IFERROR(VLOOKUP($A9&amp;"|"&amp;$C9,Ref_Roll20!$E:$N,8,FALSE),0))</x:f>
      </x:c>
      <x:c r="L9" t="str">
        <x:f>IF(C9="","",Creator!C51)</x:f>
      </x:c>
      <x:c r="M9" t="str">
        <x:f>IF(C9="","",Creator!E51)</x:f>
      </x:c>
      <x:c r="N9" t="str">
        <x:f>IF(C9="","",IF(S9="",0,IF(S9="FOR",Creator!$E$4,IF(S9="DEX",Creator!$E$5,IF(S9="CON",Creator!$E$6,IF(S9="INT",Creator!$E$7,IF(S9="SAG",Creator!$E$8,IF(S9="CHA",Creator!$E$9,0))))))))</x:f>
      </x:c>
      <x:c r="O9" t="str">
        <x:f>IF(C9="","",IF(D9="ATTACK",IF(S9="FOR",Creator!$E$4,IF(S9="DEX",Creator!$E$5,IF(S9="CON",Creator!$E$6,IF(S9="INT",Creator!$E$7,IF(S9="SAG",Creator!$E$8,IF(S9="CHA",Creator!$E$9,0))))))+Moteur!$B$6+Moteur!$R$4,IF(D9="ATTACK_SAVE",Creator!D51,IF(OR(D9="AOE_SAVE",D9="AOE_CONTROL",D9="CONTROL_SAVE",D9="CONTROL_SAVE_DMG"),Creator!D51,Creator!D51))))</x:f>
      </x:c>
      <x:c r="P9" t="str">
        <x:f>IF(C9="","",IF(D9="REGEN5","vitaliteSurnaturelle:"&amp;MAX(1,ROUND(Creator!$E$10*0.05,0)),IF(D9="REGEN10","vitaliteSurnaturelle:"&amp;MAX(1,ROUND(Creator!$E$10*0.10,0)),IFERROR(VLOOKUP($A9&amp;"|"&amp;$C9,Ref_Roll20!$E:$N,9,FALSE),""))))</x:f>
      </x:c>
      <x:c r="Q9" t="str">
        <x:f>IF(C9="","",TEXTJOIN("",TRUE,AQ9:BC9))</x:f>
      </x:c>
      <x:c r="R9" t="str">
        <x:f>IF(C9="","",Creator!G51)</x:f>
      </x:c>
      <x:c r="S9" t="str">
        <x:f>IF(C9="","",IFERROR(VLOOKUP(Creator!A51,Ref_Capacites!A:I,5,FALSE),""))</x:f>
      </x:c>
      <x:c r="T9" t="str">
        <x:f>IF(C9="","",IF(L9="Recharge 5-6"," --recharge 5 MC_CAP4",IF(L9="1/combat"," --limiteParCombat 1 MC_CAP4",IF(L9="1/tour"," --limiteParTour 1 MC_CAP4",""))))</x:f>
      </x:c>
      <x:c r="U9" t="str">
        <x:f>IF(J9="CONE"," --cone 90",IF(J9="LIGNE"," --ligne",IF(J9="DISQUE2"," --disque 2",IF(J9="DISQUE3"," --disque 3",""))))</x:f>
      </x:c>
      <x:c r="V9" t="str">
        <x:f>IF(F9="",""," --"&amp;F9)</x:f>
      </x:c>
      <x:c r="W9" t="str">
        <x:f>IF(M9="","",M9&amp;IF(N9=0,"",IF(N9&gt;0,"+"&amp;N9,N9)))</x:f>
      </x:c>
      <x:c r="X9" t="str">
        <x:f>IF(C9="","",IFERROR(VLOOKUP($A9&amp;"|"&amp;$C9,Ref_Roll20!$E:$N,10,FALSE),""))</x:f>
      </x:c>
      <x:c r="Y9" t="str">
        <x:f>IF(C9="","",C9&amp;" : "&amp;R9)</x:f>
      </x:c>
      <x:c r="AQ9" t="str">
        <x:f>IF(D9="ATTACK","!cof-attack @{selected|token_id} @{target|token_id} "&amp;C9&amp;" --toucher "&amp;O9&amp;" --dm "&amp;W9&amp;IF(K9&gt;0," --portee "&amp;K9,"")&amp;V9&amp;T9,"")</x:f>
      </x:c>
      <x:c r="AR9" t="str">
        <x:f>IF(D9="ATTACK_SAVE","!cof-attack @{selected|token_id} @{target|token_id} "&amp;C9&amp;" --auto --dm "&amp;W9&amp;IF(K9&gt;0," --portee "&amp;K9,"")&amp;V9&amp;" --psave "&amp;H9&amp;" "&amp;O9&amp;T9,"")</x:f>
      </x:c>
      <x:c r="AS9" t="str">
        <x:f>IF(D9="AOE_SAVE","!cof-attack @{selected|token_id} @{target|token_id} "&amp;C9&amp;" --auto --dm "&amp;W9&amp;IF(K9&gt;0," --portee "&amp;K9,"")&amp;V9&amp;U9&amp;" --psave "&amp;H9&amp;" "&amp;O9&amp;T9,"")</x:f>
      </x:c>
      <x:c r="AT9" t="str">
        <x:f>IF(D9="CONTROL_SAVE","!cof-attack @{selected|token_id} @{target|token_id} "&amp;C9&amp;" --auto --pasDeDmg"&amp;IF(K9&gt;0," --portee "&amp;K9,"")&amp;U9&amp;" --etat "&amp;G9&amp;" "&amp;H9&amp;" "&amp;O9&amp;" --save "&amp;H9&amp;" "&amp;O9&amp;T9,"")</x:f>
      </x:c>
      <x:c r="AU9" t="str">
        <x:f>IF(D9="CONTROL_SAVE_DMG","!cof-attack @{selected|token_id} @{target|token_id} "&amp;C9&amp;" --auto --dm "&amp;W9&amp;IF(K9&gt;0," --portee "&amp;K9,"")&amp;V9&amp;" --ifSaveFails "&amp;H9&amp;" "&amp;O9&amp;" --etat "&amp;G9&amp;" --else --diviseDmg 2 --endif"&amp;T9,"")</x:f>
      </x:c>
      <x:c r="AV9" t="str">
        <x:f>IF(D9="AOE_CONTROL",IF(M9="","!cof-attack @{selected|token_id} @{target|token_id} "&amp;C9&amp;" --auto --pasDeDmg"&amp;IF(K9&gt;0," --portee "&amp;K9,"")&amp;U9&amp;" --etat "&amp;G9&amp;" "&amp;H9&amp;" "&amp;O9&amp;" --save "&amp;H9&amp;" "&amp;O9&amp;T9,"!cof-attack @{selected|token_id} @{target|token_id} "&amp;C9&amp;" --auto --dm "&amp;W9&amp;IF(K9&gt;0," --portee "&amp;K9,"")&amp;V9&amp;U9&amp;" --ifSaveFails "&amp;H9&amp;" "&amp;O9&amp;" --etat "&amp;G9&amp;" --else --diviseDmg 2 --endif"&amp;T9),"")</x:f>
      </x:c>
      <x:c r="AW9" t="str">
        <x:f>IF(D9="CONTROL_OPPOSE","!cof-etat-oppose @{selected|token_id} @{target|token_id} "&amp;G9&amp;" "&amp;S9&amp;" "&amp;I9&amp;T9,"")</x:f>
      </x:c>
      <x:c r="AX9" t="str">
        <x:f>IF(D9="MANOEUVRE","!cof-manoeuvre @{selected|token_id} @{target|token_id} "&amp;X9,"")</x:f>
      </x:c>
      <x:c r="AY9" t="str">
        <x:f>IF(D9="TELEPORT","!cof-teleportation @{selected|token_id} "&amp;K9,"")</x:f>
      </x:c>
      <x:c r="AZ9" t="str">
        <x:f>IF(D9="HEAL10","!cof-soin @{selected|token_id} @{target|token_id} "&amp;MAX(1,ROUND(Creator!$E$10*0.10,0))&amp;T9,"")</x:f>
      </x:c>
      <x:c r="BA9" t="str">
        <x:f>IF(D9="HEAL20","!cof-soin @{selected|token_id} @{target|token_id} "&amp;MAX(1,ROUND(Creator!$E$10*0.20,0))&amp;T9,"")</x:f>
      </x:c>
      <x:c r="BB9" t="str">
        <x:f>IF(D9="SELF_STATE","!cof-set-state "&amp;G9&amp;" true --target @{selected|token_id}","")</x:f>
      </x:c>
      <x:c r="BC9" t="str">
        <x:f>IF(D9="MULTIATTACK","!cof-attack @{selected|token_id} @{target|token_id} 1"&amp;CHAR(10)&amp;"!cof-attack @{selected|token_id} @{target|token_id} 1","")</x:f>
      </x:c>
      <x:c r="BD9" t="str">
        <x:f>SUBSTITUTE(SUBSTITUTE(SUBSTITUTE(SUBSTITUTE(Creator!B9,CHAR(92),CHAR(92)&amp;CHAR(92)),CHAR(34),CHAR(92)&amp;CHAR(34)),CHAR(13),""),CHAR(10),CHAR(92)&amp;"n")</x:f>
        <x:v>Standard</x:v>
      </x:c>
      <x:c r="BG9" t="str">
        <x:f>","&amp;CHAR(34)&amp;"special_capabilities"&amp;CHAR(34)&amp;":"&amp;IF(BD5="","[]","[{"&amp;CHAR(34)&amp;"value"&amp;CHAR(34)&amp;":"&amp;CHAR(34)&amp;BD5&amp;CHAR(34)&amp;","&amp;CHAR(34)&amp;"format"&amp;CHAR(34)&amp;":"&amp;CHAR(34)&amp;"simple_html"&amp;CHAR(34)&amp;"}]")</x:f>
        <x:v>,"special_capabilities":[{"value":"Souffle élémentaire : Élément associé ; moitié sur réussite","format":"simple_html"}]</x:v>
      </x:c>
      <x:c r="BI9" t="str">
        <x:f>IF(OR(C9="",Q9=""),"",CHAR(123)&amp;CHAR(34)&amp;"name"&amp;CHAR(34)&amp;":"&amp;CHAR(34)&amp;SUBSTITUTE(SUBSTITUTE(SUBSTITUTE(SUBSTITUTE(C9,CHAR(92),CHAR(92)&amp;CHAR(92)),CHAR(34),CHAR(92)&amp;CHAR(34)),CHAR(13),""),CHAR(10),CHAR(92)&amp;"n")&amp;CHAR(34)&amp;","&amp;CHAR(34)&amp;"command"&amp;CHAR(34)&amp;":"&amp;CHAR(34)&amp;SUBSTITUTE(SUBSTITUTE(SUBSTITUTE(SUBSTITUTE(Q9,CHAR(92),CHAR(92)&amp;CHAR(92)),CHAR(34),CHAR(92)&amp;CHAR(34)),CHAR(13),""),CHAR(10),CHAR(92)&amp;"n")&amp;CHAR(34)&amp;","&amp;CHAR(34)&amp;"description"&amp;CHAR(34)&amp;":"&amp;CHAR(34)&amp;SUBSTITUTE(SUBSTITUTE(SUBSTITUTE(SUBSTITUTE(R9,CHAR(92),CHAR(92)&amp;CHAR(92)),CHAR(34),CHAR(92)&amp;CHAR(34)),CHAR(13),""),CHAR(10),CHAR(92)&amp;"n")&amp;CHAR(34)&amp;CHAR(125))</x:f>
      </x:c>
      <x:c r="BL9" t="str">
        <x:f>SUBSTITUTE(SUBSTITUTE(SUBSTITUTE(SUBSTITUTE(Creator!B16,CHAR(92),CHAR(92)&amp;CHAR(92)),CHAR(34),CHAR(92)&amp;CHAR(34)),CHAR(13),""),CHAR(10),CHAR(92)&amp;"n")</x:f>
        <x:v>Feu</x:v>
      </x:c>
      <x:c r="BM9" t="str">
        <x:v>Élément lié</x:v>
      </x:c>
    </x:row>
    <x:row r="10">
      <x:c r="A10" t="str">
        <x:v>Capacité</x:v>
      </x:c>
      <x:c r="B10" t="n">
        <x:v>5</x:v>
      </x:c>
      <x:c r="C10" t="n">
        <x:f>Creator!A52</x:f>
        <x:v>0</x:v>
      </x:c>
      <x:c r="D10" t="str">
        <x:f>IF(C10="","",IFERROR(VLOOKUP($A10&amp;"|"&amp;$C10,Ref_Roll20!$E:$N,2,FALSE),"DESCRIPTIF"))</x:f>
      </x:c>
      <x:c r="E10" t="str">
        <x:f>IF(C10="","",IFERROR(VLOOKUP($A10&amp;"|"&amp;$C10,Ref_Roll20!$E:$N,3,FALSE),""))</x:f>
      </x:c>
      <x:c r="F10" t="str">
        <x:f>IF(C10="","",IF(E10="ELEMENT",IF(Creator!$B$16="","",VLOOKUP(Creator!$B$16,Ref_Roll20!$A:$C,2,FALSE)),IF(E10="ATTAQUE1",IF(Creator!$B$39="","",VLOOKUP(Creator!$B$39,Ref_Roll20!$A:$C,2,FALSE)),IF(E10="","",IFERROR(VLOOKUP(E10,Ref_Roll20!$A:$C,2,FALSE),"")))))</x:f>
      </x:c>
      <x:c r="G10" t="str">
        <x:f>IF(C10="","",IFERROR(VLOOKUP($A10&amp;"|"&amp;$C10,Ref_Roll20!$E:$N,4,FALSE),""))</x:f>
      </x:c>
      <x:c r="H10" t="str">
        <x:f>IF(C10="","",IFERROR(VLOOKUP($A10&amp;"|"&amp;$C10,Ref_Roll20!$E:$N,5,FALSE),""))</x:f>
      </x:c>
      <x:c r="I10" t="str">
        <x:f>IF(C10="","",IFERROR(VLOOKUP($A10&amp;"|"&amp;$C10,Ref_Roll20!$E:$N,6,FALSE),""))</x:f>
      </x:c>
      <x:c r="J10" t="str">
        <x:f>IF(C10="","",IFERROR(VLOOKUP($A10&amp;"|"&amp;$C10,Ref_Roll20!$E:$N,7,FALSE),""))</x:f>
      </x:c>
      <x:c r="K10" t="str">
        <x:f>IF(C10="","",IFERROR(VLOOKUP($A10&amp;"|"&amp;$C10,Ref_Roll20!$E:$N,8,FALSE),0))</x:f>
      </x:c>
      <x:c r="L10" t="str">
        <x:f>IF(C10="","",Creator!C52)</x:f>
      </x:c>
      <x:c r="M10" t="str">
        <x:f>IF(C10="","",Creator!E52)</x:f>
      </x:c>
      <x:c r="N10" t="str">
        <x:f>IF(C10="","",IF(S10="",0,IF(S10="FOR",Creator!$E$4,IF(S10="DEX",Creator!$E$5,IF(S10="CON",Creator!$E$6,IF(S10="INT",Creator!$E$7,IF(S10="SAG",Creator!$E$8,IF(S10="CHA",Creator!$E$9,0))))))))</x:f>
      </x:c>
      <x:c r="O10" t="str">
        <x:f>IF(C10="","",IF(D10="ATTACK",IF(S10="FOR",Creator!$E$4,IF(S10="DEX",Creator!$E$5,IF(S10="CON",Creator!$E$6,IF(S10="INT",Creator!$E$7,IF(S10="SAG",Creator!$E$8,IF(S10="CHA",Creator!$E$9,0))))))+Moteur!$B$6+Moteur!$R$4,IF(D10="ATTACK_SAVE",Creator!D52,IF(OR(D10="AOE_SAVE",D10="AOE_CONTROL",D10="CONTROL_SAVE",D10="CONTROL_SAVE_DMG"),Creator!D52,Creator!D52))))</x:f>
      </x:c>
      <x:c r="P10" t="str">
        <x:f>IF(C10="","",IF(D10="REGEN5","vitaliteSurnaturelle:"&amp;MAX(1,ROUND(Creator!$E$10*0.05,0)),IF(D10="REGEN10","vitaliteSurnaturelle:"&amp;MAX(1,ROUND(Creator!$E$10*0.10,0)),IFERROR(VLOOKUP($A10&amp;"|"&amp;$C10,Ref_Roll20!$E:$N,9,FALSE),""))))</x:f>
      </x:c>
      <x:c r="Q10" t="str">
        <x:f>IF(C10="","",TEXTJOIN("",TRUE,AQ10:BC10))</x:f>
      </x:c>
      <x:c r="R10" t="str">
        <x:f>IF(C10="","",Creator!G52)</x:f>
      </x:c>
      <x:c r="S10" t="str">
        <x:f>IF(C10="","",IFERROR(VLOOKUP(Creator!A52,Ref_Capacites!A:I,5,FALSE),""))</x:f>
      </x:c>
      <x:c r="T10" t="str">
        <x:f>IF(C10="","",IF(L10="Recharge 5-6"," --recharge 5 MC_CAP5",IF(L10="1/combat"," --limiteParCombat 1 MC_CAP5",IF(L10="1/tour"," --limiteParTour 1 MC_CAP5",""))))</x:f>
      </x:c>
      <x:c r="U10" t="str">
        <x:f>IF(J10="CONE"," --cone 90",IF(J10="LIGNE"," --ligne",IF(J10="DISQUE2"," --disque 2",IF(J10="DISQUE3"," --disque 3",""))))</x:f>
      </x:c>
      <x:c r="V10" t="str">
        <x:f>IF(F10="",""," --"&amp;F10)</x:f>
      </x:c>
      <x:c r="W10" t="str">
        <x:f>IF(M10="","",M10&amp;IF(N10=0,"",IF(N10&gt;0,"+"&amp;N10,N10)))</x:f>
      </x:c>
      <x:c r="X10" t="str">
        <x:f>IF(C10="","",IFERROR(VLOOKUP($A10&amp;"|"&amp;$C10,Ref_Roll20!$E:$N,10,FALSE),""))</x:f>
      </x:c>
      <x:c r="Y10" t="str">
        <x:f>IF(C10="","",C10&amp;" : "&amp;R10)</x:f>
      </x:c>
      <x:c r="AA10" s="105" t="str">
        <x:v>Attribute</x:v>
      </x:c>
      <x:c r="AB10" s="105" t="str">
        <x:v>Current</x:v>
      </x:c>
      <x:c r="AC10" s="105" t="str">
        <x:v>Max</x:v>
      </x:c>
      <x:c r="AD10" s="105" t="str">
        <x:v>JSON fragment</x:v>
      </x:c>
      <x:c r="AF10" s="105" t="str">
        <x:v>Ability</x:v>
      </x:c>
      <x:c r="AG10" s="105" t="str">
        <x:v>Action</x:v>
      </x:c>
      <x:c r="AH10" s="105" t="str">
        <x:v>Description</x:v>
      </x:c>
      <x:c r="AI10" s="105" t="str">
        <x:v>Token action</x:v>
      </x:c>
      <x:c r="AJ10" s="105" t="str">
        <x:v>JSON fragment</x:v>
      </x:c>
      <x:c r="AQ10" t="str">
        <x:f>IF(D10="ATTACK","!cof-attack @{selected|token_id} @{target|token_id} "&amp;C10&amp;" --toucher "&amp;O10&amp;" --dm "&amp;W10&amp;IF(K10&gt;0," --portee "&amp;K10,"")&amp;V10&amp;T10,"")</x:f>
      </x:c>
      <x:c r="AR10" t="str">
        <x:f>IF(D10="ATTACK_SAVE","!cof-attack @{selected|token_id} @{target|token_id} "&amp;C10&amp;" --auto --dm "&amp;W10&amp;IF(K10&gt;0," --portee "&amp;K10,"")&amp;V10&amp;" --psave "&amp;H10&amp;" "&amp;O10&amp;T10,"")</x:f>
      </x:c>
      <x:c r="AS10" t="str">
        <x:f>IF(D10="AOE_SAVE","!cof-attack @{selected|token_id} @{target|token_id} "&amp;C10&amp;" --auto --dm "&amp;W10&amp;IF(K10&gt;0," --portee "&amp;K10,"")&amp;V10&amp;U10&amp;" --psave "&amp;H10&amp;" "&amp;O10&amp;T10,"")</x:f>
      </x:c>
      <x:c r="AT10" t="str">
        <x:f>IF(D10="CONTROL_SAVE","!cof-attack @{selected|token_id} @{target|token_id} "&amp;C10&amp;" --auto --pasDeDmg"&amp;IF(K10&gt;0," --portee "&amp;K10,"")&amp;U10&amp;" --etat "&amp;G10&amp;" "&amp;H10&amp;" "&amp;O10&amp;" --save "&amp;H10&amp;" "&amp;O10&amp;T10,"")</x:f>
      </x:c>
      <x:c r="AU10" t="str">
        <x:f>IF(D10="CONTROL_SAVE_DMG","!cof-attack @{selected|token_id} @{target|token_id} "&amp;C10&amp;" --auto --dm "&amp;W10&amp;IF(K10&gt;0," --portee "&amp;K10,"")&amp;V10&amp;" --ifSaveFails "&amp;H10&amp;" "&amp;O10&amp;" --etat "&amp;G10&amp;" --else --diviseDmg 2 --endif"&amp;T10,"")</x:f>
      </x:c>
      <x:c r="AV10" t="str">
        <x:f>IF(D10="AOE_CONTROL",IF(M10="","!cof-attack @{selected|token_id} @{target|token_id} "&amp;C10&amp;" --auto --pasDeDmg"&amp;IF(K10&gt;0," --portee "&amp;K10,"")&amp;U10&amp;" --etat "&amp;G10&amp;" "&amp;H10&amp;" "&amp;O10&amp;" --save "&amp;H10&amp;" "&amp;O10&amp;T10,"!cof-attack @{selected|token_id} @{target|token_id} "&amp;C10&amp;" --auto --dm "&amp;W10&amp;IF(K10&gt;0," --portee "&amp;K10,"")&amp;V10&amp;U10&amp;" --ifSaveFails "&amp;H10&amp;" "&amp;O10&amp;" --etat "&amp;G10&amp;" --else --diviseDmg 2 --endif"&amp;T10),"")</x:f>
      </x:c>
      <x:c r="AW10" t="str">
        <x:f>IF(D10="CONTROL_OPPOSE","!cof-etat-oppose @{selected|token_id} @{target|token_id} "&amp;G10&amp;" "&amp;S10&amp;" "&amp;I10&amp;T10,"")</x:f>
      </x:c>
      <x:c r="AX10" t="str">
        <x:f>IF(D10="MANOEUVRE","!cof-manoeuvre @{selected|token_id} @{target|token_id} "&amp;X10,"")</x:f>
      </x:c>
      <x:c r="AY10" t="str">
        <x:f>IF(D10="TELEPORT","!cof-teleportation @{selected|token_id} "&amp;K10,"")</x:f>
      </x:c>
      <x:c r="AZ10" t="str">
        <x:f>IF(D10="HEAL10","!cof-soin @{selected|token_id} @{target|token_id} "&amp;MAX(1,ROUND(Creator!$E$10*0.10,0))&amp;T10,"")</x:f>
      </x:c>
      <x:c r="BA10" t="str">
        <x:f>IF(D10="HEAL20","!cof-soin @{selected|token_id} @{target|token_id} "&amp;MAX(1,ROUND(Creator!$E$10*0.20,0))&amp;T10,"")</x:f>
      </x:c>
      <x:c r="BB10" t="str">
        <x:f>IF(D10="SELF_STATE","!cof-set-state "&amp;G10&amp;" true --target @{selected|token_id}","")</x:f>
      </x:c>
      <x:c r="BC10" t="str">
        <x:f>IF(D10="MULTIATTACK","!cof-attack @{selected|token_id} @{target|token_id} 1"&amp;CHAR(10)&amp;"!cof-attack @{selected|token_id} @{target|token_id} 1","")</x:f>
      </x:c>
      <x:c r="BG10" t="str">
        <x:f>","&amp;CHAR(34)&amp;"structured_capabilities"&amp;CHAR(34)&amp;":[]"&amp;","&amp;CHAR(34)&amp;"capabilities"&amp;CHAR(34)&amp;":[]"&amp;","&amp;CHAR(34)&amp;"spells"&amp;CHAR(34)&amp;":"&amp;"[]"</x:f>
        <x:v>,"structured_capabilities":[],"capabilities":[],"spells":[]</x:v>
      </x:c>
      <x:c r="BI10" t="str">
        <x:f>IF(OR(C10="",Q10=""),"",CHAR(123)&amp;CHAR(34)&amp;"name"&amp;CHAR(34)&amp;":"&amp;CHAR(34)&amp;SUBSTITUTE(SUBSTITUTE(SUBSTITUTE(SUBSTITUTE(C10,CHAR(92),CHAR(92)&amp;CHAR(92)),CHAR(34),CHAR(92)&amp;CHAR(34)),CHAR(13),""),CHAR(10),CHAR(92)&amp;"n")&amp;CHAR(34)&amp;","&amp;CHAR(34)&amp;"command"&amp;CHAR(34)&amp;":"&amp;CHAR(34)&amp;SUBSTITUTE(SUBSTITUTE(SUBSTITUTE(SUBSTITUTE(Q10,CHAR(92),CHAR(92)&amp;CHAR(92)),CHAR(34),CHAR(92)&amp;CHAR(34)),CHAR(13),""),CHAR(10),CHAR(92)&amp;"n")&amp;CHAR(34)&amp;","&amp;CHAR(34)&amp;"description"&amp;CHAR(34)&amp;":"&amp;CHAR(34)&amp;SUBSTITUTE(SUBSTITUTE(SUBSTITUTE(SUBSTITUTE(R10,CHAR(92),CHAR(92)&amp;CHAR(92)),CHAR(34),CHAR(92)&amp;CHAR(34)),CHAR(13),""),CHAR(10),CHAR(92)&amp;"n")&amp;CHAR(34)&amp;CHAR(125))</x:f>
      </x:c>
      <x:c r="BL10" t="str">
        <x:f>SUBSTITUTE(SUBSTITUTE(SUBSTITUTE(SUBSTITUTE(Creator!B17,CHAR(92),CHAR(92)&amp;CHAR(92)),CHAR(34),CHAR(92)&amp;CHAR(34)),CHAR(13),""),CHAR(10),CHAR(92)&amp;"n")</x:f>
        <x:v>Eau</x:v>
      </x:c>
      <x:c r="BM10" t="str">
        <x:v>Élément opposé</x:v>
      </x:c>
    </x:row>
    <x:row r="11">
      <x:c r="A11" t="str">
        <x:v>Capacité</x:v>
      </x:c>
      <x:c r="B11" t="n">
        <x:v>6</x:v>
      </x:c>
      <x:c r="C11" t="n">
        <x:f>Creator!A53</x:f>
        <x:v>0</x:v>
      </x:c>
      <x:c r="D11" t="str">
        <x:f>IF(C11="","",IFERROR(VLOOKUP($A11&amp;"|"&amp;$C11,Ref_Roll20!$E:$N,2,FALSE),"DESCRIPTIF"))</x:f>
      </x:c>
      <x:c r="E11" t="str">
        <x:f>IF(C11="","",IFERROR(VLOOKUP($A11&amp;"|"&amp;$C11,Ref_Roll20!$E:$N,3,FALSE),""))</x:f>
      </x:c>
      <x:c r="F11" t="str">
        <x:f>IF(C11="","",IF(E11="ELEMENT",IF(Creator!$B$16="","",VLOOKUP(Creator!$B$16,Ref_Roll20!$A:$C,2,FALSE)),IF(E11="ATTAQUE1",IF(Creator!$B$39="","",VLOOKUP(Creator!$B$39,Ref_Roll20!$A:$C,2,FALSE)),IF(E11="","",IFERROR(VLOOKUP(E11,Ref_Roll20!$A:$C,2,FALSE),"")))))</x:f>
      </x:c>
      <x:c r="G11" t="str">
        <x:f>IF(C11="","",IFERROR(VLOOKUP($A11&amp;"|"&amp;$C11,Ref_Roll20!$E:$N,4,FALSE),""))</x:f>
      </x:c>
      <x:c r="H11" t="str">
        <x:f>IF(C11="","",IFERROR(VLOOKUP($A11&amp;"|"&amp;$C11,Ref_Roll20!$E:$N,5,FALSE),""))</x:f>
      </x:c>
      <x:c r="I11" t="str">
        <x:f>IF(C11="","",IFERROR(VLOOKUP($A11&amp;"|"&amp;$C11,Ref_Roll20!$E:$N,6,FALSE),""))</x:f>
      </x:c>
      <x:c r="J11" t="str">
        <x:f>IF(C11="","",IFERROR(VLOOKUP($A11&amp;"|"&amp;$C11,Ref_Roll20!$E:$N,7,FALSE),""))</x:f>
      </x:c>
      <x:c r="K11" t="str">
        <x:f>IF(C11="","",IFERROR(VLOOKUP($A11&amp;"|"&amp;$C11,Ref_Roll20!$E:$N,8,FALSE),0))</x:f>
      </x:c>
      <x:c r="L11" t="str">
        <x:f>IF(C11="","",Creator!C53)</x:f>
      </x:c>
      <x:c r="M11" t="str">
        <x:f>IF(C11="","",Creator!E53)</x:f>
      </x:c>
      <x:c r="N11" t="str">
        <x:f>IF(C11="","",IF(S11="",0,IF(S11="FOR",Creator!$E$4,IF(S11="DEX",Creator!$E$5,IF(S11="CON",Creator!$E$6,IF(S11="INT",Creator!$E$7,IF(S11="SAG",Creator!$E$8,IF(S11="CHA",Creator!$E$9,0))))))))</x:f>
      </x:c>
      <x:c r="O11" t="str">
        <x:f>IF(C11="","",IF(D11="ATTACK",IF(S11="FOR",Creator!$E$4,IF(S11="DEX",Creator!$E$5,IF(S11="CON",Creator!$E$6,IF(S11="INT",Creator!$E$7,IF(S11="SAG",Creator!$E$8,IF(S11="CHA",Creator!$E$9,0))))))+Moteur!$B$6+Moteur!$R$4,IF(D11="ATTACK_SAVE",Creator!D53,IF(OR(D11="AOE_SAVE",D11="AOE_CONTROL",D11="CONTROL_SAVE",D11="CONTROL_SAVE_DMG"),Creator!D53,Creator!D53))))</x:f>
      </x:c>
      <x:c r="P11" t="str">
        <x:f>IF(C11="","",IF(D11="REGEN5","vitaliteSurnaturelle:"&amp;MAX(1,ROUND(Creator!$E$10*0.05,0)),IF(D11="REGEN10","vitaliteSurnaturelle:"&amp;MAX(1,ROUND(Creator!$E$10*0.10,0)),IFERROR(VLOOKUP($A11&amp;"|"&amp;$C11,Ref_Roll20!$E:$N,9,FALSE),""))))</x:f>
      </x:c>
      <x:c r="Q11" t="str">
        <x:f>IF(C11="","",TEXTJOIN("",TRUE,AQ11:BC11))</x:f>
      </x:c>
      <x:c r="R11" t="str">
        <x:f>IF(C11="","",Creator!G53)</x:f>
      </x:c>
      <x:c r="S11" t="str">
        <x:f>IF(C11="","",IFERROR(VLOOKUP(Creator!A53,Ref_Capacites!A:I,5,FALSE),""))</x:f>
      </x:c>
      <x:c r="T11" t="str">
        <x:f>IF(C11="","",IF(L11="Recharge 5-6"," --recharge 5 MC_CAP6",IF(L11="1/combat"," --limiteParCombat 1 MC_CAP6",IF(L11="1/tour"," --limiteParTour 1 MC_CAP6",""))))</x:f>
      </x:c>
      <x:c r="U11" t="str">
        <x:f>IF(J11="CONE"," --cone 90",IF(J11="LIGNE"," --ligne",IF(J11="DISQUE2"," --disque 2",IF(J11="DISQUE3"," --disque 3",""))))</x:f>
      </x:c>
      <x:c r="V11" t="str">
        <x:f>IF(F11="",""," --"&amp;F11)</x:f>
      </x:c>
      <x:c r="W11" t="str">
        <x:f>IF(M11="","",M11&amp;IF(N11=0,"",IF(N11&gt;0,"+"&amp;N11,N11)))</x:f>
      </x:c>
      <x:c r="X11" t="str">
        <x:f>IF(C11="","",IFERROR(VLOOKUP($A11&amp;"|"&amp;$C11,Ref_Roll20!$E:$N,10,FALSE),""))</x:f>
      </x:c>
      <x:c r="Y11" t="str">
        <x:f>IF(C11="","",C11&amp;" : "&amp;R11)</x:f>
      </x:c>
      <x:c r="AA11" t="str">
        <x:v>version</x:v>
      </x:c>
      <x:c r="AB11" t="str">
        <x:f>"5.05"</x:f>
        <x:v>5.05</x:v>
      </x:c>
      <x:c r="AC11" t="str">
        <x:f>""</x:f>
      </x:c>
      <x:c r="AD11" t="str">
        <x:f>IF(AB11="","",CHAR(123)&amp;CHAR(34)&amp;"name"&amp;CHAR(34)&amp;":"&amp;CHAR(34)&amp;AA11&amp;CHAR(34)&amp;","&amp;CHAR(34)&amp;"current"&amp;CHAR(34)&amp;":"&amp;CHAR(34)&amp;AB11&amp;""&amp;CHAR(34)&amp;","&amp;CHAR(34)&amp;"max"&amp;CHAR(34)&amp;":"&amp;CHAR(34)&amp;AC11&amp;""&amp;CHAR(34)&amp;CHAR(125))</x:f>
        <x:v>{"name":"version","current":"5.05","max":""}</x:v>
      </x:c>
      <x:c r="AF11" t="str">
        <x:f>IF($C$22="","","Attaque 1 - "&amp;$C$22)</x:f>
        <x:v>Attaque 1 - Attaque principale</x:v>
      </x:c>
      <x:c r="AG11" t="str">
        <x:f>$Q$22</x:f>
        <x:v>!cof-attack @{selected|token_id} @{target|token_id} 1 --tranchant</x:v>
      </x:c>
      <x:c r="AH11" t="str">
        <x:f>$R$22</x:f>
        <x:v>Contact · Toucher +7 · 2d12+5 Tranchant</x:v>
      </x:c>
      <x:c r="AI11" s="110" t="b">
        <x:v>0</x:v>
      </x:c>
      <x:c r="AJ11" t="str">
        <x:f>IF(OR(AF11="",AG11=""),"",CHAR(123)&amp;CHAR(34)&amp;"name"&amp;CHAR(34)&amp;":"&amp;CHAR(34)&amp;SUBSTITUTE(SUBSTITUTE(AF11,CHAR(92),CHAR(92)&amp;CHAR(92)),CHAR(34),CHAR(92)&amp;CHAR(34))&amp;CHAR(34)&amp;","&amp;CHAR(34)&amp;"description"&amp;CHAR(34)&amp;":"&amp;CHAR(34)&amp;SUBSTITUTE(SUBSTITUTE(SUBSTITUTE(SUBSTITUTE(AH11,CHAR(92),CHAR(92)&amp;CHAR(92)),CHAR(34),CHAR(92)&amp;CHAR(34)),CHAR(13),""),CHAR(10),CHAR(92)&amp;"n")&amp;CHAR(34)&amp;","&amp;CHAR(34)&amp;"action"&amp;CHAR(34)&amp;":"&amp;CHAR(34)&amp;SUBSTITUTE(SUBSTITUTE(SUBSTITUTE(SUBSTITUTE(AG11,CHAR(92),CHAR(92)&amp;CHAR(92)),CHAR(34),CHAR(92)&amp;CHAR(34)),CHAR(13),""),CHAR(10),CHAR(92)&amp;"n")&amp;CHAR(34)&amp;","&amp;CHAR(34)&amp;"istokenaction"&amp;CHAR(34)&amp;":false"&amp;CHAR(125))</x:f>
        <x:v>{"name":"Attaque 1 - Attaque principale","description":"Contact · Toucher +7 · 2d12+5 Tranchant","action":"!cof-attack @{selected|token_id} @{target|token_id} 1 --tranchant","istokenaction":false}</x:v>
      </x:c>
      <x:c r="AQ11" t="str">
        <x:f>IF(D11="ATTACK","!cof-attack @{selected|token_id} @{target|token_id} "&amp;C11&amp;" --toucher "&amp;O11&amp;" --dm "&amp;W11&amp;IF(K11&gt;0," --portee "&amp;K11,"")&amp;V11&amp;T11,"")</x:f>
      </x:c>
      <x:c r="AR11" t="str">
        <x:f>IF(D11="ATTACK_SAVE","!cof-attack @{selected|token_id} @{target|token_id} "&amp;C11&amp;" --auto --dm "&amp;W11&amp;IF(K11&gt;0," --portee "&amp;K11,"")&amp;V11&amp;" --psave "&amp;H11&amp;" "&amp;O11&amp;T11,"")</x:f>
      </x:c>
      <x:c r="AS11" t="str">
        <x:f>IF(D11="AOE_SAVE","!cof-attack @{selected|token_id} @{target|token_id} "&amp;C11&amp;" --auto --dm "&amp;W11&amp;IF(K11&gt;0," --portee "&amp;K11,"")&amp;V11&amp;U11&amp;" --psave "&amp;H11&amp;" "&amp;O11&amp;T11,"")</x:f>
      </x:c>
      <x:c r="AT11" t="str">
        <x:f>IF(D11="CONTROL_SAVE","!cof-attack @{selected|token_id} @{target|token_id} "&amp;C11&amp;" --auto --pasDeDmg"&amp;IF(K11&gt;0," --portee "&amp;K11,"")&amp;U11&amp;" --etat "&amp;G11&amp;" "&amp;H11&amp;" "&amp;O11&amp;" --save "&amp;H11&amp;" "&amp;O11&amp;T11,"")</x:f>
      </x:c>
      <x:c r="AU11" t="str">
        <x:f>IF(D11="CONTROL_SAVE_DMG","!cof-attack @{selected|token_id} @{target|token_id} "&amp;C11&amp;" --auto --dm "&amp;W11&amp;IF(K11&gt;0," --portee "&amp;K11,"")&amp;V11&amp;" --ifSaveFails "&amp;H11&amp;" "&amp;O11&amp;" --etat "&amp;G11&amp;" --else --diviseDmg 2 --endif"&amp;T11,"")</x:f>
      </x:c>
      <x:c r="AV11" t="str">
        <x:f>IF(D11="AOE_CONTROL",IF(M11="","!cof-attack @{selected|token_id} @{target|token_id} "&amp;C11&amp;" --auto --pasDeDmg"&amp;IF(K11&gt;0," --portee "&amp;K11,"")&amp;U11&amp;" --etat "&amp;G11&amp;" "&amp;H11&amp;" "&amp;O11&amp;" --save "&amp;H11&amp;" "&amp;O11&amp;T11,"!cof-attack @{selected|token_id} @{target|token_id} "&amp;C11&amp;" --auto --dm "&amp;W11&amp;IF(K11&gt;0," --portee "&amp;K11,"")&amp;V11&amp;U11&amp;" --ifSaveFails "&amp;H11&amp;" "&amp;O11&amp;" --etat "&amp;G11&amp;" --else --diviseDmg 2 --endif"&amp;T11),"")</x:f>
      </x:c>
      <x:c r="AW11" t="str">
        <x:f>IF(D11="CONTROL_OPPOSE","!cof-etat-oppose @{selected|token_id} @{target|token_id} "&amp;G11&amp;" "&amp;S11&amp;" "&amp;I11&amp;T11,"")</x:f>
      </x:c>
      <x:c r="AX11" t="str">
        <x:f>IF(D11="MANOEUVRE","!cof-manoeuvre @{selected|token_id} @{target|token_id} "&amp;X11,"")</x:f>
      </x:c>
      <x:c r="AY11" t="str">
        <x:f>IF(D11="TELEPORT","!cof-teleportation @{selected|token_id} "&amp;K11,"")</x:f>
      </x:c>
      <x:c r="AZ11" t="str">
        <x:f>IF(D11="HEAL10","!cof-soin @{selected|token_id} @{target|token_id} "&amp;MAX(1,ROUND(Creator!$E$10*0.10,0))&amp;T11,"")</x:f>
      </x:c>
      <x:c r="BA11" t="str">
        <x:f>IF(D11="HEAL20","!cof-soin @{selected|token_id} @{target|token_id} "&amp;MAX(1,ROUND(Creator!$E$10*0.20,0))&amp;T11,"")</x:f>
      </x:c>
      <x:c r="BB11" t="str">
        <x:f>IF(D11="SELF_STATE","!cof-set-state "&amp;G11&amp;" true --target @{selected|token_id}","")</x:f>
      </x:c>
      <x:c r="BC11" t="str">
        <x:f>IF(D11="MULTIATTACK","!cof-attack @{selected|token_id} @{target|token_id} 1"&amp;CHAR(10)&amp;"!cof-attack @{selected|token_id} @{target|token_id} 1","")</x:f>
      </x:c>
      <x:c r="BG11" t="str">
        <x:f>","&amp;CHAR(34)&amp;"movement"&amp;CHAR(34)&amp;":[{"&amp;CHAR(34)&amp;"value"&amp;CHAR(34)&amp;":"&amp;CHAR(34)&amp;Creator!E13&amp;CHAR(34)&amp;"}]"&amp;","&amp;CHAR(34)&amp;"flight"&amp;CHAR(34)&amp;":[{"&amp;CHAR(34)&amp;"value"&amp;CHAR(34)&amp;":"&amp;CHAR(34)&amp;Creator!E14&amp;CHAR(34)&amp;"}]"&amp;","&amp;CHAR(34)&amp;"swim"&amp;CHAR(34)&amp;":[{"&amp;CHAR(34)&amp;"value"&amp;CHAR(34)&amp;":"&amp;CHAR(34)&amp;Creator!E15&amp;CHAR(34)&amp;"}]"&amp;","&amp;CHAR(34)&amp;"climb"&amp;CHAR(34)&amp;":[{"&amp;CHAR(34)&amp;"value"&amp;CHAR(34)&amp;":"&amp;CHAR(34)&amp;Creator!E16&amp;CHAR(34)&amp;"}]"&amp;","&amp;CHAR(34)&amp;"burrow"&amp;CHAR(34)&amp;":[{"&amp;CHAR(34)&amp;"value"&amp;CHAR(34)&amp;":"&amp;CHAR(34)&amp;Creator!E17&amp;CHAR(34)&amp;"}]"&amp;","&amp;CHAR(34)&amp;"reach"&amp;CHAR(34)&amp;":[{"&amp;CHAR(34)&amp;"value"&amp;CHAR(34)&amp;":"&amp;CHAR(34)&amp;Creator!E18&amp;CHAR(34)&amp;"}]"</x:f>
        <x:v>,"movement":[{"value":"9"}],"flight":[{"value":"12"}],"swim":[{"value":"9"}],"climb":[{"value":"0"}],"burrow":[{"value":"0"}],"reach":[{"value":"2"}]</x:v>
      </x:c>
      <x:c r="BI11" t="str">
        <x:f>IF(OR(C11="",Q11=""),"",CHAR(123)&amp;CHAR(34)&amp;"name"&amp;CHAR(34)&amp;":"&amp;CHAR(34)&amp;SUBSTITUTE(SUBSTITUTE(SUBSTITUTE(SUBSTITUTE(C11,CHAR(92),CHAR(92)&amp;CHAR(92)),CHAR(34),CHAR(92)&amp;CHAR(34)),CHAR(13),""),CHAR(10),CHAR(92)&amp;"n")&amp;CHAR(34)&amp;","&amp;CHAR(34)&amp;"command"&amp;CHAR(34)&amp;":"&amp;CHAR(34)&amp;SUBSTITUTE(SUBSTITUTE(SUBSTITUTE(SUBSTITUTE(Q11,CHAR(92),CHAR(92)&amp;CHAR(92)),CHAR(34),CHAR(92)&amp;CHAR(34)),CHAR(13),""),CHAR(10),CHAR(92)&amp;"n")&amp;CHAR(34)&amp;","&amp;CHAR(34)&amp;"description"&amp;CHAR(34)&amp;":"&amp;CHAR(34)&amp;SUBSTITUTE(SUBSTITUTE(SUBSTITUTE(SUBSTITUTE(R11,CHAR(92),CHAR(92)&amp;CHAR(92)),CHAR(34),CHAR(92)&amp;CHAR(34)),CHAR(13),""),CHAR(10),CHAR(92)&amp;"n")&amp;CHAR(34)&amp;CHAR(125))</x:f>
      </x:c>
      <x:c r="BL11" t="str">
        <x:f>SUBSTITUTE(SUBSTITUTE(SUBSTITUTE(SUBSTITUTE(Creator!E25,CHAR(92),CHAR(92)&amp;CHAR(92)),CHAR(34),CHAR(92)&amp;CHAR(34)),CHAR(13),""),CHAR(10),CHAR(92)&amp;"n")</x:f>
        <x:v>R Tranchant; R Perforant; S Feu; FM Eau</x:v>
      </x:c>
      <x:c r="BM11" t="str">
        <x:v>Affinités</x:v>
      </x:c>
    </x:row>
    <x:row r="12">
      <x:c r="A12" t="str">
        <x:v>Capacité</x:v>
      </x:c>
      <x:c r="B12" t="n">
        <x:v>7</x:v>
      </x:c>
      <x:c r="C12" t="n">
        <x:f>Creator!A54</x:f>
        <x:v>0</x:v>
      </x:c>
      <x:c r="D12" t="str">
        <x:f>IF(C12="","",IFERROR(VLOOKUP($A12&amp;"|"&amp;$C12,Ref_Roll20!$E:$N,2,FALSE),"DESCRIPTIF"))</x:f>
      </x:c>
      <x:c r="E12" t="str">
        <x:f>IF(C12="","",IFERROR(VLOOKUP($A12&amp;"|"&amp;$C12,Ref_Roll20!$E:$N,3,FALSE),""))</x:f>
      </x:c>
      <x:c r="F12" t="str">
        <x:f>IF(C12="","",IF(E12="ELEMENT",IF(Creator!$B$16="","",VLOOKUP(Creator!$B$16,Ref_Roll20!$A:$C,2,FALSE)),IF(E12="ATTAQUE1",IF(Creator!$B$39="","",VLOOKUP(Creator!$B$39,Ref_Roll20!$A:$C,2,FALSE)),IF(E12="","",IFERROR(VLOOKUP(E12,Ref_Roll20!$A:$C,2,FALSE),"")))))</x:f>
      </x:c>
      <x:c r="G12" t="str">
        <x:f>IF(C12="","",IFERROR(VLOOKUP($A12&amp;"|"&amp;$C12,Ref_Roll20!$E:$N,4,FALSE),""))</x:f>
      </x:c>
      <x:c r="H12" t="str">
        <x:f>IF(C12="","",IFERROR(VLOOKUP($A12&amp;"|"&amp;$C12,Ref_Roll20!$E:$N,5,FALSE),""))</x:f>
      </x:c>
      <x:c r="I12" t="str">
        <x:f>IF(C12="","",IFERROR(VLOOKUP($A12&amp;"|"&amp;$C12,Ref_Roll20!$E:$N,6,FALSE),""))</x:f>
      </x:c>
      <x:c r="J12" t="str">
        <x:f>IF(C12="","",IFERROR(VLOOKUP($A12&amp;"|"&amp;$C12,Ref_Roll20!$E:$N,7,FALSE),""))</x:f>
      </x:c>
      <x:c r="K12" t="str">
        <x:f>IF(C12="","",IFERROR(VLOOKUP($A12&amp;"|"&amp;$C12,Ref_Roll20!$E:$N,8,FALSE),0))</x:f>
      </x:c>
      <x:c r="L12" t="str">
        <x:f>IF(C12="","",Creator!C54)</x:f>
      </x:c>
      <x:c r="M12" t="str">
        <x:f>IF(C12="","",Creator!E54)</x:f>
      </x:c>
      <x:c r="N12" t="str">
        <x:f>IF(C12="","",IF(S12="",0,IF(S12="FOR",Creator!$E$4,IF(S12="DEX",Creator!$E$5,IF(S12="CON",Creator!$E$6,IF(S12="INT",Creator!$E$7,IF(S12="SAG",Creator!$E$8,IF(S12="CHA",Creator!$E$9,0))))))))</x:f>
      </x:c>
      <x:c r="O12" t="str">
        <x:f>IF(C12="","",IF(D12="ATTACK",IF(S12="FOR",Creator!$E$4,IF(S12="DEX",Creator!$E$5,IF(S12="CON",Creator!$E$6,IF(S12="INT",Creator!$E$7,IF(S12="SAG",Creator!$E$8,IF(S12="CHA",Creator!$E$9,0))))))+Moteur!$B$6+Moteur!$R$4,IF(D12="ATTACK_SAVE",Creator!D54,IF(OR(D12="AOE_SAVE",D12="AOE_CONTROL",D12="CONTROL_SAVE",D12="CONTROL_SAVE_DMG"),Creator!D54,Creator!D54))))</x:f>
      </x:c>
      <x:c r="P12" t="str">
        <x:f>IF(C12="","",IF(D12="REGEN5","vitaliteSurnaturelle:"&amp;MAX(1,ROUND(Creator!$E$10*0.05,0)),IF(D12="REGEN10","vitaliteSurnaturelle:"&amp;MAX(1,ROUND(Creator!$E$10*0.10,0)),IFERROR(VLOOKUP($A12&amp;"|"&amp;$C12,Ref_Roll20!$E:$N,9,FALSE),""))))</x:f>
      </x:c>
      <x:c r="Q12" t="str">
        <x:f>IF(C12="","",TEXTJOIN("",TRUE,AQ12:BC12))</x:f>
      </x:c>
      <x:c r="R12" t="str">
        <x:f>IF(C12="","",Creator!G54)</x:f>
      </x:c>
      <x:c r="S12" t="str">
        <x:f>IF(C12="","",IFERROR(VLOOKUP(Creator!A54,Ref_Capacites!A:I,5,FALSE),""))</x:f>
      </x:c>
      <x:c r="T12" t="str">
        <x:f>IF(C12="","",IF(L12="Recharge 5-6"," --recharge 5 MC_CAP7",IF(L12="1/combat"," --limiteParCombat 1 MC_CAP7",IF(L12="1/tour"," --limiteParTour 1 MC_CAP7",""))))</x:f>
      </x:c>
      <x:c r="U12" t="str">
        <x:f>IF(J12="CONE"," --cone 90",IF(J12="LIGNE"," --ligne",IF(J12="DISQUE2"," --disque 2",IF(J12="DISQUE3"," --disque 3",""))))</x:f>
      </x:c>
      <x:c r="V12" t="str">
        <x:f>IF(F12="",""," --"&amp;F12)</x:f>
      </x:c>
      <x:c r="W12" t="str">
        <x:f>IF(M12="","",M12&amp;IF(N12=0,"",IF(N12&gt;0,"+"&amp;N12,N12)))</x:f>
      </x:c>
      <x:c r="X12" t="str">
        <x:f>IF(C12="","",IFERROR(VLOOKUP($A12&amp;"|"&amp;$C12,Ref_Roll20!$E:$N,10,FALSE),""))</x:f>
      </x:c>
      <x:c r="Y12" t="str">
        <x:f>IF(C12="","",C12&amp;" : "&amp;R12)</x:f>
      </x:c>
      <x:c r="AA12" t="str">
        <x:v>type_personnage</x:v>
      </x:c>
      <x:c r="AB12" t="str">
        <x:f>"PNJ"</x:f>
        <x:v>PNJ</x:v>
      </x:c>
      <x:c r="AC12" t="str">
        <x:f>""</x:f>
      </x:c>
      <x:c r="AD12" t="str">
        <x:f>IF(AB12="","",CHAR(123)&amp;CHAR(34)&amp;"name"&amp;CHAR(34)&amp;":"&amp;CHAR(34)&amp;AA12&amp;CHAR(34)&amp;","&amp;CHAR(34)&amp;"current"&amp;CHAR(34)&amp;":"&amp;CHAR(34)&amp;AB12&amp;""&amp;CHAR(34)&amp;","&amp;CHAR(34)&amp;"max"&amp;CHAR(34)&amp;":"&amp;CHAR(34)&amp;AC12&amp;""&amp;CHAR(34)&amp;CHAR(125))</x:f>
        <x:v>{"name":"type_personnage","current":"PNJ","max":""}</x:v>
      </x:c>
      <x:c r="AF12" t="str">
        <x:f>IF($C$23="","","Attaque 2 - "&amp;$C$23)</x:f>
        <x:v>Attaque 2 - Attaque secondaire</x:v>
      </x:c>
      <x:c r="AG12" t="str">
        <x:f>$Q$23</x:f>
        <x:v>!cof-attack @{selected|token_id} @{target|token_id} 2 --percant</x:v>
      </x:c>
      <x:c r="AH12" t="str">
        <x:f>$R$23</x:f>
        <x:v>Courte · Toucher +5 · 2d12+3 Perforant</x:v>
      </x:c>
      <x:c r="AI12" s="110" t="b">
        <x:v>0</x:v>
      </x:c>
      <x:c r="AJ12" t="str">
        <x:f>IF(OR(AF12="",AG12=""),"",CHAR(123)&amp;CHAR(34)&amp;"name"&amp;CHAR(34)&amp;":"&amp;CHAR(34)&amp;SUBSTITUTE(SUBSTITUTE(AF12,CHAR(92),CHAR(92)&amp;CHAR(92)),CHAR(34),CHAR(92)&amp;CHAR(34))&amp;CHAR(34)&amp;","&amp;CHAR(34)&amp;"description"&amp;CHAR(34)&amp;":"&amp;CHAR(34)&amp;SUBSTITUTE(SUBSTITUTE(SUBSTITUTE(SUBSTITUTE(AH12,CHAR(92),CHAR(92)&amp;CHAR(92)),CHAR(34),CHAR(92)&amp;CHAR(34)),CHAR(13),""),CHAR(10),CHAR(92)&amp;"n")&amp;CHAR(34)&amp;","&amp;CHAR(34)&amp;"action"&amp;CHAR(34)&amp;":"&amp;CHAR(34)&amp;SUBSTITUTE(SUBSTITUTE(SUBSTITUTE(SUBSTITUTE(AG12,CHAR(92),CHAR(92)&amp;CHAR(92)),CHAR(34),CHAR(92)&amp;CHAR(34)),CHAR(13),""),CHAR(10),CHAR(92)&amp;"n")&amp;CHAR(34)&amp;","&amp;CHAR(34)&amp;"istokenaction"&amp;CHAR(34)&amp;":false"&amp;CHAR(125))</x:f>
        <x:v>{"name":"Attaque 2 - Attaque secondaire","description":"Courte · Toucher +5 · 2d12+3 Perforant","action":"!cof-attack @{selected|token_id} @{target|token_id} 2 --percant","istokenaction":false}</x:v>
      </x:c>
      <x:c r="AQ12" t="str">
        <x:f>IF(D12="ATTACK","!cof-attack @{selected|token_id} @{target|token_id} "&amp;C12&amp;" --toucher "&amp;O12&amp;" --dm "&amp;W12&amp;IF(K12&gt;0," --portee "&amp;K12,"")&amp;V12&amp;T12,"")</x:f>
      </x:c>
      <x:c r="AR12" t="str">
        <x:f>IF(D12="ATTACK_SAVE","!cof-attack @{selected|token_id} @{target|token_id} "&amp;C12&amp;" --auto --dm "&amp;W12&amp;IF(K12&gt;0," --portee "&amp;K12,"")&amp;V12&amp;" --psave "&amp;H12&amp;" "&amp;O12&amp;T12,"")</x:f>
      </x:c>
      <x:c r="AS12" t="str">
        <x:f>IF(D12="AOE_SAVE","!cof-attack @{selected|token_id} @{target|token_id} "&amp;C12&amp;" --auto --dm "&amp;W12&amp;IF(K12&gt;0," --portee "&amp;K12,"")&amp;V12&amp;U12&amp;" --psave "&amp;H12&amp;" "&amp;O12&amp;T12,"")</x:f>
      </x:c>
      <x:c r="AT12" t="str">
        <x:f>IF(D12="CONTROL_SAVE","!cof-attack @{selected|token_id} @{target|token_id} "&amp;C12&amp;" --auto --pasDeDmg"&amp;IF(K12&gt;0," --portee "&amp;K12,"")&amp;U12&amp;" --etat "&amp;G12&amp;" "&amp;H12&amp;" "&amp;O12&amp;" --save "&amp;H12&amp;" "&amp;O12&amp;T12,"")</x:f>
      </x:c>
      <x:c r="AU12" t="str">
        <x:f>IF(D12="CONTROL_SAVE_DMG","!cof-attack @{selected|token_id} @{target|token_id} "&amp;C12&amp;" --auto --dm "&amp;W12&amp;IF(K12&gt;0," --portee "&amp;K12,"")&amp;V12&amp;" --ifSaveFails "&amp;H12&amp;" "&amp;O12&amp;" --etat "&amp;G12&amp;" --else --diviseDmg 2 --endif"&amp;T12,"")</x:f>
      </x:c>
      <x:c r="AV12" t="str">
        <x:f>IF(D12="AOE_CONTROL",IF(M12="","!cof-attack @{selected|token_id} @{target|token_id} "&amp;C12&amp;" --auto --pasDeDmg"&amp;IF(K12&gt;0," --portee "&amp;K12,"")&amp;U12&amp;" --etat "&amp;G12&amp;" "&amp;H12&amp;" "&amp;O12&amp;" --save "&amp;H12&amp;" "&amp;O12&amp;T12,"!cof-attack @{selected|token_id} @{target|token_id} "&amp;C12&amp;" --auto --dm "&amp;W12&amp;IF(K12&gt;0," --portee "&amp;K12,"")&amp;V12&amp;U12&amp;" --ifSaveFails "&amp;H12&amp;" "&amp;O12&amp;" --etat "&amp;G12&amp;" --else --diviseDmg 2 --endif"&amp;T12),"")</x:f>
      </x:c>
      <x:c r="AW12" t="str">
        <x:f>IF(D12="CONTROL_OPPOSE","!cof-etat-oppose @{selected|token_id} @{target|token_id} "&amp;G12&amp;" "&amp;S12&amp;" "&amp;I12&amp;T12,"")</x:f>
      </x:c>
      <x:c r="AX12" t="str">
        <x:f>IF(D12="MANOEUVRE","!cof-manoeuvre @{selected|token_id} @{target|token_id} "&amp;X12,"")</x:f>
      </x:c>
      <x:c r="AY12" t="str">
        <x:f>IF(D12="TELEPORT","!cof-teleportation @{selected|token_id} "&amp;K12,"")</x:f>
      </x:c>
      <x:c r="AZ12" t="str">
        <x:f>IF(D12="HEAL10","!cof-soin @{selected|token_id} @{target|token_id} "&amp;MAX(1,ROUND(Creator!$E$10*0.10,0))&amp;T12,"")</x:f>
      </x:c>
      <x:c r="BA12" t="str">
        <x:f>IF(D12="HEAL20","!cof-soin @{selected|token_id} @{target|token_id} "&amp;MAX(1,ROUND(Creator!$E$10*0.20,0))&amp;T12,"")</x:f>
      </x:c>
      <x:c r="BB12" t="str">
        <x:f>IF(D12="SELF_STATE","!cof-set-state "&amp;G12&amp;" true --target @{selected|token_id}","")</x:f>
      </x:c>
      <x:c r="BC12" t="str">
        <x:f>IF(D12="MULTIATTACK","!cof-attack @{selected|token_id} @{target|token_id} 1"&amp;CHAR(10)&amp;"!cof-attack @{selected|token_id} @{target|token_id} 1","")</x:f>
      </x:c>
      <x:c r="BG12" t="str">
        <x:f>","&amp;CHAR(34)&amp;"predicates"&amp;CHAR(34)&amp;":"&amp;IF(BK2="","[]","[{"&amp;CHAR(34)&amp;"value"&amp;CHAR(34)&amp;":"&amp;CHAR(34)&amp;BK2&amp;CHAR(34)&amp;"}]")&amp;","&amp;CHAR(34)&amp;"cof_actions"&amp;CHAR(34)&amp;":"&amp;IF(BJ2="","[]","["&amp;BJ2&amp;"]")</x:f>
        <x:v>,"predicates":[{"value":"resistanceA_tranchant resistanceA_percant absorptionA_feu faiblesseMajeureA_eau"}],"cof_actions":[{"name":"Souffle élémentaire","command":"!cof-attack @{selected|token_id} @{target|token_id} Souffle élémentaire --auto --dm 2d12+1 --portee 15 --feu --cone 90 --psave DEX 13 --recharge 5 MC_SIG1","description":"Élément associé ; moitié sur réussite"}]</x:v>
      </x:c>
      <x:c r="BI12" t="str">
        <x:f>IF(OR(C12="",Q12=""),"",CHAR(123)&amp;CHAR(34)&amp;"name"&amp;CHAR(34)&amp;":"&amp;CHAR(34)&amp;SUBSTITUTE(SUBSTITUTE(SUBSTITUTE(SUBSTITUTE(C12,CHAR(92),CHAR(92)&amp;CHAR(92)),CHAR(34),CHAR(92)&amp;CHAR(34)),CHAR(13),""),CHAR(10),CHAR(92)&amp;"n")&amp;CHAR(34)&amp;","&amp;CHAR(34)&amp;"command"&amp;CHAR(34)&amp;":"&amp;CHAR(34)&amp;SUBSTITUTE(SUBSTITUTE(SUBSTITUTE(SUBSTITUTE(Q12,CHAR(92),CHAR(92)&amp;CHAR(92)),CHAR(34),CHAR(92)&amp;CHAR(34)),CHAR(13),""),CHAR(10),CHAR(92)&amp;"n")&amp;CHAR(34)&amp;","&amp;CHAR(34)&amp;"description"&amp;CHAR(34)&amp;":"&amp;CHAR(34)&amp;SUBSTITUTE(SUBSTITUTE(SUBSTITUTE(SUBSTITUTE(R12,CHAR(92),CHAR(92)&amp;CHAR(92)),CHAR(34),CHAR(92)&amp;CHAR(34)),CHAR(13),""),CHAR(10),CHAR(92)&amp;"n")&amp;CHAR(34)&amp;CHAR(125))</x:f>
      </x:c>
      <x:c r="BL12" t="str">
        <x:f>SUBSTITUTE(SUBSTITUTE(SUBSTITUTE(SUBSTITUTE(Creator!B18,CHAR(92),CHAR(92)&amp;CHAR(92)),CHAR(34),CHAR(92)&amp;CHAR(34)),CHAR(13),""),CHAR(10),CHAR(92)&amp;"n")</x:f>
      </x:c>
      <x:c r="BM12" t="str">
        <x:v>Avatar URL</x:v>
      </x:c>
    </x:row>
    <x:row r="13">
      <x:c r="A13" t="str">
        <x:v>Capacité</x:v>
      </x:c>
      <x:c r="B13" t="n">
        <x:v>8</x:v>
      </x:c>
      <x:c r="C13" t="n">
        <x:f>Creator!A55</x:f>
        <x:v>0</x:v>
      </x:c>
      <x:c r="D13" t="str">
        <x:f>IF(C13="","",IFERROR(VLOOKUP($A13&amp;"|"&amp;$C13,Ref_Roll20!$E:$N,2,FALSE),"DESCRIPTIF"))</x:f>
      </x:c>
      <x:c r="E13" t="str">
        <x:f>IF(C13="","",IFERROR(VLOOKUP($A13&amp;"|"&amp;$C13,Ref_Roll20!$E:$N,3,FALSE),""))</x:f>
      </x:c>
      <x:c r="F13" t="str">
        <x:f>IF(C13="","",IF(E13="ELEMENT",IF(Creator!$B$16="","",VLOOKUP(Creator!$B$16,Ref_Roll20!$A:$C,2,FALSE)),IF(E13="ATTAQUE1",IF(Creator!$B$39="","",VLOOKUP(Creator!$B$39,Ref_Roll20!$A:$C,2,FALSE)),IF(E13="","",IFERROR(VLOOKUP(E13,Ref_Roll20!$A:$C,2,FALSE),"")))))</x:f>
      </x:c>
      <x:c r="G13" t="str">
        <x:f>IF(C13="","",IFERROR(VLOOKUP($A13&amp;"|"&amp;$C13,Ref_Roll20!$E:$N,4,FALSE),""))</x:f>
      </x:c>
      <x:c r="H13" t="str">
        <x:f>IF(C13="","",IFERROR(VLOOKUP($A13&amp;"|"&amp;$C13,Ref_Roll20!$E:$N,5,FALSE),""))</x:f>
      </x:c>
      <x:c r="I13" t="str">
        <x:f>IF(C13="","",IFERROR(VLOOKUP($A13&amp;"|"&amp;$C13,Ref_Roll20!$E:$N,6,FALSE),""))</x:f>
      </x:c>
      <x:c r="J13" t="str">
        <x:f>IF(C13="","",IFERROR(VLOOKUP($A13&amp;"|"&amp;$C13,Ref_Roll20!$E:$N,7,FALSE),""))</x:f>
      </x:c>
      <x:c r="K13" t="str">
        <x:f>IF(C13="","",IFERROR(VLOOKUP($A13&amp;"|"&amp;$C13,Ref_Roll20!$E:$N,8,FALSE),0))</x:f>
      </x:c>
      <x:c r="L13" t="str">
        <x:f>IF(C13="","",Creator!C55)</x:f>
      </x:c>
      <x:c r="M13" t="str">
        <x:f>IF(C13="","",Creator!E55)</x:f>
      </x:c>
      <x:c r="N13" t="str">
        <x:f>IF(C13="","",IF(S13="",0,IF(S13="FOR",Creator!$E$4,IF(S13="DEX",Creator!$E$5,IF(S13="CON",Creator!$E$6,IF(S13="INT",Creator!$E$7,IF(S13="SAG",Creator!$E$8,IF(S13="CHA",Creator!$E$9,0))))))))</x:f>
      </x:c>
      <x:c r="O13" t="str">
        <x:f>IF(C13="","",IF(D13="ATTACK",IF(S13="FOR",Creator!$E$4,IF(S13="DEX",Creator!$E$5,IF(S13="CON",Creator!$E$6,IF(S13="INT",Creator!$E$7,IF(S13="SAG",Creator!$E$8,IF(S13="CHA",Creator!$E$9,0))))))+Moteur!$B$6+Moteur!$R$4,IF(D13="ATTACK_SAVE",Creator!D55,IF(OR(D13="AOE_SAVE",D13="AOE_CONTROL",D13="CONTROL_SAVE",D13="CONTROL_SAVE_DMG"),Creator!D55,Creator!D55))))</x:f>
      </x:c>
      <x:c r="P13" t="str">
        <x:f>IF(C13="","",IF(D13="REGEN5","vitaliteSurnaturelle:"&amp;MAX(1,ROUND(Creator!$E$10*0.05,0)),IF(D13="REGEN10","vitaliteSurnaturelle:"&amp;MAX(1,ROUND(Creator!$E$10*0.10,0)),IFERROR(VLOOKUP($A13&amp;"|"&amp;$C13,Ref_Roll20!$E:$N,9,FALSE),""))))</x:f>
      </x:c>
      <x:c r="Q13" t="str">
        <x:f>IF(C13="","",TEXTJOIN("",TRUE,AQ13:BC13))</x:f>
      </x:c>
      <x:c r="R13" t="str">
        <x:f>IF(C13="","",Creator!G55)</x:f>
      </x:c>
      <x:c r="S13" t="str">
        <x:f>IF(C13="","",IFERROR(VLOOKUP(Creator!A55,Ref_Capacites!A:I,5,FALSE),""))</x:f>
      </x:c>
      <x:c r="T13" t="str">
        <x:f>IF(C13="","",IF(L13="Recharge 5-6"," --recharge 5 MC_CAP8",IF(L13="1/combat"," --limiteParCombat 1 MC_CAP8",IF(L13="1/tour"," --limiteParTour 1 MC_CAP8",""))))</x:f>
      </x:c>
      <x:c r="U13" t="str">
        <x:f>IF(J13="CONE"," --cone 90",IF(J13="LIGNE"," --ligne",IF(J13="DISQUE2"," --disque 2",IF(J13="DISQUE3"," --disque 3",""))))</x:f>
      </x:c>
      <x:c r="V13" t="str">
        <x:f>IF(F13="",""," --"&amp;F13)</x:f>
      </x:c>
      <x:c r="W13" t="str">
        <x:f>IF(M13="","",M13&amp;IF(N13=0,"",IF(N13&gt;0,"+"&amp;N13,N13)))</x:f>
      </x:c>
      <x:c r="X13" t="str">
        <x:f>IF(C13="","",IFERROR(VLOOKUP($A13&amp;"|"&amp;$C13,Ref_Roll20!$E:$N,10,FALSE),""))</x:f>
      </x:c>
      <x:c r="Y13" t="str">
        <x:f>IF(C13="","",C13&amp;" : "&amp;R13)</x:f>
      </x:c>
      <x:c r="AA13" t="str">
        <x:v>character_name</x:v>
      </x:c>
      <x:c r="AB13" t="str">
        <x:f>Creator!B4</x:f>
        <x:v>Créature exemple</x:v>
      </x:c>
      <x:c r="AC13" t="str">
        <x:f>""</x:f>
      </x:c>
      <x:c r="AD13" t="str">
        <x:f>IF(AB13="","",CHAR(123)&amp;CHAR(34)&amp;"name"&amp;CHAR(34)&amp;":"&amp;CHAR(34)&amp;AA13&amp;CHAR(34)&amp;","&amp;CHAR(34)&amp;"current"&amp;CHAR(34)&amp;":"&amp;CHAR(34)&amp;SUBSTITUTE(SUBSTITUTE(SUBSTITUTE(SUBSTITUTE(AB13,CHAR(92),CHAR(92)&amp;CHAR(92)),CHAR(34),CHAR(92)&amp;CHAR(34)),CHAR(13),""),CHAR(10),CHAR(92)&amp;"n")&amp;CHAR(34)&amp;","&amp;CHAR(34)&amp;"max"&amp;CHAR(34)&amp;":"&amp;CHAR(34)&amp;AC13&amp;""&amp;CHAR(34)&amp;CHAR(125))</x:f>
        <x:v>{"name":"character_name","current":"Créature exemple","max":""}</x:v>
      </x:c>
      <x:c r="AF13" t="str">
        <x:f>IF($C$24="","","Attaque 3 - "&amp;$C$24)</x:f>
      </x:c>
      <x:c r="AG13" t="n">
        <x:f>$Q$24</x:f>
        <x:v>0</x:v>
      </x:c>
      <x:c r="AH13" t="n">
        <x:f>$R$24</x:f>
        <x:v>0</x:v>
      </x:c>
      <x:c r="AI13" s="110" t="b">
        <x:v>0</x:v>
      </x:c>
      <x:c r="AJ13" t="str">
        <x:f>IF(OR(AF13="",AG13=""),"",CHAR(123)&amp;CHAR(34)&amp;"name"&amp;CHAR(34)&amp;":"&amp;CHAR(34)&amp;SUBSTITUTE(SUBSTITUTE(AF13,CHAR(92),CHAR(92)&amp;CHAR(92)),CHAR(34),CHAR(92)&amp;CHAR(34))&amp;CHAR(34)&amp;","&amp;CHAR(34)&amp;"description"&amp;CHAR(34)&amp;":"&amp;CHAR(34)&amp;SUBSTITUTE(SUBSTITUTE(SUBSTITUTE(SUBSTITUTE(AH13,CHAR(92),CHAR(92)&amp;CHAR(92)),CHAR(34),CHAR(92)&amp;CHAR(34)),CHAR(13),""),CHAR(10),CHAR(92)&amp;"n")&amp;CHAR(34)&amp;","&amp;CHAR(34)&amp;"action"&amp;CHAR(34)&amp;":"&amp;CHAR(34)&amp;SUBSTITUTE(SUBSTITUTE(SUBSTITUTE(SUBSTITUTE(AG13,CHAR(92),CHAR(92)&amp;CHAR(92)),CHAR(34),CHAR(92)&amp;CHAR(34)),CHAR(13),""),CHAR(10),CHAR(92)&amp;"n")&amp;CHAR(34)&amp;","&amp;CHAR(34)&amp;"istokenaction"&amp;CHAR(34)&amp;":false"&amp;CHAR(125))</x:f>
      </x:c>
      <x:c r="AQ13" t="str">
        <x:f>IF(D13="ATTACK","!cof-attack @{selected|token_id} @{target|token_id} "&amp;C13&amp;" --toucher "&amp;O13&amp;" --dm "&amp;W13&amp;IF(K13&gt;0," --portee "&amp;K13,"")&amp;V13&amp;T13,"")</x:f>
      </x:c>
      <x:c r="AR13" t="str">
        <x:f>IF(D13="ATTACK_SAVE","!cof-attack @{selected|token_id} @{target|token_id} "&amp;C13&amp;" --auto --dm "&amp;W13&amp;IF(K13&gt;0," --portee "&amp;K13,"")&amp;V13&amp;" --psave "&amp;H13&amp;" "&amp;O13&amp;T13,"")</x:f>
      </x:c>
      <x:c r="AS13" t="str">
        <x:f>IF(D13="AOE_SAVE","!cof-attack @{selected|token_id} @{target|token_id} "&amp;C13&amp;" --auto --dm "&amp;W13&amp;IF(K13&gt;0," --portee "&amp;K13,"")&amp;V13&amp;U13&amp;" --psave "&amp;H13&amp;" "&amp;O13&amp;T13,"")</x:f>
      </x:c>
      <x:c r="AT13" t="str">
        <x:f>IF(D13="CONTROL_SAVE","!cof-attack @{selected|token_id} @{target|token_id} "&amp;C13&amp;" --auto --pasDeDmg"&amp;IF(K13&gt;0," --portee "&amp;K13,"")&amp;U13&amp;" --etat "&amp;G13&amp;" "&amp;H13&amp;" "&amp;O13&amp;" --save "&amp;H13&amp;" "&amp;O13&amp;T13,"")</x:f>
      </x:c>
      <x:c r="AU13" t="str">
        <x:f>IF(D13="CONTROL_SAVE_DMG","!cof-attack @{selected|token_id} @{target|token_id} "&amp;C13&amp;" --auto --dm "&amp;W13&amp;IF(K13&gt;0," --portee "&amp;K13,"")&amp;V13&amp;" --ifSaveFails "&amp;H13&amp;" "&amp;O13&amp;" --etat "&amp;G13&amp;" --else --diviseDmg 2 --endif"&amp;T13,"")</x:f>
      </x:c>
      <x:c r="AV13" t="str">
        <x:f>IF(D13="AOE_CONTROL",IF(M13="","!cof-attack @{selected|token_id} @{target|token_id} "&amp;C13&amp;" --auto --pasDeDmg"&amp;IF(K13&gt;0," --portee "&amp;K13,"")&amp;U13&amp;" --etat "&amp;G13&amp;" "&amp;H13&amp;" "&amp;O13&amp;" --save "&amp;H13&amp;" "&amp;O13&amp;T13,"!cof-attack @{selected|token_id} @{target|token_id} "&amp;C13&amp;" --auto --dm "&amp;W13&amp;IF(K13&gt;0," --portee "&amp;K13,"")&amp;V13&amp;U13&amp;" --ifSaveFails "&amp;H13&amp;" "&amp;O13&amp;" --etat "&amp;G13&amp;" --else --diviseDmg 2 --endif"&amp;T13),"")</x:f>
      </x:c>
      <x:c r="AW13" t="str">
        <x:f>IF(D13="CONTROL_OPPOSE","!cof-etat-oppose @{selected|token_id} @{target|token_id} "&amp;G13&amp;" "&amp;S13&amp;" "&amp;I13&amp;T13,"")</x:f>
      </x:c>
      <x:c r="AX13" t="str">
        <x:f>IF(D13="MANOEUVRE","!cof-manoeuvre @{selected|token_id} @{target|token_id} "&amp;X13,"")</x:f>
      </x:c>
      <x:c r="AY13" t="str">
        <x:f>IF(D13="TELEPORT","!cof-teleportation @{selected|token_id} "&amp;K13,"")</x:f>
      </x:c>
      <x:c r="AZ13" t="str">
        <x:f>IF(D13="HEAL10","!cof-soin @{selected|token_id} @{target|token_id} "&amp;MAX(1,ROUND(Creator!$E$10*0.10,0))&amp;T13,"")</x:f>
      </x:c>
      <x:c r="BA13" t="str">
        <x:f>IF(D13="HEAL20","!cof-soin @{selected|token_id} @{target|token_id} "&amp;MAX(1,ROUND(Creator!$E$10*0.20,0))&amp;T13,"")</x:f>
      </x:c>
      <x:c r="BB13" t="str">
        <x:f>IF(D13="SELF_STATE","!cof-set-state "&amp;G13&amp;" true --target @{selected|token_id}","")</x:f>
      </x:c>
      <x:c r="BC13" t="str">
        <x:f>IF(D13="MULTIATTACK","!cof-attack @{selected|token_id} @{target|token_id} 1"&amp;CHAR(10)&amp;"!cof-attack @{selected|token_id} @{target|token_id} 1","")</x:f>
      </x:c>
      <x:c r="BG13" t="str">
        <x:f>","&amp;CHAR(34)&amp;"subfamily"&amp;CHAR(34)&amp;":[{"&amp;CHAR(34)&amp;"value"&amp;CHAR(34)&amp;":"&amp;CHAR(34)&amp;BL2&amp;CHAR(34)&amp;"}]"&amp;","&amp;CHAR(34)&amp;"major_archetype"&amp;CHAR(34)&amp;":[{"&amp;CHAR(34)&amp;"value"&amp;CHAR(34)&amp;":"&amp;CHAR(34)&amp;BL3&amp;CHAR(34)&amp;"}]"&amp;","&amp;CHAR(34)&amp;"physical_archetype"&amp;CHAR(34)&amp;":[{"&amp;CHAR(34)&amp;"value"&amp;CHAR(34)&amp;":"&amp;CHAR(34)&amp;BL4&amp;CHAR(34)&amp;"}]"&amp;","&amp;CHAR(34)&amp;"mental_archetype"&amp;CHAR(34)&amp;":[{"&amp;CHAR(34)&amp;"value"&amp;CHAR(34)&amp;":"&amp;CHAR(34)&amp;BL5&amp;CHAR(34)&amp;"}]"&amp;","&amp;CHAR(34)&amp;"minor_archetype"&amp;CHAR(34)&amp;":[{"&amp;CHAR(34)&amp;"value"&amp;CHAR(34)&amp;":"&amp;CHAR(34)&amp;BL6&amp;CHAR(34)&amp;"}]"</x:f>
        <x:v>,"subfamily":[{"value":"Dragon élémentaire"}],"major_archetype":[{"value":"Martial"}],"physical_archetype":[{"value":"Ravageur"}],"mental_archetype":[{"value":"Mystique"}],"minor_archetype":[{"value":"Prudent"}]</x:v>
      </x:c>
      <x:c r="BI13" t="str">
        <x:f>IF(OR(C13="",Q13=""),"",CHAR(123)&amp;CHAR(34)&amp;"name"&amp;CHAR(34)&amp;":"&amp;CHAR(34)&amp;SUBSTITUTE(SUBSTITUTE(SUBSTITUTE(SUBSTITUTE(C13,CHAR(92),CHAR(92)&amp;CHAR(92)),CHAR(34),CHAR(92)&amp;CHAR(34)),CHAR(13),""),CHAR(10),CHAR(92)&amp;"n")&amp;CHAR(34)&amp;","&amp;CHAR(34)&amp;"command"&amp;CHAR(34)&amp;":"&amp;CHAR(34)&amp;SUBSTITUTE(SUBSTITUTE(SUBSTITUTE(SUBSTITUTE(Q13,CHAR(92),CHAR(92)&amp;CHAR(92)),CHAR(34),CHAR(92)&amp;CHAR(34)),CHAR(13),""),CHAR(10),CHAR(92)&amp;"n")&amp;CHAR(34)&amp;","&amp;CHAR(34)&amp;"description"&amp;CHAR(34)&amp;":"&amp;CHAR(34)&amp;SUBSTITUTE(SUBSTITUTE(SUBSTITUTE(SUBSTITUTE(R13,CHAR(92),CHAR(92)&amp;CHAR(92)),CHAR(34),CHAR(92)&amp;CHAR(34)),CHAR(13),""),CHAR(10),CHAR(92)&amp;"n")&amp;CHAR(34)&amp;CHAR(125))</x:f>
      </x:c>
    </x:row>
    <x:row r="14">
      <x:c r="A14" t="str">
        <x:v>Sort</x:v>
      </x:c>
      <x:c r="B14" t="n">
        <x:v>1</x:v>
      </x:c>
      <x:c r="C14" t="n">
        <x:f>Creator!A60</x:f>
        <x:v>0</x:v>
      </x:c>
      <x:c r="D14" t="str">
        <x:f>IF(C14="","",IFERROR(VLOOKUP($A14&amp;"|"&amp;$C14,Ref_Roll20!$E:$N,2,FALSE),"DESCRIPTIF"))</x:f>
      </x:c>
      <x:c r="E14" t="str">
        <x:f>IF(C14="","",IFERROR(VLOOKUP($A14&amp;"|"&amp;$C14,Ref_Roll20!$E:$N,3,FALSE),""))</x:f>
      </x:c>
      <x:c r="F14" t="str">
        <x:f>IF(C14="","",IF(E14="ELEMENT",IF(Creator!$B$16="","",VLOOKUP(Creator!$B$16,Ref_Roll20!$A:$C,2,FALSE)),IF(E14="ATTAQUE1",IF(Creator!$B$39="","",VLOOKUP(Creator!$B$39,Ref_Roll20!$A:$C,2,FALSE)),IF(E14="","",IFERROR(VLOOKUP(E14,Ref_Roll20!$A:$C,2,FALSE),"")))))</x:f>
      </x:c>
      <x:c r="G14" t="str">
        <x:f>IF(C14="","",IFERROR(VLOOKUP($A14&amp;"|"&amp;$C14,Ref_Roll20!$E:$N,4,FALSE),""))</x:f>
      </x:c>
      <x:c r="H14" t="str">
        <x:f>IF(C14="","",IFERROR(VLOOKUP($A14&amp;"|"&amp;$C14,Ref_Roll20!$E:$N,5,FALSE),""))</x:f>
      </x:c>
      <x:c r="I14" t="str">
        <x:f>IF(C14="","",IFERROR(VLOOKUP($A14&amp;"|"&amp;$C14,Ref_Roll20!$E:$N,6,FALSE),""))</x:f>
      </x:c>
      <x:c r="J14" t="str">
        <x:f>IF(C14="","",IFERROR(VLOOKUP($A14&amp;"|"&amp;$C14,Ref_Roll20!$E:$N,7,FALSE),""))</x:f>
      </x:c>
      <x:c r="K14" t="str">
        <x:f>IF(C14="","",IFERROR(VLOOKUP($A14&amp;"|"&amp;$C14,Ref_Roll20!$E:$N,8,FALSE),0))</x:f>
      </x:c>
      <x:c r="L14" t="str">
        <x:f>IF(C14="","",IFERROR(VLOOKUP(Creator!A60,Ref_Sorts!A:K,10,FALSE),""))</x:f>
      </x:c>
      <x:c r="M14" t="str">
        <x:f>IF(C14="","",Creator!F60)</x:f>
      </x:c>
      <x:c r="N14" t="str">
        <x:f>IF(C14="","",IF(S14="",0,IF(S14="FOR",Creator!$E$4,IF(S14="DEX",Creator!$E$5,IF(S14="CON",Creator!$E$6,IF(S14="INT",Creator!$E$7,IF(S14="SAG",Creator!$E$8,IF(S14="CHA",Creator!$E$9,0))))))))</x:f>
      </x:c>
      <x:c r="O14" t="str">
        <x:f>IF(C14="","",IF(D14="ATTACK",IF(S14="FOR",Creator!$E$4,IF(S14="DEX",Creator!$E$5,IF(S14="CON",Creator!$E$6,IF(S14="INT",Creator!$E$7,IF(S14="SAG",Creator!$E$8,IF(S14="CHA",Creator!$E$9,0))))))+Moteur!$B$6+Moteur!$R$4,IF(D14="ATTACK_SAVE",Creator!E60,IF(OR(D14="AOE_SAVE",D14="AOE_CONTROL",D14="CONTROL_SAVE",D14="CONTROL_SAVE_DMG"),Creator!E60,Creator!E60))))</x:f>
      </x:c>
      <x:c r="P14" t="str">
        <x:f>IF(C14="","",IF(D14="REGEN5","vitaliteSurnaturelle:"&amp;MAX(1,ROUND(Creator!$E$10*0.05,0)),IF(D14="REGEN10","vitaliteSurnaturelle:"&amp;MAX(1,ROUND(Creator!$E$10*0.10,0)),IFERROR(VLOOKUP($A14&amp;"|"&amp;$C14,Ref_Roll20!$E:$N,9,FALSE),""))))</x:f>
      </x:c>
      <x:c r="Q14" t="str">
        <x:f>IF(C14="","",TEXTJOIN("",TRUE,AQ14:BC14))</x:f>
      </x:c>
      <x:c r="R14" t="str">
        <x:f>IF(C14="","",Creator!H60)</x:f>
      </x:c>
      <x:c r="S14" t="str">
        <x:f>IF(C14="","",IFERROR(VLOOKUP(Creator!A60,Ref_Sorts!A:K,5,FALSE),""))</x:f>
      </x:c>
      <x:c r="T14" t="str">
        <x:f>IF(C14="","",IF(L14="Recharge 5-6"," --recharge 5 MC_SOR1",IF(L14="1/combat"," --limiteParCombat 1 MC_SOR1",IF(L14="1/tour"," --limiteParTour 1 MC_SOR1",""))))</x:f>
      </x:c>
      <x:c r="U14" t="str">
        <x:f>IF(J14="CONE"," --cone 90",IF(J14="LIGNE"," --ligne",IF(J14="DISQUE2"," --disque 2",IF(J14="DISQUE3"," --disque 3",""))))</x:f>
      </x:c>
      <x:c r="V14" t="str">
        <x:f>IF(F14="",""," --"&amp;F14)</x:f>
      </x:c>
      <x:c r="W14" t="str">
        <x:f>IF(M14="","",M14&amp;IF(N14=0,"",IF(N14&gt;0,"+"&amp;N14,N14)))</x:f>
      </x:c>
      <x:c r="X14" t="str">
        <x:f>IF(C14="","",IFERROR(VLOOKUP($A14&amp;"|"&amp;$C14,Ref_Roll20!$E:$N,10,FALSE),""))</x:f>
      </x:c>
      <x:c r="Y14" t="str">
        <x:f>IF(C14="","",C14&amp;" : "&amp;R14)</x:f>
      </x:c>
      <x:c r="AA14" t="str">
        <x:v>niveau</x:v>
      </x:c>
      <x:c r="AB14" t="n">
        <x:f>Creator!B5</x:f>
        <x:v>10</x:v>
      </x:c>
      <x:c r="AC14" t="str">
        <x:f>""</x:f>
      </x:c>
      <x:c r="AD14" t="str">
        <x:f>IF(AB14="","",CHAR(123)&amp;CHAR(34)&amp;"name"&amp;CHAR(34)&amp;":"&amp;CHAR(34)&amp;AA14&amp;CHAR(34)&amp;","&amp;CHAR(34)&amp;"current"&amp;CHAR(34)&amp;":"&amp;CHAR(34)&amp;AB14&amp;""&amp;CHAR(34)&amp;","&amp;CHAR(34)&amp;"max"&amp;CHAR(34)&amp;":"&amp;CHAR(34)&amp;AC14&amp;""&amp;CHAR(34)&amp;CHAR(125))</x:f>
        <x:v>{"name":"niveau","current":"10","max":""}</x:v>
      </x:c>
      <x:c r="AF14" t="str">
        <x:f>IF($C$25="","","Attaque 4 - "&amp;$C$25)</x:f>
      </x:c>
      <x:c r="AG14" t="n">
        <x:f>$Q$25</x:f>
        <x:v>0</x:v>
      </x:c>
      <x:c r="AH14" t="n">
        <x:f>$R$25</x:f>
        <x:v>0</x:v>
      </x:c>
      <x:c r="AI14" s="110" t="b">
        <x:v>0</x:v>
      </x:c>
      <x:c r="AJ14" t="str">
        <x:f>IF(OR(AF14="",AG14=""),"",CHAR(123)&amp;CHAR(34)&amp;"name"&amp;CHAR(34)&amp;":"&amp;CHAR(34)&amp;SUBSTITUTE(SUBSTITUTE(AF14,CHAR(92),CHAR(92)&amp;CHAR(92)),CHAR(34),CHAR(92)&amp;CHAR(34))&amp;CHAR(34)&amp;","&amp;CHAR(34)&amp;"description"&amp;CHAR(34)&amp;":"&amp;CHAR(34)&amp;SUBSTITUTE(SUBSTITUTE(SUBSTITUTE(SUBSTITUTE(AH14,CHAR(92),CHAR(92)&amp;CHAR(92)),CHAR(34),CHAR(92)&amp;CHAR(34)),CHAR(13),""),CHAR(10),CHAR(92)&amp;"n")&amp;CHAR(34)&amp;","&amp;CHAR(34)&amp;"action"&amp;CHAR(34)&amp;":"&amp;CHAR(34)&amp;SUBSTITUTE(SUBSTITUTE(SUBSTITUTE(SUBSTITUTE(AG14,CHAR(92),CHAR(92)&amp;CHAR(92)),CHAR(34),CHAR(92)&amp;CHAR(34)),CHAR(13),""),CHAR(10),CHAR(92)&amp;"n")&amp;CHAR(34)&amp;","&amp;CHAR(34)&amp;"istokenaction"&amp;CHAR(34)&amp;":false"&amp;CHAR(125))</x:f>
      </x:c>
      <x:c r="AQ14" t="str">
        <x:f>IF(D14="ATTACK","!cof-attack @{selected|token_id} @{target|token_id} "&amp;C14&amp;" --toucher "&amp;O14&amp;" --dm "&amp;W14&amp;IF(K14&gt;0," --portee "&amp;K14,"")&amp;V14&amp;T14,"")</x:f>
      </x:c>
      <x:c r="AR14" t="str">
        <x:f>IF(D14="ATTACK_SAVE","!cof-attack @{selected|token_id} @{target|token_id} "&amp;C14&amp;" --auto --dm "&amp;W14&amp;IF(K14&gt;0," --portee "&amp;K14,"")&amp;V14&amp;" --psave "&amp;H14&amp;" "&amp;O14&amp;T14,"")</x:f>
      </x:c>
      <x:c r="AS14" t="str">
        <x:f>IF(D14="AOE_SAVE","!cof-attack @{selected|token_id} @{target|token_id} "&amp;C14&amp;" --auto --dm "&amp;W14&amp;IF(K14&gt;0," --portee "&amp;K14,"")&amp;V14&amp;U14&amp;" --psave "&amp;H14&amp;" "&amp;O14&amp;T14,"")</x:f>
      </x:c>
      <x:c r="AT14" t="str">
        <x:f>IF(D14="CONTROL_SAVE","!cof-attack @{selected|token_id} @{target|token_id} "&amp;C14&amp;" --auto --pasDeDmg"&amp;IF(K14&gt;0," --portee "&amp;K14,"")&amp;U14&amp;" --etat "&amp;G14&amp;" "&amp;H14&amp;" "&amp;O14&amp;" --save "&amp;H14&amp;" "&amp;O14&amp;T14,"")</x:f>
      </x:c>
      <x:c r="AU14" t="str">
        <x:f>IF(D14="CONTROL_SAVE_DMG","!cof-attack @{selected|token_id} @{target|token_id} "&amp;C14&amp;" --auto --dm "&amp;W14&amp;IF(K14&gt;0," --portee "&amp;K14,"")&amp;V14&amp;" --ifSaveFails "&amp;H14&amp;" "&amp;O14&amp;" --etat "&amp;G14&amp;" --else --diviseDmg 2 --endif"&amp;T14,"")</x:f>
      </x:c>
      <x:c r="AV14" t="str">
        <x:f>IF(D14="AOE_CONTROL",IF(M14="","!cof-attack @{selected|token_id} @{target|token_id} "&amp;C14&amp;" --auto --pasDeDmg"&amp;IF(K14&gt;0," --portee "&amp;K14,"")&amp;U14&amp;" --etat "&amp;G14&amp;" "&amp;H14&amp;" "&amp;O14&amp;" --save "&amp;H14&amp;" "&amp;O14&amp;T14,"!cof-attack @{selected|token_id} @{target|token_id} "&amp;C14&amp;" --auto --dm "&amp;W14&amp;IF(K14&gt;0," --portee "&amp;K14,"")&amp;V14&amp;U14&amp;" --ifSaveFails "&amp;H14&amp;" "&amp;O14&amp;" --etat "&amp;G14&amp;" --else --diviseDmg 2 --endif"&amp;T14),"")</x:f>
      </x:c>
      <x:c r="AW14" t="str">
        <x:f>IF(D14="CONTROL_OPPOSE","!cof-etat-oppose @{selected|token_id} @{target|token_id} "&amp;G14&amp;" "&amp;S14&amp;" "&amp;I14&amp;T14,"")</x:f>
      </x:c>
      <x:c r="AX14" t="str">
        <x:f>IF(D14="MANOEUVRE","!cof-manoeuvre @{selected|token_id} @{target|token_id} "&amp;X14,"")</x:f>
      </x:c>
      <x:c r="AY14" t="str">
        <x:f>IF(D14="TELEPORT","!cof-teleportation @{selected|token_id} "&amp;K14,"")</x:f>
      </x:c>
      <x:c r="AZ14" t="str">
        <x:f>IF(D14="HEAL10","!cof-soin @{selected|token_id} @{target|token_id} "&amp;MAX(1,ROUND(Creator!$E$10*0.10,0))&amp;T14,"")</x:f>
      </x:c>
      <x:c r="BA14" t="str">
        <x:f>IF(D14="HEAL20","!cof-soin @{selected|token_id} @{target|token_id} "&amp;MAX(1,ROUND(Creator!$E$10*0.20,0))&amp;T14,"")</x:f>
      </x:c>
      <x:c r="BB14" t="str">
        <x:f>IF(D14="SELF_STATE","!cof-set-state "&amp;G14&amp;" true --target @{selected|token_id}","")</x:f>
      </x:c>
      <x:c r="BC14" t="str">
        <x:f>IF(D14="MULTIATTACK","!cof-attack @{selected|token_id} @{target|token_id} 1"&amp;CHAR(10)&amp;"!cof-attack @{selected|token_id} @{target|token_id} 1","")</x:f>
      </x:c>
      <x:c r="BG14" t="str">
        <x:f>","&amp;CHAR(34)&amp;"armor_choice"&amp;CHAR(34)&amp;":[{"&amp;CHAR(34)&amp;"value"&amp;CHAR(34)&amp;":"&amp;CHAR(34)&amp;BL7&amp;CHAR(34)&amp;"}]"&amp;","&amp;CHAR(34)&amp;"component_rarity"&amp;CHAR(34)&amp;":[{"&amp;CHAR(34)&amp;"value"&amp;CHAR(34)&amp;":"&amp;CHAR(34)&amp;BL8&amp;CHAR(34)&amp;"}]"&amp;","&amp;CHAR(34)&amp;"linked_element"&amp;CHAR(34)&amp;":[{"&amp;CHAR(34)&amp;"value"&amp;CHAR(34)&amp;":"&amp;CHAR(34)&amp;BL9&amp;CHAR(34)&amp;"}]"&amp;","&amp;CHAR(34)&amp;"opposed_element"&amp;CHAR(34)&amp;":[{"&amp;CHAR(34)&amp;"value"&amp;CHAR(34)&amp;":"&amp;CHAR(34)&amp;BL10&amp;CHAR(34)&amp;"}]"&amp;","&amp;CHAR(34)&amp;"affinities"&amp;CHAR(34)&amp;":[{"&amp;CHAR(34)&amp;"value"&amp;CHAR(34)&amp;":"&amp;CHAR(34)&amp;BL11&amp;CHAR(34)&amp;"}]"</x:f>
        <x:v>,"armor_choice":[{"value":"Aucune"}],"component_rarity":[{"value":"Commune"}],"linked_element":[{"value":"Feu"}],"opposed_element":[{"value":"Eau"}],"affinities":[{"value":"R Tranchant; R Perforant; S Feu; FM Eau"}]</x:v>
      </x:c>
      <x:c r="BI14" t="str">
        <x:f>IF(OR(C14="",Q14=""),"",CHAR(123)&amp;CHAR(34)&amp;"name"&amp;CHAR(34)&amp;":"&amp;CHAR(34)&amp;SUBSTITUTE(SUBSTITUTE(SUBSTITUTE(SUBSTITUTE(C14,CHAR(92),CHAR(92)&amp;CHAR(92)),CHAR(34),CHAR(92)&amp;CHAR(34)),CHAR(13),""),CHAR(10),CHAR(92)&amp;"n")&amp;CHAR(34)&amp;","&amp;CHAR(34)&amp;"command"&amp;CHAR(34)&amp;":"&amp;CHAR(34)&amp;SUBSTITUTE(SUBSTITUTE(SUBSTITUTE(SUBSTITUTE(Q14,CHAR(92),CHAR(92)&amp;CHAR(92)),CHAR(34),CHAR(92)&amp;CHAR(34)),CHAR(13),""),CHAR(10),CHAR(92)&amp;"n")&amp;CHAR(34)&amp;","&amp;CHAR(34)&amp;"description"&amp;CHAR(34)&amp;":"&amp;CHAR(34)&amp;SUBSTITUTE(SUBSTITUTE(SUBSTITUTE(SUBSTITUTE(R14,CHAR(92),CHAR(92)&amp;CHAR(92)),CHAR(34),CHAR(92)&amp;CHAR(34)),CHAR(13),""),CHAR(10),CHAR(92)&amp;"n")&amp;CHAR(34)&amp;CHAR(125))</x:f>
      </x:c>
    </x:row>
    <x:row r="15">
      <x:c r="A15" t="str">
        <x:v>Sort</x:v>
      </x:c>
      <x:c r="B15" t="n">
        <x:v>2</x:v>
      </x:c>
      <x:c r="C15" t="n">
        <x:f>Creator!A61</x:f>
        <x:v>0</x:v>
      </x:c>
      <x:c r="D15" t="str">
        <x:f>IF(C15="","",IFERROR(VLOOKUP($A15&amp;"|"&amp;$C15,Ref_Roll20!$E:$N,2,FALSE),"DESCRIPTIF"))</x:f>
      </x:c>
      <x:c r="E15" t="str">
        <x:f>IF(C15="","",IFERROR(VLOOKUP($A15&amp;"|"&amp;$C15,Ref_Roll20!$E:$N,3,FALSE),""))</x:f>
      </x:c>
      <x:c r="F15" t="str">
        <x:f>IF(C15="","",IF(E15="ELEMENT",IF(Creator!$B$16="","",VLOOKUP(Creator!$B$16,Ref_Roll20!$A:$C,2,FALSE)),IF(E15="ATTAQUE1",IF(Creator!$B$39="","",VLOOKUP(Creator!$B$39,Ref_Roll20!$A:$C,2,FALSE)),IF(E15="","",IFERROR(VLOOKUP(E15,Ref_Roll20!$A:$C,2,FALSE),"")))))</x:f>
      </x:c>
      <x:c r="G15" t="str">
        <x:f>IF(C15="","",IFERROR(VLOOKUP($A15&amp;"|"&amp;$C15,Ref_Roll20!$E:$N,4,FALSE),""))</x:f>
      </x:c>
      <x:c r="H15" t="str">
        <x:f>IF(C15="","",IFERROR(VLOOKUP($A15&amp;"|"&amp;$C15,Ref_Roll20!$E:$N,5,FALSE),""))</x:f>
      </x:c>
      <x:c r="I15" t="str">
        <x:f>IF(C15="","",IFERROR(VLOOKUP($A15&amp;"|"&amp;$C15,Ref_Roll20!$E:$N,6,FALSE),""))</x:f>
      </x:c>
      <x:c r="J15" t="str">
        <x:f>IF(C15="","",IFERROR(VLOOKUP($A15&amp;"|"&amp;$C15,Ref_Roll20!$E:$N,7,FALSE),""))</x:f>
      </x:c>
      <x:c r="K15" t="str">
        <x:f>IF(C15="","",IFERROR(VLOOKUP($A15&amp;"|"&amp;$C15,Ref_Roll20!$E:$N,8,FALSE),0))</x:f>
      </x:c>
      <x:c r="L15" t="str">
        <x:f>IF(C15="","",IFERROR(VLOOKUP(Creator!A61,Ref_Sorts!A:K,10,FALSE),""))</x:f>
      </x:c>
      <x:c r="M15" t="str">
        <x:f>IF(C15="","",Creator!F61)</x:f>
      </x:c>
      <x:c r="N15" t="str">
        <x:f>IF(C15="","",IF(S15="",0,IF(S15="FOR",Creator!$E$4,IF(S15="DEX",Creator!$E$5,IF(S15="CON",Creator!$E$6,IF(S15="INT",Creator!$E$7,IF(S15="SAG",Creator!$E$8,IF(S15="CHA",Creator!$E$9,0))))))))</x:f>
      </x:c>
      <x:c r="O15" t="str">
        <x:f>IF(C15="","",IF(D15="ATTACK",IF(S15="FOR",Creator!$E$4,IF(S15="DEX",Creator!$E$5,IF(S15="CON",Creator!$E$6,IF(S15="INT",Creator!$E$7,IF(S15="SAG",Creator!$E$8,IF(S15="CHA",Creator!$E$9,0))))))+Moteur!$B$6+Moteur!$R$4,IF(D15="ATTACK_SAVE",Creator!E61,IF(OR(D15="AOE_SAVE",D15="AOE_CONTROL",D15="CONTROL_SAVE",D15="CONTROL_SAVE_DMG"),Creator!E61,Creator!E61))))</x:f>
      </x:c>
      <x:c r="P15" t="str">
        <x:f>IF(C15="","",IF(D15="REGEN5","vitaliteSurnaturelle:"&amp;MAX(1,ROUND(Creator!$E$10*0.05,0)),IF(D15="REGEN10","vitaliteSurnaturelle:"&amp;MAX(1,ROUND(Creator!$E$10*0.10,0)),IFERROR(VLOOKUP($A15&amp;"|"&amp;$C15,Ref_Roll20!$E:$N,9,FALSE),""))))</x:f>
      </x:c>
      <x:c r="Q15" t="str">
        <x:f>IF(C15="","",TEXTJOIN("",TRUE,AQ15:BC15))</x:f>
      </x:c>
      <x:c r="R15" t="str">
        <x:f>IF(C15="","",Creator!H61)</x:f>
      </x:c>
      <x:c r="S15" t="str">
        <x:f>IF(C15="","",IFERROR(VLOOKUP(Creator!A61,Ref_Sorts!A:K,5,FALSE),""))</x:f>
      </x:c>
      <x:c r="T15" t="str">
        <x:f>IF(C15="","",IF(L15="Recharge 5-6"," --recharge 5 MC_SOR2",IF(L15="1/combat"," --limiteParCombat 1 MC_SOR2",IF(L15="1/tour"," --limiteParTour 1 MC_SOR2",""))))</x:f>
      </x:c>
      <x:c r="U15" t="str">
        <x:f>IF(J15="CONE"," --cone 90",IF(J15="LIGNE"," --ligne",IF(J15="DISQUE2"," --disque 2",IF(J15="DISQUE3"," --disque 3",""))))</x:f>
      </x:c>
      <x:c r="V15" t="str">
        <x:f>IF(F15="",""," --"&amp;F15)</x:f>
      </x:c>
      <x:c r="W15" t="str">
        <x:f>IF(M15="","",M15&amp;IF(N15=0,"",IF(N15&gt;0,"+"&amp;N15,N15)))</x:f>
      </x:c>
      <x:c r="X15" t="str">
        <x:f>IF(C15="","",IFERROR(VLOOKUP($A15&amp;"|"&amp;$C15,Ref_Roll20!$E:$N,10,FALSE),""))</x:f>
      </x:c>
      <x:c r="Y15" t="str">
        <x:f>IF(C15="","",C15&amp;" : "&amp;R15)</x:f>
      </x:c>
      <x:c r="AA15" t="str">
        <x:v>race</x:v>
      </x:c>
      <x:c r="AB15" t="str">
        <x:f>Creator!B6</x:f>
        <x:v>Dragon</x:v>
      </x:c>
      <x:c r="AC15" t="str">
        <x:f>""</x:f>
      </x:c>
      <x:c r="AD15" t="str">
        <x:f>IF(AB15="","",CHAR(123)&amp;CHAR(34)&amp;"name"&amp;CHAR(34)&amp;":"&amp;CHAR(34)&amp;AA15&amp;CHAR(34)&amp;","&amp;CHAR(34)&amp;"current"&amp;CHAR(34)&amp;":"&amp;CHAR(34)&amp;SUBSTITUTE(SUBSTITUTE(SUBSTITUTE(SUBSTITUTE(AB15,CHAR(92),CHAR(92)&amp;CHAR(92)),CHAR(34),CHAR(92)&amp;CHAR(34)),CHAR(13),""),CHAR(10),CHAR(92)&amp;"n")&amp;CHAR(34)&amp;","&amp;CHAR(34)&amp;"max"&amp;CHAR(34)&amp;":"&amp;CHAR(34)&amp;AC15&amp;""&amp;CHAR(34)&amp;CHAR(125))</x:f>
        <x:v>{"name":"race","current":"Dragon","max":""}</x:v>
      </x:c>
      <x:c r="AF15" t="str">
        <x:f>$C$2</x:f>
        <x:v>Souffle élémentaire</x:v>
      </x:c>
      <x:c r="AG15" t="str">
        <x:f>$Q$2</x:f>
        <x:v>!cof-attack @{selected|token_id} @{target|token_id} Souffle élémentaire --auto --dm 2d12+1 --portee 15 --feu --cone 90 --psave DEX 13 --recharge 5 MC_SIG1</x:v>
      </x:c>
      <x:c r="AH15" t="str">
        <x:f>$R$2</x:f>
        <x:v>Élément associé ; moitié sur réussite</x:v>
      </x:c>
      <x:c r="AI15" s="110" t="b">
        <x:v>0</x:v>
      </x:c>
      <x:c r="AJ15" t="str">
        <x:f>IF(OR(AF15="",AG15=""),"",CHAR(123)&amp;CHAR(34)&amp;"name"&amp;CHAR(34)&amp;":"&amp;CHAR(34)&amp;SUBSTITUTE(SUBSTITUTE(AF15,CHAR(92),CHAR(92)&amp;CHAR(92)),CHAR(34),CHAR(92)&amp;CHAR(34))&amp;CHAR(34)&amp;","&amp;CHAR(34)&amp;"description"&amp;CHAR(34)&amp;":"&amp;CHAR(34)&amp;SUBSTITUTE(SUBSTITUTE(SUBSTITUTE(SUBSTITUTE(AH15,CHAR(92),CHAR(92)&amp;CHAR(92)),CHAR(34),CHAR(92)&amp;CHAR(34)),CHAR(13),""),CHAR(10),CHAR(92)&amp;"n")&amp;CHAR(34)&amp;","&amp;CHAR(34)&amp;"action"&amp;CHAR(34)&amp;":"&amp;CHAR(34)&amp;SUBSTITUTE(SUBSTITUTE(SUBSTITUTE(SUBSTITUTE(AG15,CHAR(92),CHAR(92)&amp;CHAR(92)),CHAR(34),CHAR(92)&amp;CHAR(34)),CHAR(13),""),CHAR(10),CHAR(92)&amp;"n")&amp;CHAR(34)&amp;","&amp;CHAR(34)&amp;"istokenaction"&amp;CHAR(34)&amp;":false"&amp;CHAR(125))</x:f>
        <x:v>{"name":"Souffle élémentaire","description":"Élément associé ; moitié sur réussite","action":"!cof-attack @{selected|token_id} @{target|token_id} Souffle élémentaire --auto --dm 2d12+1 --portee 15 --feu --cone 90 --psave DEX 13 --recharge 5 MC_SIG1","istokenaction":false}</x:v>
      </x:c>
      <x:c r="AQ15" t="str">
        <x:f>IF(D15="ATTACK","!cof-attack @{selected|token_id} @{target|token_id} "&amp;C15&amp;" --toucher "&amp;O15&amp;" --dm "&amp;W15&amp;IF(K15&gt;0," --portee "&amp;K15,"")&amp;V15&amp;T15,"")</x:f>
      </x:c>
      <x:c r="AR15" t="str">
        <x:f>IF(D15="ATTACK_SAVE","!cof-attack @{selected|token_id} @{target|token_id} "&amp;C15&amp;" --auto --dm "&amp;W15&amp;IF(K15&gt;0," --portee "&amp;K15,"")&amp;V15&amp;" --psave "&amp;H15&amp;" "&amp;O15&amp;T15,"")</x:f>
      </x:c>
      <x:c r="AS15" t="str">
        <x:f>IF(D15="AOE_SAVE","!cof-attack @{selected|token_id} @{target|token_id} "&amp;C15&amp;" --auto --dm "&amp;W15&amp;IF(K15&gt;0," --portee "&amp;K15,"")&amp;V15&amp;U15&amp;" --psave "&amp;H15&amp;" "&amp;O15&amp;T15,"")</x:f>
      </x:c>
      <x:c r="AT15" t="str">
        <x:f>IF(D15="CONTROL_SAVE","!cof-attack @{selected|token_id} @{target|token_id} "&amp;C15&amp;" --auto --pasDeDmg"&amp;IF(K15&gt;0," --portee "&amp;K15,"")&amp;U15&amp;" --etat "&amp;G15&amp;" "&amp;H15&amp;" "&amp;O15&amp;" --save "&amp;H15&amp;" "&amp;O15&amp;T15,"")</x:f>
      </x:c>
      <x:c r="AU15" t="str">
        <x:f>IF(D15="CONTROL_SAVE_DMG","!cof-attack @{selected|token_id} @{target|token_id} "&amp;C15&amp;" --auto --dm "&amp;W15&amp;IF(K15&gt;0," --portee "&amp;K15,"")&amp;V15&amp;" --ifSaveFails "&amp;H15&amp;" "&amp;O15&amp;" --etat "&amp;G15&amp;" --else --diviseDmg 2 --endif"&amp;T15,"")</x:f>
      </x:c>
      <x:c r="AV15" t="str">
        <x:f>IF(D15="AOE_CONTROL",IF(M15="","!cof-attack @{selected|token_id} @{target|token_id} "&amp;C15&amp;" --auto --pasDeDmg"&amp;IF(K15&gt;0," --portee "&amp;K15,"")&amp;U15&amp;" --etat "&amp;G15&amp;" "&amp;H15&amp;" "&amp;O15&amp;" --save "&amp;H15&amp;" "&amp;O15&amp;T15,"!cof-attack @{selected|token_id} @{target|token_id} "&amp;C15&amp;" --auto --dm "&amp;W15&amp;IF(K15&gt;0," --portee "&amp;K15,"")&amp;V15&amp;U15&amp;" --ifSaveFails "&amp;H15&amp;" "&amp;O15&amp;" --etat "&amp;G15&amp;" --else --diviseDmg 2 --endif"&amp;T15),"")</x:f>
      </x:c>
      <x:c r="AW15" t="str">
        <x:f>IF(D15="CONTROL_OPPOSE","!cof-etat-oppose @{selected|token_id} @{target|token_id} "&amp;G15&amp;" "&amp;S15&amp;" "&amp;I15&amp;T15,"")</x:f>
      </x:c>
      <x:c r="AX15" t="str">
        <x:f>IF(D15="MANOEUVRE","!cof-manoeuvre @{selected|token_id} @{target|token_id} "&amp;X15,"")</x:f>
      </x:c>
      <x:c r="AY15" t="str">
        <x:f>IF(D15="TELEPORT","!cof-teleportation @{selected|token_id} "&amp;K15,"")</x:f>
      </x:c>
      <x:c r="AZ15" t="str">
        <x:f>IF(D15="HEAL10","!cof-soin @{selected|token_id} @{target|token_id} "&amp;MAX(1,ROUND(Creator!$E$10*0.10,0))&amp;T15,"")</x:f>
      </x:c>
      <x:c r="BA15" t="str">
        <x:f>IF(D15="HEAL20","!cof-soin @{selected|token_id} @{target|token_id} "&amp;MAX(1,ROUND(Creator!$E$10*0.20,0))&amp;T15,"")</x:f>
      </x:c>
      <x:c r="BB15" t="str">
        <x:f>IF(D15="SELF_STATE","!cof-set-state "&amp;G15&amp;" true --target @{selected|token_id}","")</x:f>
      </x:c>
      <x:c r="BC15" t="str">
        <x:f>IF(D15="MULTIATTACK","!cof-attack @{selected|token_id} @{target|token_id} 1"&amp;CHAR(10)&amp;"!cof-attack @{selected|token_id} @{target|token_id} 1","")</x:f>
      </x:c>
      <x:c r="BG15" t="str">
        <x:f>","&amp;CHAR(34)&amp;"comments"&amp;CHAR(34)&amp;":"&amp;IF(BD6="","[]","[{"&amp;CHAR(34)&amp;"value"&amp;CHAR(34)&amp;":"&amp;CHAR(34)&amp;BD6&amp;CHAR(34)&amp;","&amp;CHAR(34)&amp;"format"&amp;CHAR(34)&amp;":"&amp;CHAR(34)&amp;"simple_html"&amp;CHAR(34)&amp;"}]")</x:f>
        <x:v>,"comments":[{"value":"[LOOT]\nTYPE: CREATURE\nNAME: Créature exemple\nFAMILY: Dragon\nTIER: NC 10.71\nRARITY: COMMUN\nVALUE: [[10d20]] PA 45 PA\n[/LOOT]","format":"simple_html"}]</x:v>
      </x:c>
      <x:c r="BI15" t="str">
        <x:f>IF(OR(C15="",Q15=""),"",CHAR(123)&amp;CHAR(34)&amp;"name"&amp;CHAR(34)&amp;":"&amp;CHAR(34)&amp;SUBSTITUTE(SUBSTITUTE(SUBSTITUTE(SUBSTITUTE(C15,CHAR(92),CHAR(92)&amp;CHAR(92)),CHAR(34),CHAR(92)&amp;CHAR(34)),CHAR(13),""),CHAR(10),CHAR(92)&amp;"n")&amp;CHAR(34)&amp;","&amp;CHAR(34)&amp;"command"&amp;CHAR(34)&amp;":"&amp;CHAR(34)&amp;SUBSTITUTE(SUBSTITUTE(SUBSTITUTE(SUBSTITUTE(Q15,CHAR(92),CHAR(92)&amp;CHAR(92)),CHAR(34),CHAR(92)&amp;CHAR(34)),CHAR(13),""),CHAR(10),CHAR(92)&amp;"n")&amp;CHAR(34)&amp;","&amp;CHAR(34)&amp;"description"&amp;CHAR(34)&amp;":"&amp;CHAR(34)&amp;SUBSTITUTE(SUBSTITUTE(SUBSTITUTE(SUBSTITUTE(R15,CHAR(92),CHAR(92)&amp;CHAR(92)),CHAR(34),CHAR(92)&amp;CHAR(34)),CHAR(13),""),CHAR(10),CHAR(92)&amp;"n")&amp;CHAR(34)&amp;CHAR(125))</x:f>
      </x:c>
    </x:row>
    <x:row r="16">
      <x:c r="A16" t="str">
        <x:v>Sort</x:v>
      </x:c>
      <x:c r="B16" t="n">
        <x:v>3</x:v>
      </x:c>
      <x:c r="C16" t="n">
        <x:f>Creator!A62</x:f>
        <x:v>0</x:v>
      </x:c>
      <x:c r="D16" t="str">
        <x:f>IF(C16="","",IFERROR(VLOOKUP($A16&amp;"|"&amp;$C16,Ref_Roll20!$E:$N,2,FALSE),"DESCRIPTIF"))</x:f>
      </x:c>
      <x:c r="E16" t="str">
        <x:f>IF(C16="","",IFERROR(VLOOKUP($A16&amp;"|"&amp;$C16,Ref_Roll20!$E:$N,3,FALSE),""))</x:f>
      </x:c>
      <x:c r="F16" t="str">
        <x:f>IF(C16="","",IF(E16="ELEMENT",IF(Creator!$B$16="","",VLOOKUP(Creator!$B$16,Ref_Roll20!$A:$C,2,FALSE)),IF(E16="ATTAQUE1",IF(Creator!$B$39="","",VLOOKUP(Creator!$B$39,Ref_Roll20!$A:$C,2,FALSE)),IF(E16="","",IFERROR(VLOOKUP(E16,Ref_Roll20!$A:$C,2,FALSE),"")))))</x:f>
      </x:c>
      <x:c r="G16" t="str">
        <x:f>IF(C16="","",IFERROR(VLOOKUP($A16&amp;"|"&amp;$C16,Ref_Roll20!$E:$N,4,FALSE),""))</x:f>
      </x:c>
      <x:c r="H16" t="str">
        <x:f>IF(C16="","",IFERROR(VLOOKUP($A16&amp;"|"&amp;$C16,Ref_Roll20!$E:$N,5,FALSE),""))</x:f>
      </x:c>
      <x:c r="I16" t="str">
        <x:f>IF(C16="","",IFERROR(VLOOKUP($A16&amp;"|"&amp;$C16,Ref_Roll20!$E:$N,6,FALSE),""))</x:f>
      </x:c>
      <x:c r="J16" t="str">
        <x:f>IF(C16="","",IFERROR(VLOOKUP($A16&amp;"|"&amp;$C16,Ref_Roll20!$E:$N,7,FALSE),""))</x:f>
      </x:c>
      <x:c r="K16" t="str">
        <x:f>IF(C16="","",IFERROR(VLOOKUP($A16&amp;"|"&amp;$C16,Ref_Roll20!$E:$N,8,FALSE),0))</x:f>
      </x:c>
      <x:c r="L16" t="str">
        <x:f>IF(C16="","",IFERROR(VLOOKUP(Creator!A62,Ref_Sorts!A:K,10,FALSE),""))</x:f>
      </x:c>
      <x:c r="M16" t="str">
        <x:f>IF(C16="","",Creator!F62)</x:f>
      </x:c>
      <x:c r="N16" t="str">
        <x:f>IF(C16="","",IF(S16="",0,IF(S16="FOR",Creator!$E$4,IF(S16="DEX",Creator!$E$5,IF(S16="CON",Creator!$E$6,IF(S16="INT",Creator!$E$7,IF(S16="SAG",Creator!$E$8,IF(S16="CHA",Creator!$E$9,0))))))))</x:f>
      </x:c>
      <x:c r="O16" t="str">
        <x:f>IF(C16="","",IF(D16="ATTACK",IF(S16="FOR",Creator!$E$4,IF(S16="DEX",Creator!$E$5,IF(S16="CON",Creator!$E$6,IF(S16="INT",Creator!$E$7,IF(S16="SAG",Creator!$E$8,IF(S16="CHA",Creator!$E$9,0))))))+Moteur!$B$6+Moteur!$R$4,IF(D16="ATTACK_SAVE",Creator!E62,IF(OR(D16="AOE_SAVE",D16="AOE_CONTROL",D16="CONTROL_SAVE",D16="CONTROL_SAVE_DMG"),Creator!E62,Creator!E62))))</x:f>
      </x:c>
      <x:c r="P16" t="str">
        <x:f>IF(C16="","",IF(D16="REGEN5","vitaliteSurnaturelle:"&amp;MAX(1,ROUND(Creator!$E$10*0.05,0)),IF(D16="REGEN10","vitaliteSurnaturelle:"&amp;MAX(1,ROUND(Creator!$E$10*0.10,0)),IFERROR(VLOOKUP($A16&amp;"|"&amp;$C16,Ref_Roll20!$E:$N,9,FALSE),""))))</x:f>
      </x:c>
      <x:c r="Q16" t="str">
        <x:f>IF(C16="","",TEXTJOIN("",TRUE,AQ16:BC16))</x:f>
      </x:c>
      <x:c r="R16" t="str">
        <x:f>IF(C16="","",Creator!H62)</x:f>
      </x:c>
      <x:c r="S16" t="str">
        <x:f>IF(C16="","",IFERROR(VLOOKUP(Creator!A62,Ref_Sorts!A:K,5,FALSE),""))</x:f>
      </x:c>
      <x:c r="T16" t="str">
        <x:f>IF(C16="","",IF(L16="Recharge 5-6"," --recharge 5 MC_SOR3",IF(L16="1/combat"," --limiteParCombat 1 MC_SOR3",IF(L16="1/tour"," --limiteParTour 1 MC_SOR3",""))))</x:f>
      </x:c>
      <x:c r="U16" t="str">
        <x:f>IF(J16="CONE"," --cone 90",IF(J16="LIGNE"," --ligne",IF(J16="DISQUE2"," --disque 2",IF(J16="DISQUE3"," --disque 3",""))))</x:f>
      </x:c>
      <x:c r="V16" t="str">
        <x:f>IF(F16="",""," --"&amp;F16)</x:f>
      </x:c>
      <x:c r="W16" t="str">
        <x:f>IF(M16="","",M16&amp;IF(N16=0,"",IF(N16&gt;0,"+"&amp;N16,N16)))</x:f>
      </x:c>
      <x:c r="X16" t="str">
        <x:f>IF(C16="","",IFERROR(VLOOKUP($A16&amp;"|"&amp;$C16,Ref_Roll20!$E:$N,10,FALSE),""))</x:f>
      </x:c>
      <x:c r="Y16" t="str">
        <x:f>IF(C16="","",C16&amp;" : "&amp;R16)</x:f>
      </x:c>
      <x:c r="AA16" t="str">
        <x:v>profil</x:v>
      </x:c>
      <x:c r="AB16" t="str">
        <x:f>Creator!B7&amp;" · "&amp;Creator!B9</x:f>
        <x:v>Dragon élémentaire · Standard</x:v>
      </x:c>
      <x:c r="AC16" t="str">
        <x:f>""</x:f>
      </x:c>
      <x:c r="AD16" t="str">
        <x:f>IF(AB16="","",CHAR(123)&amp;CHAR(34)&amp;"name"&amp;CHAR(34)&amp;":"&amp;CHAR(34)&amp;AA16&amp;CHAR(34)&amp;","&amp;CHAR(34)&amp;"current"&amp;CHAR(34)&amp;":"&amp;CHAR(34)&amp;SUBSTITUTE(SUBSTITUTE(SUBSTITUTE(SUBSTITUTE(AB16,CHAR(92),CHAR(92)&amp;CHAR(92)),CHAR(34),CHAR(92)&amp;CHAR(34)),CHAR(13),""),CHAR(10),CHAR(92)&amp;"n")&amp;CHAR(34)&amp;","&amp;CHAR(34)&amp;"max"&amp;CHAR(34)&amp;":"&amp;CHAR(34)&amp;AC16&amp;""&amp;CHAR(34)&amp;CHAR(125))</x:f>
        <x:v>{"name":"profil","current":"Dragon élémentaire · Standard","max":""}</x:v>
      </x:c>
      <x:c r="AF16" t="n">
        <x:f>$C$3</x:f>
        <x:v>0</x:v>
      </x:c>
      <x:c r="AG16" t="str">
        <x:f>$Q$3</x:f>
      </x:c>
      <x:c r="AH16" t="str">
        <x:f>$R$3</x:f>
      </x:c>
      <x:c r="AI16" s="110" t="b">
        <x:v>0</x:v>
      </x:c>
      <x:c r="AJ16" t="str">
        <x:f>IF(OR(AF16="",AG16=""),"",CHAR(123)&amp;CHAR(34)&amp;"name"&amp;CHAR(34)&amp;":"&amp;CHAR(34)&amp;SUBSTITUTE(SUBSTITUTE(AF16,CHAR(92),CHAR(92)&amp;CHAR(92)),CHAR(34),CHAR(92)&amp;CHAR(34))&amp;CHAR(34)&amp;","&amp;CHAR(34)&amp;"description"&amp;CHAR(34)&amp;":"&amp;CHAR(34)&amp;SUBSTITUTE(SUBSTITUTE(SUBSTITUTE(SUBSTITUTE(AH16,CHAR(92),CHAR(92)&amp;CHAR(92)),CHAR(34),CHAR(92)&amp;CHAR(34)),CHAR(13),""),CHAR(10),CHAR(92)&amp;"n")&amp;CHAR(34)&amp;","&amp;CHAR(34)&amp;"action"&amp;CHAR(34)&amp;":"&amp;CHAR(34)&amp;SUBSTITUTE(SUBSTITUTE(SUBSTITUTE(SUBSTITUTE(AG16,CHAR(92),CHAR(92)&amp;CHAR(92)),CHAR(34),CHAR(92)&amp;CHAR(34)),CHAR(13),""),CHAR(10),CHAR(92)&amp;"n")&amp;CHAR(34)&amp;","&amp;CHAR(34)&amp;"istokenaction"&amp;CHAR(34)&amp;":false"&amp;CHAR(125))</x:f>
      </x:c>
      <x:c r="AQ16" t="str">
        <x:f>IF(D16="ATTACK","!cof-attack @{selected|token_id} @{target|token_id} "&amp;C16&amp;" --toucher "&amp;O16&amp;" --dm "&amp;W16&amp;IF(K16&gt;0," --portee "&amp;K16,"")&amp;V16&amp;T16,"")</x:f>
      </x:c>
      <x:c r="AR16" t="str">
        <x:f>IF(D16="ATTACK_SAVE","!cof-attack @{selected|token_id} @{target|token_id} "&amp;C16&amp;" --auto --dm "&amp;W16&amp;IF(K16&gt;0," --portee "&amp;K16,"")&amp;V16&amp;" --psave "&amp;H16&amp;" "&amp;O16&amp;T16,"")</x:f>
      </x:c>
      <x:c r="AS16" t="str">
        <x:f>IF(D16="AOE_SAVE","!cof-attack @{selected|token_id} @{target|token_id} "&amp;C16&amp;" --auto --dm "&amp;W16&amp;IF(K16&gt;0," --portee "&amp;K16,"")&amp;V16&amp;U16&amp;" --psave "&amp;H16&amp;" "&amp;O16&amp;T16,"")</x:f>
      </x:c>
      <x:c r="AT16" t="str">
        <x:f>IF(D16="CONTROL_SAVE","!cof-attack @{selected|token_id} @{target|token_id} "&amp;C16&amp;" --auto --pasDeDmg"&amp;IF(K16&gt;0," --portee "&amp;K16,"")&amp;U16&amp;" --etat "&amp;G16&amp;" "&amp;H16&amp;" "&amp;O16&amp;" --save "&amp;H16&amp;" "&amp;O16&amp;T16,"")</x:f>
      </x:c>
      <x:c r="AU16" t="str">
        <x:f>IF(D16="CONTROL_SAVE_DMG","!cof-attack @{selected|token_id} @{target|token_id} "&amp;C16&amp;" --auto --dm "&amp;W16&amp;IF(K16&gt;0," --portee "&amp;K16,"")&amp;V16&amp;" --ifSaveFails "&amp;H16&amp;" "&amp;O16&amp;" --etat "&amp;G16&amp;" --else --diviseDmg 2 --endif"&amp;T16,"")</x:f>
      </x:c>
      <x:c r="AV16" t="str">
        <x:f>IF(D16="AOE_CONTROL",IF(M16="","!cof-attack @{selected|token_id} @{target|token_id} "&amp;C16&amp;" --auto --pasDeDmg"&amp;IF(K16&gt;0," --portee "&amp;K16,"")&amp;U16&amp;" --etat "&amp;G16&amp;" "&amp;H16&amp;" "&amp;O16&amp;" --save "&amp;H16&amp;" "&amp;O16&amp;T16,"!cof-attack @{selected|token_id} @{target|token_id} "&amp;C16&amp;" --auto --dm "&amp;W16&amp;IF(K16&gt;0," --portee "&amp;K16,"")&amp;V16&amp;U16&amp;" --ifSaveFails "&amp;H16&amp;" "&amp;O16&amp;" --etat "&amp;G16&amp;" --else --diviseDmg 2 --endif"&amp;T16),"")</x:f>
      </x:c>
      <x:c r="AW16" t="str">
        <x:f>IF(D16="CONTROL_OPPOSE","!cof-etat-oppose @{selected|token_id} @{target|token_id} "&amp;G16&amp;" "&amp;S16&amp;" "&amp;I16&amp;T16,"")</x:f>
      </x:c>
      <x:c r="AX16" t="str">
        <x:f>IF(D16="MANOEUVRE","!cof-manoeuvre @{selected|token_id} @{target|token_id} "&amp;X16,"")</x:f>
      </x:c>
      <x:c r="AY16" t="str">
        <x:f>IF(D16="TELEPORT","!cof-teleportation @{selected|token_id} "&amp;K16,"")</x:f>
      </x:c>
      <x:c r="AZ16" t="str">
        <x:f>IF(D16="HEAL10","!cof-soin @{selected|token_id} @{target|token_id} "&amp;MAX(1,ROUND(Creator!$E$10*0.10,0))&amp;T16,"")</x:f>
      </x:c>
      <x:c r="BA16" t="str">
        <x:f>IF(D16="HEAL20","!cof-soin @{selected|token_id} @{target|token_id} "&amp;MAX(1,ROUND(Creator!$E$10*0.20,0))&amp;T16,"")</x:f>
      </x:c>
      <x:c r="BB16" t="str">
        <x:f>IF(D16="SELF_STATE","!cof-set-state "&amp;G16&amp;" true --target @{selected|token_id}","")</x:f>
      </x:c>
      <x:c r="BC16" t="str">
        <x:f>IF(D16="MULTIATTACK","!cof-attack @{selected|token_id} @{target|token_id} 1"&amp;CHAR(10)&amp;"!cof-attack @{selected|token_id} @{target|token_id} 1","")</x:f>
      </x:c>
      <x:c r="BG16" t="str">
        <x:f>","&amp;CHAR(34)&amp;"picture"&amp;CHAR(34)&amp;":"&amp;IF(BL12="","[]","[{"&amp;CHAR(34)&amp;"value"&amp;CHAR(34)&amp;":"&amp;CHAR(34)&amp;BL12&amp;CHAR(34)&amp;"}]")&amp;CHAR(125)</x:f>
        <x:v>,"picture":[]}</x:v>
      </x:c>
      <x:c r="BI16" t="str">
        <x:f>IF(OR(C16="",Q16=""),"",CHAR(123)&amp;CHAR(34)&amp;"name"&amp;CHAR(34)&amp;":"&amp;CHAR(34)&amp;SUBSTITUTE(SUBSTITUTE(SUBSTITUTE(SUBSTITUTE(C16,CHAR(92),CHAR(92)&amp;CHAR(92)),CHAR(34),CHAR(92)&amp;CHAR(34)),CHAR(13),""),CHAR(10),CHAR(92)&amp;"n")&amp;CHAR(34)&amp;","&amp;CHAR(34)&amp;"command"&amp;CHAR(34)&amp;":"&amp;CHAR(34)&amp;SUBSTITUTE(SUBSTITUTE(SUBSTITUTE(SUBSTITUTE(Q16,CHAR(92),CHAR(92)&amp;CHAR(92)),CHAR(34),CHAR(92)&amp;CHAR(34)),CHAR(13),""),CHAR(10),CHAR(92)&amp;"n")&amp;CHAR(34)&amp;","&amp;CHAR(34)&amp;"description"&amp;CHAR(34)&amp;":"&amp;CHAR(34)&amp;SUBSTITUTE(SUBSTITUTE(SUBSTITUTE(SUBSTITUTE(R16,CHAR(92),CHAR(92)&amp;CHAR(92)),CHAR(34),CHAR(92)&amp;CHAR(34)),CHAR(13),""),CHAR(10),CHAR(92)&amp;"n")&amp;CHAR(34)&amp;CHAR(125))</x:f>
      </x:c>
    </x:row>
    <x:row r="17">
      <x:c r="A17" t="str">
        <x:v>Sort</x:v>
      </x:c>
      <x:c r="B17" t="n">
        <x:v>4</x:v>
      </x:c>
      <x:c r="C17" t="n">
        <x:f>Creator!A63</x:f>
        <x:v>0</x:v>
      </x:c>
      <x:c r="D17" t="str">
        <x:f>IF(C17="","",IFERROR(VLOOKUP($A17&amp;"|"&amp;$C17,Ref_Roll20!$E:$N,2,FALSE),"DESCRIPTIF"))</x:f>
      </x:c>
      <x:c r="E17" t="str">
        <x:f>IF(C17="","",IFERROR(VLOOKUP($A17&amp;"|"&amp;$C17,Ref_Roll20!$E:$N,3,FALSE),""))</x:f>
      </x:c>
      <x:c r="F17" t="str">
        <x:f>IF(C17="","",IF(E17="ELEMENT",IF(Creator!$B$16="","",VLOOKUP(Creator!$B$16,Ref_Roll20!$A:$C,2,FALSE)),IF(E17="ATTAQUE1",IF(Creator!$B$39="","",VLOOKUP(Creator!$B$39,Ref_Roll20!$A:$C,2,FALSE)),IF(E17="","",IFERROR(VLOOKUP(E17,Ref_Roll20!$A:$C,2,FALSE),"")))))</x:f>
      </x:c>
      <x:c r="G17" t="str">
        <x:f>IF(C17="","",IFERROR(VLOOKUP($A17&amp;"|"&amp;$C17,Ref_Roll20!$E:$N,4,FALSE),""))</x:f>
      </x:c>
      <x:c r="H17" t="str">
        <x:f>IF(C17="","",IFERROR(VLOOKUP($A17&amp;"|"&amp;$C17,Ref_Roll20!$E:$N,5,FALSE),""))</x:f>
      </x:c>
      <x:c r="I17" t="str">
        <x:f>IF(C17="","",IFERROR(VLOOKUP($A17&amp;"|"&amp;$C17,Ref_Roll20!$E:$N,6,FALSE),""))</x:f>
      </x:c>
      <x:c r="J17" t="str">
        <x:f>IF(C17="","",IFERROR(VLOOKUP($A17&amp;"|"&amp;$C17,Ref_Roll20!$E:$N,7,FALSE),""))</x:f>
      </x:c>
      <x:c r="K17" t="str">
        <x:f>IF(C17="","",IFERROR(VLOOKUP($A17&amp;"|"&amp;$C17,Ref_Roll20!$E:$N,8,FALSE),0))</x:f>
      </x:c>
      <x:c r="L17" t="str">
        <x:f>IF(C17="","",IFERROR(VLOOKUP(Creator!A63,Ref_Sorts!A:K,10,FALSE),""))</x:f>
      </x:c>
      <x:c r="M17" t="str">
        <x:f>IF(C17="","",Creator!F63)</x:f>
      </x:c>
      <x:c r="N17" t="str">
        <x:f>IF(C17="","",IF(S17="",0,IF(S17="FOR",Creator!$E$4,IF(S17="DEX",Creator!$E$5,IF(S17="CON",Creator!$E$6,IF(S17="INT",Creator!$E$7,IF(S17="SAG",Creator!$E$8,IF(S17="CHA",Creator!$E$9,0))))))))</x:f>
      </x:c>
      <x:c r="O17" t="str">
        <x:f>IF(C17="","",IF(D17="ATTACK",IF(S17="FOR",Creator!$E$4,IF(S17="DEX",Creator!$E$5,IF(S17="CON",Creator!$E$6,IF(S17="INT",Creator!$E$7,IF(S17="SAG",Creator!$E$8,IF(S17="CHA",Creator!$E$9,0))))))+Moteur!$B$6+Moteur!$R$4,IF(D17="ATTACK_SAVE",Creator!E63,IF(OR(D17="AOE_SAVE",D17="AOE_CONTROL",D17="CONTROL_SAVE",D17="CONTROL_SAVE_DMG"),Creator!E63,Creator!E63))))</x:f>
      </x:c>
      <x:c r="P17" t="str">
        <x:f>IF(C17="","",IF(D17="REGEN5","vitaliteSurnaturelle:"&amp;MAX(1,ROUND(Creator!$E$10*0.05,0)),IF(D17="REGEN10","vitaliteSurnaturelle:"&amp;MAX(1,ROUND(Creator!$E$10*0.10,0)),IFERROR(VLOOKUP($A17&amp;"|"&amp;$C17,Ref_Roll20!$E:$N,9,FALSE),""))))</x:f>
      </x:c>
      <x:c r="Q17" t="str">
        <x:f>IF(C17="","",TEXTJOIN("",TRUE,AQ17:BC17))</x:f>
      </x:c>
      <x:c r="R17" t="str">
        <x:f>IF(C17="","",Creator!H63)</x:f>
      </x:c>
      <x:c r="S17" t="str">
        <x:f>IF(C17="","",IFERROR(VLOOKUP(Creator!A63,Ref_Sorts!A:K,5,FALSE),""))</x:f>
      </x:c>
      <x:c r="T17" t="str">
        <x:f>IF(C17="","",IF(L17="Recharge 5-6"," --recharge 5 MC_SOR4",IF(L17="1/combat"," --limiteParCombat 1 MC_SOR4",IF(L17="1/tour"," --limiteParTour 1 MC_SOR4",""))))</x:f>
      </x:c>
      <x:c r="U17" t="str">
        <x:f>IF(J17="CONE"," --cone 90",IF(J17="LIGNE"," --ligne",IF(J17="DISQUE2"," --disque 2",IF(J17="DISQUE3"," --disque 3",""))))</x:f>
      </x:c>
      <x:c r="V17" t="str">
        <x:f>IF(F17="",""," --"&amp;F17)</x:f>
      </x:c>
      <x:c r="W17" t="str">
        <x:f>IF(M17="","",M17&amp;IF(N17=0,"",IF(N17&gt;0,"+"&amp;N17,N17)))</x:f>
      </x:c>
      <x:c r="X17" t="str">
        <x:f>IF(C17="","",IFERROR(VLOOKUP($A17&amp;"|"&amp;$C17,Ref_Roll20!$E:$N,10,FALSE),""))</x:f>
      </x:c>
      <x:c r="Y17" t="str">
        <x:f>IF(C17="","",C17&amp;" : "&amp;R17)</x:f>
      </x:c>
      <x:c r="AA17" t="str">
        <x:v>sous_famille</x:v>
      </x:c>
      <x:c r="AB17" t="str">
        <x:f>Creator!B7</x:f>
        <x:v>Dragon élémentaire</x:v>
      </x:c>
      <x:c r="AC17" t="str">
        <x:f>""</x:f>
      </x:c>
      <x:c r="AD17" t="str">
        <x:f>IF(AB17="","",CHAR(123)&amp;CHAR(34)&amp;"name"&amp;CHAR(34)&amp;":"&amp;CHAR(34)&amp;AA17&amp;CHAR(34)&amp;","&amp;CHAR(34)&amp;"current"&amp;CHAR(34)&amp;":"&amp;CHAR(34)&amp;SUBSTITUTE(SUBSTITUTE(SUBSTITUTE(SUBSTITUTE(AB17,CHAR(92),CHAR(92)&amp;CHAR(92)),CHAR(34),CHAR(92)&amp;CHAR(34)),CHAR(13),""),CHAR(10),CHAR(92)&amp;"n")&amp;CHAR(34)&amp;","&amp;CHAR(34)&amp;"max"&amp;CHAR(34)&amp;":"&amp;CHAR(34)&amp;AC17&amp;""&amp;CHAR(34)&amp;CHAR(125))</x:f>
        <x:v>{"name":"sous_famille","current":"Dragon élémentaire","max":""}</x:v>
      </x:c>
      <x:c r="AF17" t="n">
        <x:f>$C$4</x:f>
        <x:v>0</x:v>
      </x:c>
      <x:c r="AG17" t="str">
        <x:f>$Q$4</x:f>
      </x:c>
      <x:c r="AH17" t="str">
        <x:f>$R$4</x:f>
      </x:c>
      <x:c r="AI17" s="110" t="b">
        <x:v>0</x:v>
      </x:c>
      <x:c r="AJ17" t="str">
        <x:f>IF(OR(AF17="",AG17=""),"",CHAR(123)&amp;CHAR(34)&amp;"name"&amp;CHAR(34)&amp;":"&amp;CHAR(34)&amp;SUBSTITUTE(SUBSTITUTE(AF17,CHAR(92),CHAR(92)&amp;CHAR(92)),CHAR(34),CHAR(92)&amp;CHAR(34))&amp;CHAR(34)&amp;","&amp;CHAR(34)&amp;"description"&amp;CHAR(34)&amp;":"&amp;CHAR(34)&amp;SUBSTITUTE(SUBSTITUTE(SUBSTITUTE(SUBSTITUTE(AH17,CHAR(92),CHAR(92)&amp;CHAR(92)),CHAR(34),CHAR(92)&amp;CHAR(34)),CHAR(13),""),CHAR(10),CHAR(92)&amp;"n")&amp;CHAR(34)&amp;","&amp;CHAR(34)&amp;"action"&amp;CHAR(34)&amp;":"&amp;CHAR(34)&amp;SUBSTITUTE(SUBSTITUTE(SUBSTITUTE(SUBSTITUTE(AG17,CHAR(92),CHAR(92)&amp;CHAR(92)),CHAR(34),CHAR(92)&amp;CHAR(34)),CHAR(13),""),CHAR(10),CHAR(92)&amp;"n")&amp;CHAR(34)&amp;","&amp;CHAR(34)&amp;"istokenaction"&amp;CHAR(34)&amp;":false"&amp;CHAR(125))</x:f>
      </x:c>
      <x:c r="AQ17" t="str">
        <x:f>IF(D17="ATTACK","!cof-attack @{selected|token_id} @{target|token_id} "&amp;C17&amp;" --toucher "&amp;O17&amp;" --dm "&amp;W17&amp;IF(K17&gt;0," --portee "&amp;K17,"")&amp;V17&amp;T17,"")</x:f>
      </x:c>
      <x:c r="AR17" t="str">
        <x:f>IF(D17="ATTACK_SAVE","!cof-attack @{selected|token_id} @{target|token_id} "&amp;C17&amp;" --auto --dm "&amp;W17&amp;IF(K17&gt;0," --portee "&amp;K17,"")&amp;V17&amp;" --psave "&amp;H17&amp;" "&amp;O17&amp;T17,"")</x:f>
      </x:c>
      <x:c r="AS17" t="str">
        <x:f>IF(D17="AOE_SAVE","!cof-attack @{selected|token_id} @{target|token_id} "&amp;C17&amp;" --auto --dm "&amp;W17&amp;IF(K17&gt;0," --portee "&amp;K17,"")&amp;V17&amp;U17&amp;" --psave "&amp;H17&amp;" "&amp;O17&amp;T17,"")</x:f>
      </x:c>
      <x:c r="AT17" t="str">
        <x:f>IF(D17="CONTROL_SAVE","!cof-attack @{selected|token_id} @{target|token_id} "&amp;C17&amp;" --auto --pasDeDmg"&amp;IF(K17&gt;0," --portee "&amp;K17,"")&amp;U17&amp;" --etat "&amp;G17&amp;" "&amp;H17&amp;" "&amp;O17&amp;" --save "&amp;H17&amp;" "&amp;O17&amp;T17,"")</x:f>
      </x:c>
      <x:c r="AU17" t="str">
        <x:f>IF(D17="CONTROL_SAVE_DMG","!cof-attack @{selected|token_id} @{target|token_id} "&amp;C17&amp;" --auto --dm "&amp;W17&amp;IF(K17&gt;0," --portee "&amp;K17,"")&amp;V17&amp;" --ifSaveFails "&amp;H17&amp;" "&amp;O17&amp;" --etat "&amp;G17&amp;" --else --diviseDmg 2 --endif"&amp;T17,"")</x:f>
      </x:c>
      <x:c r="AV17" t="str">
        <x:f>IF(D17="AOE_CONTROL",IF(M17="","!cof-attack @{selected|token_id} @{target|token_id} "&amp;C17&amp;" --auto --pasDeDmg"&amp;IF(K17&gt;0," --portee "&amp;K17,"")&amp;U17&amp;" --etat "&amp;G17&amp;" "&amp;H17&amp;" "&amp;O17&amp;" --save "&amp;H17&amp;" "&amp;O17&amp;T17,"!cof-attack @{selected|token_id} @{target|token_id} "&amp;C17&amp;" --auto --dm "&amp;W17&amp;IF(K17&gt;0," --portee "&amp;K17,"")&amp;V17&amp;U17&amp;" --ifSaveFails "&amp;H17&amp;" "&amp;O17&amp;" --etat "&amp;G17&amp;" --else --diviseDmg 2 --endif"&amp;T17),"")</x:f>
      </x:c>
      <x:c r="AW17" t="str">
        <x:f>IF(D17="CONTROL_OPPOSE","!cof-etat-oppose @{selected|token_id} @{target|token_id} "&amp;G17&amp;" "&amp;S17&amp;" "&amp;I17&amp;T17,"")</x:f>
      </x:c>
      <x:c r="AX17" t="str">
        <x:f>IF(D17="MANOEUVRE","!cof-manoeuvre @{selected|token_id} @{target|token_id} "&amp;X17,"")</x:f>
      </x:c>
      <x:c r="AY17" t="str">
        <x:f>IF(D17="TELEPORT","!cof-teleportation @{selected|token_id} "&amp;K17,"")</x:f>
      </x:c>
      <x:c r="AZ17" t="str">
        <x:f>IF(D17="HEAL10","!cof-soin @{selected|token_id} @{target|token_id} "&amp;MAX(1,ROUND(Creator!$E$10*0.10,0))&amp;T17,"")</x:f>
      </x:c>
      <x:c r="BA17" t="str">
        <x:f>IF(D17="HEAL20","!cof-soin @{selected|token_id} @{target|token_id} "&amp;MAX(1,ROUND(Creator!$E$10*0.20,0))&amp;T17,"")</x:f>
      </x:c>
      <x:c r="BB17" t="str">
        <x:f>IF(D17="SELF_STATE","!cof-set-state "&amp;G17&amp;" true --target @{selected|token_id}","")</x:f>
      </x:c>
      <x:c r="BC17" t="str">
        <x:f>IF(D17="MULTIATTACK","!cof-attack @{selected|token_id} @{target|token_id} 1"&amp;CHAR(10)&amp;"!cof-attack @{selected|token_id} @{target|token_id} 1","")</x:f>
      </x:c>
      <x:c r="BI17" t="str">
        <x:f>IF(OR(C17="",Q17=""),"",CHAR(123)&amp;CHAR(34)&amp;"name"&amp;CHAR(34)&amp;":"&amp;CHAR(34)&amp;SUBSTITUTE(SUBSTITUTE(SUBSTITUTE(SUBSTITUTE(C17,CHAR(92),CHAR(92)&amp;CHAR(92)),CHAR(34),CHAR(92)&amp;CHAR(34)),CHAR(13),""),CHAR(10),CHAR(92)&amp;"n")&amp;CHAR(34)&amp;","&amp;CHAR(34)&amp;"command"&amp;CHAR(34)&amp;":"&amp;CHAR(34)&amp;SUBSTITUTE(SUBSTITUTE(SUBSTITUTE(SUBSTITUTE(Q17,CHAR(92),CHAR(92)&amp;CHAR(92)),CHAR(34),CHAR(92)&amp;CHAR(34)),CHAR(13),""),CHAR(10),CHAR(92)&amp;"n")&amp;CHAR(34)&amp;","&amp;CHAR(34)&amp;"description"&amp;CHAR(34)&amp;":"&amp;CHAR(34)&amp;SUBSTITUTE(SUBSTITUTE(SUBSTITUTE(SUBSTITUTE(R17,CHAR(92),CHAR(92)&amp;CHAR(92)),CHAR(34),CHAR(92)&amp;CHAR(34)),CHAR(13),""),CHAR(10),CHAR(92)&amp;"n")&amp;CHAR(34)&amp;CHAR(125))</x:f>
      </x:c>
    </x:row>
    <x:row r="18">
      <x:c r="A18" t="str">
        <x:v>Sort</x:v>
      </x:c>
      <x:c r="B18" t="n">
        <x:v>5</x:v>
      </x:c>
      <x:c r="C18" t="n">
        <x:f>Creator!A64</x:f>
        <x:v>0</x:v>
      </x:c>
      <x:c r="D18" t="str">
        <x:f>IF(C18="","",IFERROR(VLOOKUP($A18&amp;"|"&amp;$C18,Ref_Roll20!$E:$N,2,FALSE),"DESCRIPTIF"))</x:f>
      </x:c>
      <x:c r="E18" t="str">
        <x:f>IF(C18="","",IFERROR(VLOOKUP($A18&amp;"|"&amp;$C18,Ref_Roll20!$E:$N,3,FALSE),""))</x:f>
      </x:c>
      <x:c r="F18" t="str">
        <x:f>IF(C18="","",IF(E18="ELEMENT",IF(Creator!$B$16="","",VLOOKUP(Creator!$B$16,Ref_Roll20!$A:$C,2,FALSE)),IF(E18="ATTAQUE1",IF(Creator!$B$39="","",VLOOKUP(Creator!$B$39,Ref_Roll20!$A:$C,2,FALSE)),IF(E18="","",IFERROR(VLOOKUP(E18,Ref_Roll20!$A:$C,2,FALSE),"")))))</x:f>
      </x:c>
      <x:c r="G18" t="str">
        <x:f>IF(C18="","",IFERROR(VLOOKUP($A18&amp;"|"&amp;$C18,Ref_Roll20!$E:$N,4,FALSE),""))</x:f>
      </x:c>
      <x:c r="H18" t="str">
        <x:f>IF(C18="","",IFERROR(VLOOKUP($A18&amp;"|"&amp;$C18,Ref_Roll20!$E:$N,5,FALSE),""))</x:f>
      </x:c>
      <x:c r="I18" t="str">
        <x:f>IF(C18="","",IFERROR(VLOOKUP($A18&amp;"|"&amp;$C18,Ref_Roll20!$E:$N,6,FALSE),""))</x:f>
      </x:c>
      <x:c r="J18" t="str">
        <x:f>IF(C18="","",IFERROR(VLOOKUP($A18&amp;"|"&amp;$C18,Ref_Roll20!$E:$N,7,FALSE),""))</x:f>
      </x:c>
      <x:c r="K18" t="str">
        <x:f>IF(C18="","",IFERROR(VLOOKUP($A18&amp;"|"&amp;$C18,Ref_Roll20!$E:$N,8,FALSE),0))</x:f>
      </x:c>
      <x:c r="L18" t="str">
        <x:f>IF(C18="","",IFERROR(VLOOKUP(Creator!A64,Ref_Sorts!A:K,10,FALSE),""))</x:f>
      </x:c>
      <x:c r="M18" t="str">
        <x:f>IF(C18="","",Creator!F64)</x:f>
      </x:c>
      <x:c r="N18" t="str">
        <x:f>IF(C18="","",IF(S18="",0,IF(S18="FOR",Creator!$E$4,IF(S18="DEX",Creator!$E$5,IF(S18="CON",Creator!$E$6,IF(S18="INT",Creator!$E$7,IF(S18="SAG",Creator!$E$8,IF(S18="CHA",Creator!$E$9,0))))))))</x:f>
      </x:c>
      <x:c r="O18" t="str">
        <x:f>IF(C18="","",IF(D18="ATTACK",IF(S18="FOR",Creator!$E$4,IF(S18="DEX",Creator!$E$5,IF(S18="CON",Creator!$E$6,IF(S18="INT",Creator!$E$7,IF(S18="SAG",Creator!$E$8,IF(S18="CHA",Creator!$E$9,0))))))+Moteur!$B$6+Moteur!$R$4,IF(D18="ATTACK_SAVE",Creator!E64,IF(OR(D18="AOE_SAVE",D18="AOE_CONTROL",D18="CONTROL_SAVE",D18="CONTROL_SAVE_DMG"),Creator!E64,Creator!E64))))</x:f>
      </x:c>
      <x:c r="P18" t="str">
        <x:f>IF(C18="","",IF(D18="REGEN5","vitaliteSurnaturelle:"&amp;MAX(1,ROUND(Creator!$E$10*0.05,0)),IF(D18="REGEN10","vitaliteSurnaturelle:"&amp;MAX(1,ROUND(Creator!$E$10*0.10,0)),IFERROR(VLOOKUP($A18&amp;"|"&amp;$C18,Ref_Roll20!$E:$N,9,FALSE),""))))</x:f>
      </x:c>
      <x:c r="Q18" t="str">
        <x:f>IF(C18="","",TEXTJOIN("",TRUE,AQ18:BC18))</x:f>
      </x:c>
      <x:c r="R18" t="str">
        <x:f>IF(C18="","",Creator!H64)</x:f>
      </x:c>
      <x:c r="S18" t="str">
        <x:f>IF(C18="","",IFERROR(VLOOKUP(Creator!A64,Ref_Sorts!A:K,5,FALSE),""))</x:f>
      </x:c>
      <x:c r="T18" t="str">
        <x:f>IF(C18="","",IF(L18="Recharge 5-6"," --recharge 5 MC_SOR5",IF(L18="1/combat"," --limiteParCombat 1 MC_SOR5",IF(L18="1/tour"," --limiteParTour 1 MC_SOR5",""))))</x:f>
      </x:c>
      <x:c r="U18" t="str">
        <x:f>IF(J18="CONE"," --cone 90",IF(J18="LIGNE"," --ligne",IF(J18="DISQUE2"," --disque 2",IF(J18="DISQUE3"," --disque 3",""))))</x:f>
      </x:c>
      <x:c r="V18" t="str">
        <x:f>IF(F18="",""," --"&amp;F18)</x:f>
      </x:c>
      <x:c r="W18" t="str">
        <x:f>IF(M18="","",M18&amp;IF(N18=0,"",IF(N18&gt;0,"+"&amp;N18,N18)))</x:f>
      </x:c>
      <x:c r="X18" t="str">
        <x:f>IF(C18="","",IFERROR(VLOOKUP($A18&amp;"|"&amp;$C18,Ref_Roll20!$E:$N,10,FALSE),""))</x:f>
      </x:c>
      <x:c r="Y18" t="str">
        <x:f>IF(C18="","",C18&amp;" : "&amp;R18)</x:f>
      </x:c>
      <x:c r="AA18" t="str">
        <x:v>taille</x:v>
      </x:c>
      <x:c r="AB18" t="str">
        <x:f>Creator!B8</x:f>
        <x:v>Grand</x:v>
      </x:c>
      <x:c r="AC18" t="str">
        <x:f>""</x:f>
      </x:c>
      <x:c r="AD18" t="str">
        <x:f>IF(AB18="","",CHAR(123)&amp;CHAR(34)&amp;"name"&amp;CHAR(34)&amp;":"&amp;CHAR(34)&amp;AA18&amp;CHAR(34)&amp;","&amp;CHAR(34)&amp;"current"&amp;CHAR(34)&amp;":"&amp;CHAR(34)&amp;SUBSTITUTE(SUBSTITUTE(SUBSTITUTE(SUBSTITUTE(AB18,CHAR(92),CHAR(92)&amp;CHAR(92)),CHAR(34),CHAR(92)&amp;CHAR(34)),CHAR(13),""),CHAR(10),CHAR(92)&amp;"n")&amp;CHAR(34)&amp;","&amp;CHAR(34)&amp;"max"&amp;CHAR(34)&amp;":"&amp;CHAR(34)&amp;AC18&amp;""&amp;CHAR(34)&amp;CHAR(125))</x:f>
        <x:v>{"name":"taille","current":"Grand","max":""}</x:v>
      </x:c>
      <x:c r="AF18" t="n">
        <x:f>$C$5</x:f>
        <x:v>0</x:v>
      </x:c>
      <x:c r="AG18" t="str">
        <x:f>$Q$5</x:f>
      </x:c>
      <x:c r="AH18" t="str">
        <x:f>$R$5</x:f>
      </x:c>
      <x:c r="AI18" s="110" t="b">
        <x:v>0</x:v>
      </x:c>
      <x:c r="AJ18" t="str">
        <x:f>IF(OR(AF18="",AG18=""),"",CHAR(123)&amp;CHAR(34)&amp;"name"&amp;CHAR(34)&amp;":"&amp;CHAR(34)&amp;SUBSTITUTE(SUBSTITUTE(AF18,CHAR(92),CHAR(92)&amp;CHAR(92)),CHAR(34),CHAR(92)&amp;CHAR(34))&amp;CHAR(34)&amp;","&amp;CHAR(34)&amp;"description"&amp;CHAR(34)&amp;":"&amp;CHAR(34)&amp;SUBSTITUTE(SUBSTITUTE(SUBSTITUTE(SUBSTITUTE(AH18,CHAR(92),CHAR(92)&amp;CHAR(92)),CHAR(34),CHAR(92)&amp;CHAR(34)),CHAR(13),""),CHAR(10),CHAR(92)&amp;"n")&amp;CHAR(34)&amp;","&amp;CHAR(34)&amp;"action"&amp;CHAR(34)&amp;":"&amp;CHAR(34)&amp;SUBSTITUTE(SUBSTITUTE(SUBSTITUTE(SUBSTITUTE(AG18,CHAR(92),CHAR(92)&amp;CHAR(92)),CHAR(34),CHAR(92)&amp;CHAR(34)),CHAR(13),""),CHAR(10),CHAR(92)&amp;"n")&amp;CHAR(34)&amp;","&amp;CHAR(34)&amp;"istokenaction"&amp;CHAR(34)&amp;":false"&amp;CHAR(125))</x:f>
      </x:c>
      <x:c r="AQ18" t="str">
        <x:f>IF(D18="ATTACK","!cof-attack @{selected|token_id} @{target|token_id} "&amp;C18&amp;" --toucher "&amp;O18&amp;" --dm "&amp;W18&amp;IF(K18&gt;0," --portee "&amp;K18,"")&amp;V18&amp;T18,"")</x:f>
      </x:c>
      <x:c r="AR18" t="str">
        <x:f>IF(D18="ATTACK_SAVE","!cof-attack @{selected|token_id} @{target|token_id} "&amp;C18&amp;" --auto --dm "&amp;W18&amp;IF(K18&gt;0," --portee "&amp;K18,"")&amp;V18&amp;" --psave "&amp;H18&amp;" "&amp;O18&amp;T18,"")</x:f>
      </x:c>
      <x:c r="AS18" t="str">
        <x:f>IF(D18="AOE_SAVE","!cof-attack @{selected|token_id} @{target|token_id} "&amp;C18&amp;" --auto --dm "&amp;W18&amp;IF(K18&gt;0," --portee "&amp;K18,"")&amp;V18&amp;U18&amp;" --psave "&amp;H18&amp;" "&amp;O18&amp;T18,"")</x:f>
      </x:c>
      <x:c r="AT18" t="str">
        <x:f>IF(D18="CONTROL_SAVE","!cof-attack @{selected|token_id} @{target|token_id} "&amp;C18&amp;" --auto --pasDeDmg"&amp;IF(K18&gt;0," --portee "&amp;K18,"")&amp;U18&amp;" --etat "&amp;G18&amp;" "&amp;H18&amp;" "&amp;O18&amp;" --save "&amp;H18&amp;" "&amp;O18&amp;T18,"")</x:f>
      </x:c>
      <x:c r="AU18" t="str">
        <x:f>IF(D18="CONTROL_SAVE_DMG","!cof-attack @{selected|token_id} @{target|token_id} "&amp;C18&amp;" --auto --dm "&amp;W18&amp;IF(K18&gt;0," --portee "&amp;K18,"")&amp;V18&amp;" --ifSaveFails "&amp;H18&amp;" "&amp;O18&amp;" --etat "&amp;G18&amp;" --else --diviseDmg 2 --endif"&amp;T18,"")</x:f>
      </x:c>
      <x:c r="AV18" t="str">
        <x:f>IF(D18="AOE_CONTROL",IF(M18="","!cof-attack @{selected|token_id} @{target|token_id} "&amp;C18&amp;" --auto --pasDeDmg"&amp;IF(K18&gt;0," --portee "&amp;K18,"")&amp;U18&amp;" --etat "&amp;G18&amp;" "&amp;H18&amp;" "&amp;O18&amp;" --save "&amp;H18&amp;" "&amp;O18&amp;T18,"!cof-attack @{selected|token_id} @{target|token_id} "&amp;C18&amp;" --auto --dm "&amp;W18&amp;IF(K18&gt;0," --portee "&amp;K18,"")&amp;V18&amp;U18&amp;" --ifSaveFails "&amp;H18&amp;" "&amp;O18&amp;" --etat "&amp;G18&amp;" --else --diviseDmg 2 --endif"&amp;T18),"")</x:f>
      </x:c>
      <x:c r="AW18" t="str">
        <x:f>IF(D18="CONTROL_OPPOSE","!cof-etat-oppose @{selected|token_id} @{target|token_id} "&amp;G18&amp;" "&amp;S18&amp;" "&amp;I18&amp;T18,"")</x:f>
      </x:c>
      <x:c r="AX18" t="str">
        <x:f>IF(D18="MANOEUVRE","!cof-manoeuvre @{selected|token_id} @{target|token_id} "&amp;X18,"")</x:f>
      </x:c>
      <x:c r="AY18" t="str">
        <x:f>IF(D18="TELEPORT","!cof-teleportation @{selected|token_id} "&amp;K18,"")</x:f>
      </x:c>
      <x:c r="AZ18" t="str">
        <x:f>IF(D18="HEAL10","!cof-soin @{selected|token_id} @{target|token_id} "&amp;MAX(1,ROUND(Creator!$E$10*0.10,0))&amp;T18,"")</x:f>
      </x:c>
      <x:c r="BA18" t="str">
        <x:f>IF(D18="HEAL20","!cof-soin @{selected|token_id} @{target|token_id} "&amp;MAX(1,ROUND(Creator!$E$10*0.20,0))&amp;T18,"")</x:f>
      </x:c>
      <x:c r="BB18" t="str">
        <x:f>IF(D18="SELF_STATE","!cof-set-state "&amp;G18&amp;" true --target @{selected|token_id}","")</x:f>
      </x:c>
      <x:c r="BC18" t="str">
        <x:f>IF(D18="MULTIATTACK","!cof-attack @{selected|token_id} @{target|token_id} 1"&amp;CHAR(10)&amp;"!cof-attack @{selected|token_id} @{target|token_id} 1","")</x:f>
      </x:c>
      <x:c r="BI18" t="str">
        <x:f>IF(OR(C18="",Q18=""),"",CHAR(123)&amp;CHAR(34)&amp;"name"&amp;CHAR(34)&amp;":"&amp;CHAR(34)&amp;SUBSTITUTE(SUBSTITUTE(SUBSTITUTE(SUBSTITUTE(C18,CHAR(92),CHAR(92)&amp;CHAR(92)),CHAR(34),CHAR(92)&amp;CHAR(34)),CHAR(13),""),CHAR(10),CHAR(92)&amp;"n")&amp;CHAR(34)&amp;","&amp;CHAR(34)&amp;"command"&amp;CHAR(34)&amp;":"&amp;CHAR(34)&amp;SUBSTITUTE(SUBSTITUTE(SUBSTITUTE(SUBSTITUTE(Q18,CHAR(92),CHAR(92)&amp;CHAR(92)),CHAR(34),CHAR(92)&amp;CHAR(34)),CHAR(13),""),CHAR(10),CHAR(92)&amp;"n")&amp;CHAR(34)&amp;","&amp;CHAR(34)&amp;"description"&amp;CHAR(34)&amp;":"&amp;CHAR(34)&amp;SUBSTITUTE(SUBSTITUTE(SUBSTITUTE(SUBSTITUTE(R18,CHAR(92),CHAR(92)&amp;CHAR(92)),CHAR(34),CHAR(92)&amp;CHAR(34)),CHAR(13),""),CHAR(10),CHAR(92)&amp;"n")&amp;CHAR(34)&amp;CHAR(125))</x:f>
      </x:c>
    </x:row>
    <x:row r="19">
      <x:c r="A19" t="str">
        <x:v>Sort</x:v>
      </x:c>
      <x:c r="B19" t="n">
        <x:v>6</x:v>
      </x:c>
      <x:c r="C19" t="n">
        <x:f>Creator!A65</x:f>
        <x:v>0</x:v>
      </x:c>
      <x:c r="D19" t="str">
        <x:f>IF(C19="","",IFERROR(VLOOKUP($A19&amp;"|"&amp;$C19,Ref_Roll20!$E:$N,2,FALSE),"DESCRIPTIF"))</x:f>
      </x:c>
      <x:c r="E19" t="str">
        <x:f>IF(C19="","",IFERROR(VLOOKUP($A19&amp;"|"&amp;$C19,Ref_Roll20!$E:$N,3,FALSE),""))</x:f>
      </x:c>
      <x:c r="F19" t="str">
        <x:f>IF(C19="","",IF(E19="ELEMENT",IF(Creator!$B$16="","",VLOOKUP(Creator!$B$16,Ref_Roll20!$A:$C,2,FALSE)),IF(E19="ATTAQUE1",IF(Creator!$B$39="","",VLOOKUP(Creator!$B$39,Ref_Roll20!$A:$C,2,FALSE)),IF(E19="","",IFERROR(VLOOKUP(E19,Ref_Roll20!$A:$C,2,FALSE),"")))))</x:f>
      </x:c>
      <x:c r="G19" t="str">
        <x:f>IF(C19="","",IFERROR(VLOOKUP($A19&amp;"|"&amp;$C19,Ref_Roll20!$E:$N,4,FALSE),""))</x:f>
      </x:c>
      <x:c r="H19" t="str">
        <x:f>IF(C19="","",IFERROR(VLOOKUP($A19&amp;"|"&amp;$C19,Ref_Roll20!$E:$N,5,FALSE),""))</x:f>
      </x:c>
      <x:c r="I19" t="str">
        <x:f>IF(C19="","",IFERROR(VLOOKUP($A19&amp;"|"&amp;$C19,Ref_Roll20!$E:$N,6,FALSE),""))</x:f>
      </x:c>
      <x:c r="J19" t="str">
        <x:f>IF(C19="","",IFERROR(VLOOKUP($A19&amp;"|"&amp;$C19,Ref_Roll20!$E:$N,7,FALSE),""))</x:f>
      </x:c>
      <x:c r="K19" t="str">
        <x:f>IF(C19="","",IFERROR(VLOOKUP($A19&amp;"|"&amp;$C19,Ref_Roll20!$E:$N,8,FALSE),0))</x:f>
      </x:c>
      <x:c r="L19" t="str">
        <x:f>IF(C19="","",IFERROR(VLOOKUP(Creator!A65,Ref_Sorts!A:K,10,FALSE),""))</x:f>
      </x:c>
      <x:c r="M19" t="str">
        <x:f>IF(C19="","",Creator!F65)</x:f>
      </x:c>
      <x:c r="N19" t="str">
        <x:f>IF(C19="","",IF(S19="",0,IF(S19="FOR",Creator!$E$4,IF(S19="DEX",Creator!$E$5,IF(S19="CON",Creator!$E$6,IF(S19="INT",Creator!$E$7,IF(S19="SAG",Creator!$E$8,IF(S19="CHA",Creator!$E$9,0))))))))</x:f>
      </x:c>
      <x:c r="O19" t="str">
        <x:f>IF(C19="","",IF(D19="ATTACK",IF(S19="FOR",Creator!$E$4,IF(S19="DEX",Creator!$E$5,IF(S19="CON",Creator!$E$6,IF(S19="INT",Creator!$E$7,IF(S19="SAG",Creator!$E$8,IF(S19="CHA",Creator!$E$9,0))))))+Moteur!$B$6+Moteur!$R$4,IF(D19="ATTACK_SAVE",Creator!E65,IF(OR(D19="AOE_SAVE",D19="AOE_CONTROL",D19="CONTROL_SAVE",D19="CONTROL_SAVE_DMG"),Creator!E65,Creator!E65))))</x:f>
      </x:c>
      <x:c r="P19" t="str">
        <x:f>IF(C19="","",IF(D19="REGEN5","vitaliteSurnaturelle:"&amp;MAX(1,ROUND(Creator!$E$10*0.05,0)),IF(D19="REGEN10","vitaliteSurnaturelle:"&amp;MAX(1,ROUND(Creator!$E$10*0.10,0)),IFERROR(VLOOKUP($A19&amp;"|"&amp;$C19,Ref_Roll20!$E:$N,9,FALSE),""))))</x:f>
      </x:c>
      <x:c r="Q19" t="str">
        <x:f>IF(C19="","",TEXTJOIN("",TRUE,AQ19:BC19))</x:f>
      </x:c>
      <x:c r="R19" t="str">
        <x:f>IF(C19="","",Creator!H65)</x:f>
      </x:c>
      <x:c r="S19" t="str">
        <x:f>IF(C19="","",IFERROR(VLOOKUP(Creator!A65,Ref_Sorts!A:K,5,FALSE),""))</x:f>
      </x:c>
      <x:c r="T19" t="str">
        <x:f>IF(C19="","",IF(L19="Recharge 5-6"," --recharge 5 MC_SOR6",IF(L19="1/combat"," --limiteParCombat 1 MC_SOR6",IF(L19="1/tour"," --limiteParTour 1 MC_SOR6",""))))</x:f>
      </x:c>
      <x:c r="U19" t="str">
        <x:f>IF(J19="CONE"," --cone 90",IF(J19="LIGNE"," --ligne",IF(J19="DISQUE2"," --disque 2",IF(J19="DISQUE3"," --disque 3",""))))</x:f>
      </x:c>
      <x:c r="V19" t="str">
        <x:f>IF(F19="",""," --"&amp;F19)</x:f>
      </x:c>
      <x:c r="W19" t="str">
        <x:f>IF(M19="","",M19&amp;IF(N19=0,"",IF(N19&gt;0,"+"&amp;N19,N19)))</x:f>
      </x:c>
      <x:c r="X19" t="str">
        <x:f>IF(C19="","",IFERROR(VLOOKUP($A19&amp;"|"&amp;$C19,Ref_Roll20!$E:$N,10,FALSE),""))</x:f>
      </x:c>
      <x:c r="Y19" t="str">
        <x:f>IF(C19="","",C19&amp;" : "&amp;R19)</x:f>
      </x:c>
      <x:c r="AA19" t="str">
        <x:v>pnj_for</x:v>
      </x:c>
      <x:c r="AB19" t="n">
        <x:f>Creator!E4</x:f>
        <x:v>5</x:v>
      </x:c>
      <x:c r="AC19" t="str">
        <x:f>""</x:f>
      </x:c>
      <x:c r="AD19" t="str">
        <x:f>IF(AB19="","",CHAR(123)&amp;CHAR(34)&amp;"name"&amp;CHAR(34)&amp;":"&amp;CHAR(34)&amp;AA19&amp;CHAR(34)&amp;","&amp;CHAR(34)&amp;"current"&amp;CHAR(34)&amp;":"&amp;CHAR(34)&amp;AB19&amp;""&amp;CHAR(34)&amp;","&amp;CHAR(34)&amp;"max"&amp;CHAR(34)&amp;":"&amp;CHAR(34)&amp;AC19&amp;""&amp;CHAR(34)&amp;CHAR(125))</x:f>
        <x:v>{"name":"pnj_for","current":"5","max":""}</x:v>
      </x:c>
      <x:c r="AF19" t="n">
        <x:f>$C$6</x:f>
        <x:v>0</x:v>
      </x:c>
      <x:c r="AG19" t="str">
        <x:f>$Q$6</x:f>
      </x:c>
      <x:c r="AH19" t="str">
        <x:f>$R$6</x:f>
      </x:c>
      <x:c r="AI19" s="110" t="b">
        <x:v>0</x:v>
      </x:c>
      <x:c r="AJ19" t="str">
        <x:f>IF(OR(AF19="",AG19=""),"",CHAR(123)&amp;CHAR(34)&amp;"name"&amp;CHAR(34)&amp;":"&amp;CHAR(34)&amp;SUBSTITUTE(SUBSTITUTE(AF19,CHAR(92),CHAR(92)&amp;CHAR(92)),CHAR(34),CHAR(92)&amp;CHAR(34))&amp;CHAR(34)&amp;","&amp;CHAR(34)&amp;"description"&amp;CHAR(34)&amp;":"&amp;CHAR(34)&amp;SUBSTITUTE(SUBSTITUTE(SUBSTITUTE(SUBSTITUTE(AH19,CHAR(92),CHAR(92)&amp;CHAR(92)),CHAR(34),CHAR(92)&amp;CHAR(34)),CHAR(13),""),CHAR(10),CHAR(92)&amp;"n")&amp;CHAR(34)&amp;","&amp;CHAR(34)&amp;"action"&amp;CHAR(34)&amp;":"&amp;CHAR(34)&amp;SUBSTITUTE(SUBSTITUTE(SUBSTITUTE(SUBSTITUTE(AG19,CHAR(92),CHAR(92)&amp;CHAR(92)),CHAR(34),CHAR(92)&amp;CHAR(34)),CHAR(13),""),CHAR(10),CHAR(92)&amp;"n")&amp;CHAR(34)&amp;","&amp;CHAR(34)&amp;"istokenaction"&amp;CHAR(34)&amp;":false"&amp;CHAR(125))</x:f>
      </x:c>
      <x:c r="AQ19" t="str">
        <x:f>IF(D19="ATTACK","!cof-attack @{selected|token_id} @{target|token_id} "&amp;C19&amp;" --toucher "&amp;O19&amp;" --dm "&amp;W19&amp;IF(K19&gt;0," --portee "&amp;K19,"")&amp;V19&amp;T19,"")</x:f>
      </x:c>
      <x:c r="AR19" t="str">
        <x:f>IF(D19="ATTACK_SAVE","!cof-attack @{selected|token_id} @{target|token_id} "&amp;C19&amp;" --auto --dm "&amp;W19&amp;IF(K19&gt;0," --portee "&amp;K19,"")&amp;V19&amp;" --psave "&amp;H19&amp;" "&amp;O19&amp;T19,"")</x:f>
      </x:c>
      <x:c r="AS19" t="str">
        <x:f>IF(D19="AOE_SAVE","!cof-attack @{selected|token_id} @{target|token_id} "&amp;C19&amp;" --auto --dm "&amp;W19&amp;IF(K19&gt;0," --portee "&amp;K19,"")&amp;V19&amp;U19&amp;" --psave "&amp;H19&amp;" "&amp;O19&amp;T19,"")</x:f>
      </x:c>
      <x:c r="AT19" t="str">
        <x:f>IF(D19="CONTROL_SAVE","!cof-attack @{selected|token_id} @{target|token_id} "&amp;C19&amp;" --auto --pasDeDmg"&amp;IF(K19&gt;0," --portee "&amp;K19,"")&amp;U19&amp;" --etat "&amp;G19&amp;" "&amp;H19&amp;" "&amp;O19&amp;" --save "&amp;H19&amp;" "&amp;O19&amp;T19,"")</x:f>
      </x:c>
      <x:c r="AU19" t="str">
        <x:f>IF(D19="CONTROL_SAVE_DMG","!cof-attack @{selected|token_id} @{target|token_id} "&amp;C19&amp;" --auto --dm "&amp;W19&amp;IF(K19&gt;0," --portee "&amp;K19,"")&amp;V19&amp;" --ifSaveFails "&amp;H19&amp;" "&amp;O19&amp;" --etat "&amp;G19&amp;" --else --diviseDmg 2 --endif"&amp;T19,"")</x:f>
      </x:c>
      <x:c r="AV19" t="str">
        <x:f>IF(D19="AOE_CONTROL",IF(M19="","!cof-attack @{selected|token_id} @{target|token_id} "&amp;C19&amp;" --auto --pasDeDmg"&amp;IF(K19&gt;0," --portee "&amp;K19,"")&amp;U19&amp;" --etat "&amp;G19&amp;" "&amp;H19&amp;" "&amp;O19&amp;" --save "&amp;H19&amp;" "&amp;O19&amp;T19,"!cof-attack @{selected|token_id} @{target|token_id} "&amp;C19&amp;" --auto --dm "&amp;W19&amp;IF(K19&gt;0," --portee "&amp;K19,"")&amp;V19&amp;U19&amp;" --ifSaveFails "&amp;H19&amp;" "&amp;O19&amp;" --etat "&amp;G19&amp;" --else --diviseDmg 2 --endif"&amp;T19),"")</x:f>
      </x:c>
      <x:c r="AW19" t="str">
        <x:f>IF(D19="CONTROL_OPPOSE","!cof-etat-oppose @{selected|token_id} @{target|token_id} "&amp;G19&amp;" "&amp;S19&amp;" "&amp;I19&amp;T19,"")</x:f>
      </x:c>
      <x:c r="AX19" t="str">
        <x:f>IF(D19="MANOEUVRE","!cof-manoeuvre @{selected|token_id} @{target|token_id} "&amp;X19,"")</x:f>
      </x:c>
      <x:c r="AY19" t="str">
        <x:f>IF(D19="TELEPORT","!cof-teleportation @{selected|token_id} "&amp;K19,"")</x:f>
      </x:c>
      <x:c r="AZ19" t="str">
        <x:f>IF(D19="HEAL10","!cof-soin @{selected|token_id} @{target|token_id} "&amp;MAX(1,ROUND(Creator!$E$10*0.10,0))&amp;T19,"")</x:f>
      </x:c>
      <x:c r="BA19" t="str">
        <x:f>IF(D19="HEAL20","!cof-soin @{selected|token_id} @{target|token_id} "&amp;MAX(1,ROUND(Creator!$E$10*0.20,0))&amp;T19,"")</x:f>
      </x:c>
      <x:c r="BB19" t="str">
        <x:f>IF(D19="SELF_STATE","!cof-set-state "&amp;G19&amp;" true --target @{selected|token_id}","")</x:f>
      </x:c>
      <x:c r="BC19" t="str">
        <x:f>IF(D19="MULTIATTACK","!cof-attack @{selected|token_id} @{target|token_id} 1"&amp;CHAR(10)&amp;"!cof-attack @{selected|token_id} @{target|token_id} 1","")</x:f>
      </x:c>
      <x:c r="BI19" t="str">
        <x:f>IF(OR(C19="",Q19=""),"",CHAR(123)&amp;CHAR(34)&amp;"name"&amp;CHAR(34)&amp;":"&amp;CHAR(34)&amp;SUBSTITUTE(SUBSTITUTE(SUBSTITUTE(SUBSTITUTE(C19,CHAR(92),CHAR(92)&amp;CHAR(92)),CHAR(34),CHAR(92)&amp;CHAR(34)),CHAR(13),""),CHAR(10),CHAR(92)&amp;"n")&amp;CHAR(34)&amp;","&amp;CHAR(34)&amp;"command"&amp;CHAR(34)&amp;":"&amp;CHAR(34)&amp;SUBSTITUTE(SUBSTITUTE(SUBSTITUTE(SUBSTITUTE(Q19,CHAR(92),CHAR(92)&amp;CHAR(92)),CHAR(34),CHAR(92)&amp;CHAR(34)),CHAR(13),""),CHAR(10),CHAR(92)&amp;"n")&amp;CHAR(34)&amp;","&amp;CHAR(34)&amp;"description"&amp;CHAR(34)&amp;":"&amp;CHAR(34)&amp;SUBSTITUTE(SUBSTITUTE(SUBSTITUTE(SUBSTITUTE(R19,CHAR(92),CHAR(92)&amp;CHAR(92)),CHAR(34),CHAR(92)&amp;CHAR(34)),CHAR(13),""),CHAR(10),CHAR(92)&amp;"n")&amp;CHAR(34)&amp;CHAR(125))</x:f>
      </x:c>
    </x:row>
    <x:row r="20">
      <x:c r="AA20" t="str">
        <x:v>pnj_dex</x:v>
      </x:c>
      <x:c r="AB20" t="n">
        <x:f>Creator!E5</x:f>
        <x:v>3</x:v>
      </x:c>
      <x:c r="AC20" t="str">
        <x:f>""</x:f>
      </x:c>
      <x:c r="AD20" t="str">
        <x:f>IF(AB20="","",CHAR(123)&amp;CHAR(34)&amp;"name"&amp;CHAR(34)&amp;":"&amp;CHAR(34)&amp;AA20&amp;CHAR(34)&amp;","&amp;CHAR(34)&amp;"current"&amp;CHAR(34)&amp;":"&amp;CHAR(34)&amp;AB20&amp;""&amp;CHAR(34)&amp;","&amp;CHAR(34)&amp;"max"&amp;CHAR(34)&amp;":"&amp;CHAR(34)&amp;AC20&amp;""&amp;CHAR(34)&amp;CHAR(125))</x:f>
        <x:v>{"name":"pnj_dex","current":"3","max":""}</x:v>
      </x:c>
      <x:c r="AF20" t="n">
        <x:f>$C$7</x:f>
        <x:v>0</x:v>
      </x:c>
      <x:c r="AG20" t="str">
        <x:f>$Q$7</x:f>
      </x:c>
      <x:c r="AH20" t="str">
        <x:f>$R$7</x:f>
      </x:c>
      <x:c r="AI20" s="110" t="b">
        <x:v>0</x:v>
      </x:c>
      <x:c r="AJ20" t="str">
        <x:f>IF(OR(AF20="",AG20=""),"",CHAR(123)&amp;CHAR(34)&amp;"name"&amp;CHAR(34)&amp;":"&amp;CHAR(34)&amp;SUBSTITUTE(SUBSTITUTE(AF20,CHAR(92),CHAR(92)&amp;CHAR(92)),CHAR(34),CHAR(92)&amp;CHAR(34))&amp;CHAR(34)&amp;","&amp;CHAR(34)&amp;"description"&amp;CHAR(34)&amp;":"&amp;CHAR(34)&amp;SUBSTITUTE(SUBSTITUTE(SUBSTITUTE(SUBSTITUTE(AH20,CHAR(92),CHAR(92)&amp;CHAR(92)),CHAR(34),CHAR(92)&amp;CHAR(34)),CHAR(13),""),CHAR(10),CHAR(92)&amp;"n")&amp;CHAR(34)&amp;","&amp;CHAR(34)&amp;"action"&amp;CHAR(34)&amp;":"&amp;CHAR(34)&amp;SUBSTITUTE(SUBSTITUTE(SUBSTITUTE(SUBSTITUTE(AG20,CHAR(92),CHAR(92)&amp;CHAR(92)),CHAR(34),CHAR(92)&amp;CHAR(34)),CHAR(13),""),CHAR(10),CHAR(92)&amp;"n")&amp;CHAR(34)&amp;","&amp;CHAR(34)&amp;"istokenaction"&amp;CHAR(34)&amp;":false"&amp;CHAR(125))</x:f>
      </x:c>
    </x:row>
    <x:row r="21">
      <x:c r="A21" s="109" t="str">
        <x:v>ATTAQUES</x:v>
      </x:c>
      <x:c r="B21" s="109" t="str"/>
      <x:c r="C21" s="109" t="str"/>
      <x:c r="D21" s="109" t="str"/>
      <x:c r="E21" s="109" t="str"/>
      <x:c r="F21" s="109" t="str"/>
      <x:c r="G21" s="109" t="str"/>
      <x:c r="H21" s="109" t="str"/>
      <x:c r="I21" s="109" t="str"/>
      <x:c r="J21" s="109" t="str"/>
      <x:c r="K21" s="109" t="str"/>
      <x:c r="L21" s="109" t="str"/>
      <x:c r="M21" s="109" t="str"/>
      <x:c r="N21" s="109" t="str"/>
      <x:c r="O21" s="109" t="str"/>
      <x:c r="P21" s="109" t="str"/>
      <x:c r="Q21" s="109" t="str"/>
      <x:c r="R21" s="109" t="str"/>
      <x:c r="S21" s="109" t="str"/>
      <x:c r="T21" s="109" t="str"/>
      <x:c r="U21" s="109" t="str"/>
      <x:c r="V21" s="109" t="str"/>
      <x:c r="W21" s="109" t="str"/>
      <x:c r="X21" s="109" t="str"/>
      <x:c r="Y21" s="109" t="str"/>
      <x:c r="AA21" t="str">
        <x:v>pnj_con</x:v>
      </x:c>
      <x:c r="AB21" t="n">
        <x:f>Creator!E6</x:f>
        <x:v>1</x:v>
      </x:c>
      <x:c r="AC21" t="str">
        <x:f>""</x:f>
      </x:c>
      <x:c r="AD21" t="str">
        <x:f>IF(AB21="","",CHAR(123)&amp;CHAR(34)&amp;"name"&amp;CHAR(34)&amp;":"&amp;CHAR(34)&amp;AA21&amp;CHAR(34)&amp;","&amp;CHAR(34)&amp;"current"&amp;CHAR(34)&amp;":"&amp;CHAR(34)&amp;AB21&amp;""&amp;CHAR(34)&amp;","&amp;CHAR(34)&amp;"max"&amp;CHAR(34)&amp;":"&amp;CHAR(34)&amp;AC21&amp;""&amp;CHAR(34)&amp;CHAR(125))</x:f>
        <x:v>{"name":"pnj_con","current":"1","max":""}</x:v>
      </x:c>
      <x:c r="AF21" t="n">
        <x:f>$C$8</x:f>
        <x:v>0</x:v>
      </x:c>
      <x:c r="AG21" t="str">
        <x:f>$Q$8</x:f>
      </x:c>
      <x:c r="AH21" t="str">
        <x:f>$R$8</x:f>
      </x:c>
      <x:c r="AI21" s="110" t="b">
        <x:v>0</x:v>
      </x:c>
      <x:c r="AJ21" t="str">
        <x:f>IF(OR(AF21="",AG21=""),"",CHAR(123)&amp;CHAR(34)&amp;"name"&amp;CHAR(34)&amp;":"&amp;CHAR(34)&amp;SUBSTITUTE(SUBSTITUTE(AF21,CHAR(92),CHAR(92)&amp;CHAR(92)),CHAR(34),CHAR(92)&amp;CHAR(34))&amp;CHAR(34)&amp;","&amp;CHAR(34)&amp;"description"&amp;CHAR(34)&amp;":"&amp;CHAR(34)&amp;SUBSTITUTE(SUBSTITUTE(SUBSTITUTE(SUBSTITUTE(AH21,CHAR(92),CHAR(92)&amp;CHAR(92)),CHAR(34),CHAR(92)&amp;CHAR(34)),CHAR(13),""),CHAR(10),CHAR(92)&amp;"n")&amp;CHAR(34)&amp;","&amp;CHAR(34)&amp;"action"&amp;CHAR(34)&amp;":"&amp;CHAR(34)&amp;SUBSTITUTE(SUBSTITUTE(SUBSTITUTE(SUBSTITUTE(AG21,CHAR(92),CHAR(92)&amp;CHAR(92)),CHAR(34),CHAR(92)&amp;CHAR(34)),CHAR(13),""),CHAR(10),CHAR(92)&amp;"n")&amp;CHAR(34)&amp;","&amp;CHAR(34)&amp;"istokenaction"&amp;CHAR(34)&amp;":false"&amp;CHAR(125))</x:f>
      </x:c>
    </x:row>
    <x:row r="22">
      <x:c r="A22" t="str">
        <x:v>Attaque</x:v>
      </x:c>
      <x:c r="B22" t="n">
        <x:v>1</x:v>
      </x:c>
      <x:c r="C22" t="str">
        <x:f>Creator!A39</x:f>
        <x:v>Attaque principale</x:v>
      </x:c>
      <x:c r="D22" t="str">
        <x:v>ATTACK_SHEET</x:v>
      </x:c>
      <x:c r="E22" t="str">
        <x:f>Creator!B39</x:f>
        <x:v>Tranchant</x:v>
      </x:c>
      <x:c r="F22" t="str">
        <x:f>IF(C22="","",IFERROR(VLOOKUP(E22,Ref_Roll20!A:C,2,FALSE),""))</x:f>
        <x:v>tranchant</x:v>
      </x:c>
      <x:c r="K22" t="n">
        <x:f>IF(Creator!D39="Contact",0,IF(Creator!D39="Courte",10,IF(Creator!D39="Moyenne",15,IF(Creator!D39="Longue",20,0))))</x:f>
        <x:v>0</x:v>
      </x:c>
      <x:c r="M22" t="str">
        <x:f>Creator!E39</x:f>
        <x:v>2d12</x:v>
      </x:c>
      <x:c r="N22" t="n">
        <x:f>Creator!F39</x:f>
        <x:v>5</x:v>
      </x:c>
      <x:c r="O22" t="n">
        <x:f>Creator!G39</x:f>
        <x:v>7</x:v>
      </x:c>
      <x:c r="Q22" t="str">
        <x:f>IF(C22="","","!cof-attack @{selected|token_id} @{target|token_id} 1"&amp;V22)</x:f>
        <x:v>!cof-attack @{selected|token_id} @{target|token_id} 1 --tranchant</x:v>
      </x:c>
      <x:c r="R22" t="str">
        <x:f>IF(C22="","",Creator!D39&amp;" · Toucher +"&amp;O22&amp;" · "&amp;W22&amp;" "&amp;E22)</x:f>
        <x:v>Contact · Toucher +7 · 2d12+5 Tranchant</x:v>
      </x:c>
      <x:c r="V22" t="str">
        <x:f>IF(F22="",""," --"&amp;F22)</x:f>
        <x:v> --tranchant</x:v>
      </x:c>
      <x:c r="W22" t="str">
        <x:f>IF(M22="","",M22&amp;IF(N22=0,"",IF(N22&gt;0,"+"&amp;N22,N22)))</x:f>
        <x:v>2d12+5</x:v>
      </x:c>
      <x:c r="Y22" t="str">
        <x:f>IF(C22="","",C22&amp;" : "&amp;R22)</x:f>
        <x:v>Attaque principale : Contact · Toucher +7 · 2d12+5 Tranchant</x:v>
      </x:c>
      <x:c r="AA22" t="str">
        <x:v>pnj_int</x:v>
      </x:c>
      <x:c r="AB22" t="n">
        <x:f>Creator!E7</x:f>
        <x:v>0</x:v>
      </x:c>
      <x:c r="AC22" t="str">
        <x:f>""</x:f>
      </x:c>
      <x:c r="AD22" t="str">
        <x:f>IF(AB22="","",CHAR(123)&amp;CHAR(34)&amp;"name"&amp;CHAR(34)&amp;":"&amp;CHAR(34)&amp;AA22&amp;CHAR(34)&amp;","&amp;CHAR(34)&amp;"current"&amp;CHAR(34)&amp;":"&amp;CHAR(34)&amp;AB22&amp;""&amp;CHAR(34)&amp;","&amp;CHAR(34)&amp;"max"&amp;CHAR(34)&amp;":"&amp;CHAR(34)&amp;AC22&amp;""&amp;CHAR(34)&amp;CHAR(125))</x:f>
      </x:c>
      <x:c r="AF22" t="n">
        <x:f>$C$9</x:f>
        <x:v>0</x:v>
      </x:c>
      <x:c r="AG22" t="str">
        <x:f>$Q$9</x:f>
      </x:c>
      <x:c r="AH22" t="str">
        <x:f>$R$9</x:f>
      </x:c>
      <x:c r="AI22" s="110" t="b">
        <x:v>0</x:v>
      </x:c>
      <x:c r="AJ22" t="str">
        <x:f>IF(OR(AF22="",AG22=""),"",CHAR(123)&amp;CHAR(34)&amp;"name"&amp;CHAR(34)&amp;":"&amp;CHAR(34)&amp;SUBSTITUTE(SUBSTITUTE(AF22,CHAR(92),CHAR(92)&amp;CHAR(92)),CHAR(34),CHAR(92)&amp;CHAR(34))&amp;CHAR(34)&amp;","&amp;CHAR(34)&amp;"description"&amp;CHAR(34)&amp;":"&amp;CHAR(34)&amp;SUBSTITUTE(SUBSTITUTE(SUBSTITUTE(SUBSTITUTE(AH22,CHAR(92),CHAR(92)&amp;CHAR(92)),CHAR(34),CHAR(92)&amp;CHAR(34)),CHAR(13),""),CHAR(10),CHAR(92)&amp;"n")&amp;CHAR(34)&amp;","&amp;CHAR(34)&amp;"action"&amp;CHAR(34)&amp;":"&amp;CHAR(34)&amp;SUBSTITUTE(SUBSTITUTE(SUBSTITUTE(SUBSTITUTE(AG22,CHAR(92),CHAR(92)&amp;CHAR(92)),CHAR(34),CHAR(92)&amp;CHAR(34)),CHAR(13),""),CHAR(10),CHAR(92)&amp;"n")&amp;CHAR(34)&amp;","&amp;CHAR(34)&amp;"istokenaction"&amp;CHAR(34)&amp;":false"&amp;CHAR(125))</x:f>
      </x:c>
      <x:c r="BE22" t="str">
        <x:f>IF(OR(C22="",C22=0,M22="",O22=""),"",CHAR(123)&amp;CHAR(34)&amp;"name"&amp;CHAR(34)&amp;":"&amp;CHAR(34)&amp;SUBSTITUTE(SUBSTITUTE(SUBSTITUTE(SUBSTITUTE(C22,CHAR(92),CHAR(92)&amp;CHAR(92)),CHAR(34),CHAR(92)&amp;CHAR(34)),CHAR(13),""),CHAR(10),CHAR(92)&amp;"n")&amp;CHAR(34)&amp;","&amp;CHAR(34)&amp;"test"&amp;CHAR(34)&amp;":"&amp;CHAR(34)&amp;IF(O22&gt;=0,"+"&amp;O22,O22)&amp;CHAR(34)&amp;","&amp;CHAR(34)&amp;"dm"&amp;CHAR(34)&amp;":"&amp;CHAR(34)&amp;M22&amp;IF(N22=0,"",IF(N22&gt;0,"+"&amp;N22,N22))&amp;CHAR(34)&amp;","&amp;CHAR(34)&amp;"special"&amp;CHAR(34)&amp;":null"&amp;","&amp;CHAR(34)&amp;"reach"&amp;CHAR(34)&amp;":"&amp;IF(K22&gt;0,CHAR(34)&amp;K22&amp;CHAR(34),"null")&amp;CHAR(125))</x:f>
        <x:v>{"name":"Attaque principale","test":"+7","dm":"2d12+5","special":null,"reach":null}</x:v>
      </x:c>
    </x:row>
    <x:row r="23">
      <x:c r="A23" t="str">
        <x:v>Attaque</x:v>
      </x:c>
      <x:c r="B23" t="n">
        <x:v>2</x:v>
      </x:c>
      <x:c r="C23" t="str">
        <x:f>Creator!A40</x:f>
        <x:v>Attaque secondaire</x:v>
      </x:c>
      <x:c r="D23" t="str">
        <x:v>ATTACK_SHEET</x:v>
      </x:c>
      <x:c r="E23" t="str">
        <x:f>Creator!B40</x:f>
        <x:v>Perforant</x:v>
      </x:c>
      <x:c r="F23" t="str">
        <x:f>IF(C23="","",IFERROR(VLOOKUP(E23,Ref_Roll20!A:C,2,FALSE),""))</x:f>
        <x:v>percant</x:v>
      </x:c>
      <x:c r="K23" t="n">
        <x:f>IF(Creator!D40="Contact",0,IF(Creator!D40="Courte",10,IF(Creator!D40="Moyenne",15,IF(Creator!D40="Longue",20,0))))</x:f>
        <x:v>10</x:v>
      </x:c>
      <x:c r="M23" t="str">
        <x:f>Creator!E40</x:f>
        <x:v>2d12</x:v>
      </x:c>
      <x:c r="N23" t="n">
        <x:f>Creator!F40</x:f>
        <x:v>3</x:v>
      </x:c>
      <x:c r="O23" t="n">
        <x:f>Creator!G40</x:f>
        <x:v>5</x:v>
      </x:c>
      <x:c r="Q23" t="str">
        <x:f>IF(C23="","","!cof-attack @{selected|token_id} @{target|token_id} 2"&amp;V23)</x:f>
        <x:v>!cof-attack @{selected|token_id} @{target|token_id} 2 --percant</x:v>
      </x:c>
      <x:c r="R23" t="str">
        <x:f>IF(C23="","",Creator!D40&amp;" · Toucher +"&amp;O23&amp;" · "&amp;W23&amp;" "&amp;E23)</x:f>
        <x:v>Courte · Toucher +5 · 2d12+3 Perforant</x:v>
      </x:c>
      <x:c r="V23" t="str">
        <x:f>IF(F23="",""," --"&amp;F23)</x:f>
        <x:v> --percant</x:v>
      </x:c>
      <x:c r="W23" t="str">
        <x:f>IF(M23="","",M23&amp;IF(N23=0,"",IF(N23&gt;0,"+"&amp;N23,N23)))</x:f>
        <x:v>2d12+3</x:v>
      </x:c>
      <x:c r="Y23" t="str">
        <x:f>IF(C23="","",C23&amp;" : "&amp;R23)</x:f>
        <x:v>Attaque secondaire : Courte · Toucher +5 · 2d12+3 Perforant</x:v>
      </x:c>
      <x:c r="AA23" t="str">
        <x:v>pnj_sag</x:v>
      </x:c>
      <x:c r="AB23" t="n">
        <x:f>Creator!E8</x:f>
        <x:v>3</x:v>
      </x:c>
      <x:c r="AC23" t="str">
        <x:f>""</x:f>
      </x:c>
      <x:c r="AD23" t="str">
        <x:f>IF(AB23="","",CHAR(123)&amp;CHAR(34)&amp;"name"&amp;CHAR(34)&amp;":"&amp;CHAR(34)&amp;AA23&amp;CHAR(34)&amp;","&amp;CHAR(34)&amp;"current"&amp;CHAR(34)&amp;":"&amp;CHAR(34)&amp;AB23&amp;""&amp;CHAR(34)&amp;","&amp;CHAR(34)&amp;"max"&amp;CHAR(34)&amp;":"&amp;CHAR(34)&amp;AC23&amp;""&amp;CHAR(34)&amp;CHAR(125))</x:f>
        <x:v>{"name":"pnj_sag","current":"3","max":""}</x:v>
      </x:c>
      <x:c r="AF23" t="n">
        <x:f>$C$10</x:f>
        <x:v>0</x:v>
      </x:c>
      <x:c r="AG23" t="str">
        <x:f>$Q$10</x:f>
      </x:c>
      <x:c r="AH23" t="str">
        <x:f>$R$10</x:f>
      </x:c>
      <x:c r="AI23" s="110" t="b">
        <x:v>0</x:v>
      </x:c>
      <x:c r="AJ23" t="str">
        <x:f>IF(OR(AF23="",AG23=""),"",CHAR(123)&amp;CHAR(34)&amp;"name"&amp;CHAR(34)&amp;":"&amp;CHAR(34)&amp;SUBSTITUTE(SUBSTITUTE(AF23,CHAR(92),CHAR(92)&amp;CHAR(92)),CHAR(34),CHAR(92)&amp;CHAR(34))&amp;CHAR(34)&amp;","&amp;CHAR(34)&amp;"description"&amp;CHAR(34)&amp;":"&amp;CHAR(34)&amp;SUBSTITUTE(SUBSTITUTE(SUBSTITUTE(SUBSTITUTE(AH23,CHAR(92),CHAR(92)&amp;CHAR(92)),CHAR(34),CHAR(92)&amp;CHAR(34)),CHAR(13),""),CHAR(10),CHAR(92)&amp;"n")&amp;CHAR(34)&amp;","&amp;CHAR(34)&amp;"action"&amp;CHAR(34)&amp;":"&amp;CHAR(34)&amp;SUBSTITUTE(SUBSTITUTE(SUBSTITUTE(SUBSTITUTE(AG23,CHAR(92),CHAR(92)&amp;CHAR(92)),CHAR(34),CHAR(92)&amp;CHAR(34)),CHAR(13),""),CHAR(10),CHAR(92)&amp;"n")&amp;CHAR(34)&amp;","&amp;CHAR(34)&amp;"istokenaction"&amp;CHAR(34)&amp;":false"&amp;CHAR(125))</x:f>
      </x:c>
      <x:c r="BE23" t="str">
        <x:f>IF(OR(C23="",C23=0,M23="",O23=""),"",CHAR(123)&amp;CHAR(34)&amp;"name"&amp;CHAR(34)&amp;":"&amp;CHAR(34)&amp;SUBSTITUTE(SUBSTITUTE(SUBSTITUTE(SUBSTITUTE(C23,CHAR(92),CHAR(92)&amp;CHAR(92)),CHAR(34),CHAR(92)&amp;CHAR(34)),CHAR(13),""),CHAR(10),CHAR(92)&amp;"n")&amp;CHAR(34)&amp;","&amp;CHAR(34)&amp;"test"&amp;CHAR(34)&amp;":"&amp;CHAR(34)&amp;IF(O23&gt;=0,"+"&amp;O23,O23)&amp;CHAR(34)&amp;","&amp;CHAR(34)&amp;"dm"&amp;CHAR(34)&amp;":"&amp;CHAR(34)&amp;M23&amp;IF(N23=0,"",IF(N23&gt;0,"+"&amp;N23,N23))&amp;CHAR(34)&amp;","&amp;CHAR(34)&amp;"special"&amp;CHAR(34)&amp;":null"&amp;","&amp;CHAR(34)&amp;"reach"&amp;CHAR(34)&amp;":"&amp;IF(K23&gt;0,CHAR(34)&amp;K23&amp;CHAR(34),"null")&amp;CHAR(125))</x:f>
        <x:v>{"name":"Attaque secondaire","test":"+5","dm":"2d12+3","special":null,"reach":"10"}</x:v>
      </x:c>
    </x:row>
    <x:row r="24">
      <x:c r="A24" t="str">
        <x:v>Attaque</x:v>
      </x:c>
      <x:c r="B24" t="n">
        <x:v>3</x:v>
      </x:c>
      <x:c r="C24" t="n">
        <x:f>Creator!A41</x:f>
        <x:v>0</x:v>
      </x:c>
      <x:c r="D24" t="str">
        <x:v>ATTACK_SHEET</x:v>
      </x:c>
      <x:c r="E24" t="n">
        <x:f>Creator!B41</x:f>
        <x:v>0</x:v>
      </x:c>
      <x:c r="F24" t="str">
        <x:f>IF(C24="","",IFERROR(VLOOKUP(E24,Ref_Roll20!A:C,2,FALSE),""))</x:f>
      </x:c>
      <x:c r="K24" t="n">
        <x:f>IF(Creator!D41="Contact",0,IF(Creator!D41="Courte",10,IF(Creator!D41="Moyenne",15,IF(Creator!D41="Longue",20,0))))</x:f>
        <x:v>0</x:v>
      </x:c>
      <x:c r="M24" t="n">
        <x:f>Creator!E41</x:f>
        <x:v>0</x:v>
      </x:c>
      <x:c r="N24" t="str">
        <x:f>Creator!F41</x:f>
      </x:c>
      <x:c r="O24" t="n">
        <x:f>Creator!G41</x:f>
        <x:v>0</x:v>
      </x:c>
      <x:c r="Q24" t="str">
        <x:f>IF(C24="","","!cof-attack @{selected|token_id} @{target|token_id} 3"&amp;V24)</x:f>
      </x:c>
      <x:c r="R24" t="str">
        <x:f>IF(C24="","",Creator!D41&amp;" · Toucher +"&amp;O24&amp;" · "&amp;W24&amp;" "&amp;E24)</x:f>
      </x:c>
      <x:c r="V24" t="str">
        <x:f>IF(F24="",""," --"&amp;F24)</x:f>
      </x:c>
      <x:c r="W24" t="str">
        <x:f>IF(M24="","",M24&amp;IF(N24=0,"",IF(N24&gt;0,"+"&amp;N24,N24)))</x:f>
      </x:c>
      <x:c r="Y24" t="str">
        <x:f>IF(C24="","",C24&amp;" : "&amp;R24)</x:f>
      </x:c>
      <x:c r="AA24" t="str">
        <x:v>pnj_cha</x:v>
      </x:c>
      <x:c r="AB24" t="n">
        <x:f>Creator!E9</x:f>
        <x:v>1</x:v>
      </x:c>
      <x:c r="AC24" t="str">
        <x:f>""</x:f>
      </x:c>
      <x:c r="AD24" t="str">
        <x:f>IF(AB24="","",CHAR(123)&amp;CHAR(34)&amp;"name"&amp;CHAR(34)&amp;":"&amp;CHAR(34)&amp;AA24&amp;CHAR(34)&amp;","&amp;CHAR(34)&amp;"current"&amp;CHAR(34)&amp;":"&amp;CHAR(34)&amp;AB24&amp;""&amp;CHAR(34)&amp;","&amp;CHAR(34)&amp;"max"&amp;CHAR(34)&amp;":"&amp;CHAR(34)&amp;AC24&amp;""&amp;CHAR(34)&amp;CHAR(125))</x:f>
        <x:v>{"name":"pnj_cha","current":"1","max":""}</x:v>
      </x:c>
      <x:c r="AF24" t="n">
        <x:f>$C$11</x:f>
        <x:v>0</x:v>
      </x:c>
      <x:c r="AG24" t="str">
        <x:f>$Q$11</x:f>
      </x:c>
      <x:c r="AH24" t="str">
        <x:f>$R$11</x:f>
      </x:c>
      <x:c r="AI24" s="110" t="b">
        <x:v>0</x:v>
      </x:c>
      <x:c r="AJ24" t="str">
        <x:f>IF(OR(AF24="",AG24=""),"",CHAR(123)&amp;CHAR(34)&amp;"name"&amp;CHAR(34)&amp;":"&amp;CHAR(34)&amp;SUBSTITUTE(SUBSTITUTE(AF24,CHAR(92),CHAR(92)&amp;CHAR(92)),CHAR(34),CHAR(92)&amp;CHAR(34))&amp;CHAR(34)&amp;","&amp;CHAR(34)&amp;"description"&amp;CHAR(34)&amp;":"&amp;CHAR(34)&amp;SUBSTITUTE(SUBSTITUTE(SUBSTITUTE(SUBSTITUTE(AH24,CHAR(92),CHAR(92)&amp;CHAR(92)),CHAR(34),CHAR(92)&amp;CHAR(34)),CHAR(13),""),CHAR(10),CHAR(92)&amp;"n")&amp;CHAR(34)&amp;","&amp;CHAR(34)&amp;"action"&amp;CHAR(34)&amp;":"&amp;CHAR(34)&amp;SUBSTITUTE(SUBSTITUTE(SUBSTITUTE(SUBSTITUTE(AG24,CHAR(92),CHAR(92)&amp;CHAR(92)),CHAR(34),CHAR(92)&amp;CHAR(34)),CHAR(13),""),CHAR(10),CHAR(92)&amp;"n")&amp;CHAR(34)&amp;","&amp;CHAR(34)&amp;"istokenaction"&amp;CHAR(34)&amp;":false"&amp;CHAR(125))</x:f>
      </x:c>
      <x:c r="BE24" t="str">
        <x:f>IF(OR(C24="",C24=0,M24="",O24=""),"",CHAR(123)&amp;CHAR(34)&amp;"name"&amp;CHAR(34)&amp;":"&amp;CHAR(34)&amp;SUBSTITUTE(SUBSTITUTE(SUBSTITUTE(SUBSTITUTE(C24,CHAR(92),CHAR(92)&amp;CHAR(92)),CHAR(34),CHAR(92)&amp;CHAR(34)),CHAR(13),""),CHAR(10),CHAR(92)&amp;"n")&amp;CHAR(34)&amp;","&amp;CHAR(34)&amp;"test"&amp;CHAR(34)&amp;":"&amp;CHAR(34)&amp;IF(O24&gt;=0,"+"&amp;O24,O24)&amp;CHAR(34)&amp;","&amp;CHAR(34)&amp;"dm"&amp;CHAR(34)&amp;":"&amp;CHAR(34)&amp;M24&amp;IF(N24=0,"",IF(N24&gt;0,"+"&amp;N24,N24))&amp;CHAR(34)&amp;","&amp;CHAR(34)&amp;"special"&amp;CHAR(34)&amp;":null"&amp;","&amp;CHAR(34)&amp;"reach"&amp;CHAR(34)&amp;":"&amp;IF(K24&gt;0,CHAR(34)&amp;K24&amp;CHAR(34),"null")&amp;CHAR(125))</x:f>
      </x:c>
    </x:row>
    <x:row r="25">
      <x:c r="A25" t="str">
        <x:v>Attaque</x:v>
      </x:c>
      <x:c r="B25" t="n">
        <x:v>4</x:v>
      </x:c>
      <x:c r="C25" t="n">
        <x:f>Creator!A42</x:f>
        <x:v>0</x:v>
      </x:c>
      <x:c r="D25" t="str">
        <x:v>ATTACK_SHEET</x:v>
      </x:c>
      <x:c r="E25" t="n">
        <x:f>Creator!B42</x:f>
        <x:v>0</x:v>
      </x:c>
      <x:c r="F25" t="str">
        <x:f>IF(C25="","",IFERROR(VLOOKUP(E25,Ref_Roll20!A:C,2,FALSE),""))</x:f>
      </x:c>
      <x:c r="K25" t="n">
        <x:f>IF(Creator!D42="Contact",0,IF(Creator!D42="Courte",10,IF(Creator!D42="Moyenne",15,IF(Creator!D42="Longue",20,0))))</x:f>
        <x:v>0</x:v>
      </x:c>
      <x:c r="M25" t="n">
        <x:f>Creator!E42</x:f>
        <x:v>0</x:v>
      </x:c>
      <x:c r="N25" t="n">
        <x:f>Creator!F42</x:f>
        <x:v>0</x:v>
      </x:c>
      <x:c r="O25" t="n">
        <x:f>Creator!G42</x:f>
        <x:v>0</x:v>
      </x:c>
      <x:c r="Q25" t="str">
        <x:f>IF(C25="","","!cof-attack @{selected|token_id} @{target|token_id} 4"&amp;V25)</x:f>
      </x:c>
      <x:c r="R25" t="str">
        <x:f>IF(C25="","",Creator!D42&amp;" · Toucher +"&amp;O25&amp;" · "&amp;W25&amp;" "&amp;E25)</x:f>
      </x:c>
      <x:c r="V25" t="str">
        <x:f>IF(F25="",""," --"&amp;F25)</x:f>
      </x:c>
      <x:c r="W25" t="str">
        <x:f>IF(M25="","",M25&amp;IF(N25=0,"",IF(N25&gt;0,"+"&amp;N25,N25)))</x:f>
      </x:c>
      <x:c r="Y25" t="str">
        <x:f>IF(C25="","",C25&amp;" : "&amp;R25)</x:f>
      </x:c>
      <x:c r="AA25" t="str">
        <x:v>force</x:v>
      </x:c>
      <x:c r="AB25" t="n">
        <x:f>10+2*Creator!E4</x:f>
        <x:v>20</x:v>
      </x:c>
      <x:c r="AC25" t="str">
        <x:f>""</x:f>
      </x:c>
      <x:c r="AD25" t="str">
        <x:f>IF(AB25="","",CHAR(123)&amp;CHAR(34)&amp;"name"&amp;CHAR(34)&amp;":"&amp;CHAR(34)&amp;AA25&amp;CHAR(34)&amp;","&amp;CHAR(34)&amp;"current"&amp;CHAR(34)&amp;":"&amp;CHAR(34)&amp;AB25&amp;""&amp;CHAR(34)&amp;","&amp;CHAR(34)&amp;"max"&amp;CHAR(34)&amp;":"&amp;CHAR(34)&amp;AC25&amp;""&amp;CHAR(34)&amp;CHAR(125))</x:f>
        <x:v>{"name":"force","current":"20","max":""}</x:v>
      </x:c>
      <x:c r="AF25" t="n">
        <x:f>$C$12</x:f>
        <x:v>0</x:v>
      </x:c>
      <x:c r="AG25" t="str">
        <x:f>$Q$12</x:f>
      </x:c>
      <x:c r="AH25" t="str">
        <x:f>$R$12</x:f>
      </x:c>
      <x:c r="AI25" s="110" t="b">
        <x:v>0</x:v>
      </x:c>
      <x:c r="AJ25" t="str">
        <x:f>IF(OR(AF25="",AG25=""),"",CHAR(123)&amp;CHAR(34)&amp;"name"&amp;CHAR(34)&amp;":"&amp;CHAR(34)&amp;SUBSTITUTE(SUBSTITUTE(AF25,CHAR(92),CHAR(92)&amp;CHAR(92)),CHAR(34),CHAR(92)&amp;CHAR(34))&amp;CHAR(34)&amp;","&amp;CHAR(34)&amp;"description"&amp;CHAR(34)&amp;":"&amp;CHAR(34)&amp;SUBSTITUTE(SUBSTITUTE(SUBSTITUTE(SUBSTITUTE(AH25,CHAR(92),CHAR(92)&amp;CHAR(92)),CHAR(34),CHAR(92)&amp;CHAR(34)),CHAR(13),""),CHAR(10),CHAR(92)&amp;"n")&amp;CHAR(34)&amp;","&amp;CHAR(34)&amp;"action"&amp;CHAR(34)&amp;":"&amp;CHAR(34)&amp;SUBSTITUTE(SUBSTITUTE(SUBSTITUTE(SUBSTITUTE(AG25,CHAR(92),CHAR(92)&amp;CHAR(92)),CHAR(34),CHAR(92)&amp;CHAR(34)),CHAR(13),""),CHAR(10),CHAR(92)&amp;"n")&amp;CHAR(34)&amp;","&amp;CHAR(34)&amp;"istokenaction"&amp;CHAR(34)&amp;":false"&amp;CHAR(125))</x:f>
      </x:c>
      <x:c r="BE25" t="str">
        <x:f>IF(OR(C25="",C25=0,M25="",O25=""),"",CHAR(123)&amp;CHAR(34)&amp;"name"&amp;CHAR(34)&amp;":"&amp;CHAR(34)&amp;SUBSTITUTE(SUBSTITUTE(SUBSTITUTE(SUBSTITUTE(C25,CHAR(92),CHAR(92)&amp;CHAR(92)),CHAR(34),CHAR(92)&amp;CHAR(34)),CHAR(13),""),CHAR(10),CHAR(92)&amp;"n")&amp;CHAR(34)&amp;","&amp;CHAR(34)&amp;"test"&amp;CHAR(34)&amp;":"&amp;CHAR(34)&amp;IF(O25&gt;=0,"+"&amp;O25,O25)&amp;CHAR(34)&amp;","&amp;CHAR(34)&amp;"dm"&amp;CHAR(34)&amp;":"&amp;CHAR(34)&amp;M25&amp;IF(N25=0,"",IF(N25&gt;0,"+"&amp;N25,N25))&amp;CHAR(34)&amp;","&amp;CHAR(34)&amp;"special"&amp;CHAR(34)&amp;":null"&amp;","&amp;CHAR(34)&amp;"reach"&amp;CHAR(34)&amp;":"&amp;IF(K25&gt;0,CHAR(34)&amp;K25&amp;CHAR(34),"null")&amp;CHAR(125))</x:f>
      </x:c>
    </x:row>
    <x:row r="26">
      <x:c r="AA26" t="str">
        <x:v>dexterite</x:v>
      </x:c>
      <x:c r="AB26" t="n">
        <x:f>10+2*Creator!E5</x:f>
        <x:v>16</x:v>
      </x:c>
      <x:c r="AC26" t="str">
        <x:f>""</x:f>
      </x:c>
      <x:c r="AD26" t="str">
        <x:f>IF(AB26="","",CHAR(123)&amp;CHAR(34)&amp;"name"&amp;CHAR(34)&amp;":"&amp;CHAR(34)&amp;AA26&amp;CHAR(34)&amp;","&amp;CHAR(34)&amp;"current"&amp;CHAR(34)&amp;":"&amp;CHAR(34)&amp;AB26&amp;""&amp;CHAR(34)&amp;","&amp;CHAR(34)&amp;"max"&amp;CHAR(34)&amp;":"&amp;CHAR(34)&amp;AC26&amp;""&amp;CHAR(34)&amp;CHAR(125))</x:f>
        <x:v>{"name":"dexterite","current":"16","max":""}</x:v>
      </x:c>
      <x:c r="AF26" t="n">
        <x:f>$C$13</x:f>
        <x:v>0</x:v>
      </x:c>
      <x:c r="AG26" t="str">
        <x:f>$Q$13</x:f>
      </x:c>
      <x:c r="AH26" t="str">
        <x:f>$R$13</x:f>
      </x:c>
      <x:c r="AI26" s="110" t="b">
        <x:v>0</x:v>
      </x:c>
      <x:c r="AJ26" t="str">
        <x:f>IF(OR(AF26="",AG26=""),"",CHAR(123)&amp;CHAR(34)&amp;"name"&amp;CHAR(34)&amp;":"&amp;CHAR(34)&amp;SUBSTITUTE(SUBSTITUTE(AF26,CHAR(92),CHAR(92)&amp;CHAR(92)),CHAR(34),CHAR(92)&amp;CHAR(34))&amp;CHAR(34)&amp;","&amp;CHAR(34)&amp;"description"&amp;CHAR(34)&amp;":"&amp;CHAR(34)&amp;SUBSTITUTE(SUBSTITUTE(SUBSTITUTE(SUBSTITUTE(AH26,CHAR(92),CHAR(92)&amp;CHAR(92)),CHAR(34),CHAR(92)&amp;CHAR(34)),CHAR(13),""),CHAR(10),CHAR(92)&amp;"n")&amp;CHAR(34)&amp;","&amp;CHAR(34)&amp;"action"&amp;CHAR(34)&amp;":"&amp;CHAR(34)&amp;SUBSTITUTE(SUBSTITUTE(SUBSTITUTE(SUBSTITUTE(AG26,CHAR(92),CHAR(92)&amp;CHAR(92)),CHAR(34),CHAR(92)&amp;CHAR(34)),CHAR(13),""),CHAR(10),CHAR(92)&amp;"n")&amp;CHAR(34)&amp;","&amp;CHAR(34)&amp;"istokenaction"&amp;CHAR(34)&amp;":false"&amp;CHAR(125))</x:f>
      </x:c>
    </x:row>
    <x:row r="27">
      <x:c r="AA27" t="str">
        <x:v>constitution</x:v>
      </x:c>
      <x:c r="AB27" t="n">
        <x:f>10+2*Creator!E6</x:f>
        <x:v>12</x:v>
      </x:c>
      <x:c r="AC27" t="str">
        <x:f>""</x:f>
      </x:c>
      <x:c r="AD27" t="str">
        <x:f>IF(AB27="","",CHAR(123)&amp;CHAR(34)&amp;"name"&amp;CHAR(34)&amp;":"&amp;CHAR(34)&amp;AA27&amp;CHAR(34)&amp;","&amp;CHAR(34)&amp;"current"&amp;CHAR(34)&amp;":"&amp;CHAR(34)&amp;AB27&amp;""&amp;CHAR(34)&amp;","&amp;CHAR(34)&amp;"max"&amp;CHAR(34)&amp;":"&amp;CHAR(34)&amp;AC27&amp;""&amp;CHAR(34)&amp;CHAR(125))</x:f>
        <x:v>{"name":"constitution","current":"12","max":""}</x:v>
      </x:c>
      <x:c r="AF27" t="n">
        <x:f>$C$14</x:f>
        <x:v>0</x:v>
      </x:c>
      <x:c r="AG27" t="str">
        <x:f>$Q$14</x:f>
      </x:c>
      <x:c r="AH27" t="str">
        <x:f>$R$14</x:f>
      </x:c>
      <x:c r="AI27" s="110" t="b">
        <x:v>0</x:v>
      </x:c>
      <x:c r="AJ27" t="str">
        <x:f>IF(OR(AF27="",AG27=""),"",CHAR(123)&amp;CHAR(34)&amp;"name"&amp;CHAR(34)&amp;":"&amp;CHAR(34)&amp;SUBSTITUTE(SUBSTITUTE(AF27,CHAR(92),CHAR(92)&amp;CHAR(92)),CHAR(34),CHAR(92)&amp;CHAR(34))&amp;CHAR(34)&amp;","&amp;CHAR(34)&amp;"description"&amp;CHAR(34)&amp;":"&amp;CHAR(34)&amp;SUBSTITUTE(SUBSTITUTE(SUBSTITUTE(SUBSTITUTE(AH27,CHAR(92),CHAR(92)&amp;CHAR(92)),CHAR(34),CHAR(92)&amp;CHAR(34)),CHAR(13),""),CHAR(10),CHAR(92)&amp;"n")&amp;CHAR(34)&amp;","&amp;CHAR(34)&amp;"action"&amp;CHAR(34)&amp;":"&amp;CHAR(34)&amp;SUBSTITUTE(SUBSTITUTE(SUBSTITUTE(SUBSTITUTE(AG27,CHAR(92),CHAR(92)&amp;CHAR(92)),CHAR(34),CHAR(92)&amp;CHAR(34)),CHAR(13),""),CHAR(10),CHAR(92)&amp;"n")&amp;CHAR(34)&amp;","&amp;CHAR(34)&amp;"istokenaction"&amp;CHAR(34)&amp;":false"&amp;CHAR(125))</x:f>
      </x:c>
    </x:row>
    <x:row r="28">
      <x:c r="AA28" t="str">
        <x:v>intelligence</x:v>
      </x:c>
      <x:c r="AB28" t="n">
        <x:f>10+2*Creator!E7</x:f>
        <x:v>10</x:v>
      </x:c>
      <x:c r="AC28" t="str">
        <x:f>""</x:f>
      </x:c>
      <x:c r="AD28" t="str">
        <x:f>IF(AB28="","",CHAR(123)&amp;CHAR(34)&amp;"name"&amp;CHAR(34)&amp;":"&amp;CHAR(34)&amp;AA28&amp;CHAR(34)&amp;","&amp;CHAR(34)&amp;"current"&amp;CHAR(34)&amp;":"&amp;CHAR(34)&amp;AB28&amp;""&amp;CHAR(34)&amp;","&amp;CHAR(34)&amp;"max"&amp;CHAR(34)&amp;":"&amp;CHAR(34)&amp;AC28&amp;""&amp;CHAR(34)&amp;CHAR(125))</x:f>
        <x:v>{"name":"intelligence","current":"10","max":""}</x:v>
      </x:c>
      <x:c r="AF28" t="n">
        <x:f>$C$15</x:f>
        <x:v>0</x:v>
      </x:c>
      <x:c r="AG28" t="str">
        <x:f>$Q$15</x:f>
      </x:c>
      <x:c r="AH28" t="str">
        <x:f>$R$15</x:f>
      </x:c>
      <x:c r="AI28" s="110" t="b">
        <x:v>0</x:v>
      </x:c>
      <x:c r="AJ28" t="str">
        <x:f>IF(OR(AF28="",AG28=""),"",CHAR(123)&amp;CHAR(34)&amp;"name"&amp;CHAR(34)&amp;":"&amp;CHAR(34)&amp;SUBSTITUTE(SUBSTITUTE(AF28,CHAR(92),CHAR(92)&amp;CHAR(92)),CHAR(34),CHAR(92)&amp;CHAR(34))&amp;CHAR(34)&amp;","&amp;CHAR(34)&amp;"description"&amp;CHAR(34)&amp;":"&amp;CHAR(34)&amp;SUBSTITUTE(SUBSTITUTE(SUBSTITUTE(SUBSTITUTE(AH28,CHAR(92),CHAR(92)&amp;CHAR(92)),CHAR(34),CHAR(92)&amp;CHAR(34)),CHAR(13),""),CHAR(10),CHAR(92)&amp;"n")&amp;CHAR(34)&amp;","&amp;CHAR(34)&amp;"action"&amp;CHAR(34)&amp;":"&amp;CHAR(34)&amp;SUBSTITUTE(SUBSTITUTE(SUBSTITUTE(SUBSTITUTE(AG28,CHAR(92),CHAR(92)&amp;CHAR(92)),CHAR(34),CHAR(92)&amp;CHAR(34)),CHAR(13),""),CHAR(10),CHAR(92)&amp;"n")&amp;CHAR(34)&amp;","&amp;CHAR(34)&amp;"istokenaction"&amp;CHAR(34)&amp;":false"&amp;CHAR(125))</x:f>
      </x:c>
    </x:row>
    <x:row r="29">
      <x:c r="AA29" t="str">
        <x:v>sagesse</x:v>
      </x:c>
      <x:c r="AB29" t="n">
        <x:f>10+2*Creator!E8</x:f>
        <x:v>16</x:v>
      </x:c>
      <x:c r="AC29" t="str">
        <x:f>""</x:f>
      </x:c>
      <x:c r="AD29" t="str">
        <x:f>IF(AB29="","",CHAR(123)&amp;CHAR(34)&amp;"name"&amp;CHAR(34)&amp;":"&amp;CHAR(34)&amp;AA29&amp;CHAR(34)&amp;","&amp;CHAR(34)&amp;"current"&amp;CHAR(34)&amp;":"&amp;CHAR(34)&amp;AB29&amp;""&amp;CHAR(34)&amp;","&amp;CHAR(34)&amp;"max"&amp;CHAR(34)&amp;":"&amp;CHAR(34)&amp;AC29&amp;""&amp;CHAR(34)&amp;CHAR(125))</x:f>
        <x:v>{"name":"sagesse","current":"16","max":""}</x:v>
      </x:c>
      <x:c r="AF29" t="n">
        <x:f>$C$16</x:f>
        <x:v>0</x:v>
      </x:c>
      <x:c r="AG29" t="str">
        <x:f>$Q$16</x:f>
      </x:c>
      <x:c r="AH29" t="str">
        <x:f>$R$16</x:f>
      </x:c>
      <x:c r="AI29" s="110" t="b">
        <x:v>0</x:v>
      </x:c>
      <x:c r="AJ29" t="str">
        <x:f>IF(OR(AF29="",AG29=""),"",CHAR(123)&amp;CHAR(34)&amp;"name"&amp;CHAR(34)&amp;":"&amp;CHAR(34)&amp;SUBSTITUTE(SUBSTITUTE(AF29,CHAR(92),CHAR(92)&amp;CHAR(92)),CHAR(34),CHAR(92)&amp;CHAR(34))&amp;CHAR(34)&amp;","&amp;CHAR(34)&amp;"description"&amp;CHAR(34)&amp;":"&amp;CHAR(34)&amp;SUBSTITUTE(SUBSTITUTE(SUBSTITUTE(SUBSTITUTE(AH29,CHAR(92),CHAR(92)&amp;CHAR(92)),CHAR(34),CHAR(92)&amp;CHAR(34)),CHAR(13),""),CHAR(10),CHAR(92)&amp;"n")&amp;CHAR(34)&amp;","&amp;CHAR(34)&amp;"action"&amp;CHAR(34)&amp;":"&amp;CHAR(34)&amp;SUBSTITUTE(SUBSTITUTE(SUBSTITUTE(SUBSTITUTE(AG29,CHAR(92),CHAR(92)&amp;CHAR(92)),CHAR(34),CHAR(92)&amp;CHAR(34)),CHAR(13),""),CHAR(10),CHAR(92)&amp;"n")&amp;CHAR(34)&amp;","&amp;CHAR(34)&amp;"istokenaction"&amp;CHAR(34)&amp;":false"&amp;CHAR(125))</x:f>
      </x:c>
    </x:row>
    <x:row r="30">
      <x:c r="AA30" t="str">
        <x:v>charisme</x:v>
      </x:c>
      <x:c r="AB30" t="n">
        <x:f>10+2*Creator!E9</x:f>
        <x:v>12</x:v>
      </x:c>
      <x:c r="AC30" t="str">
        <x:f>""</x:f>
      </x:c>
      <x:c r="AD30" t="str">
        <x:f>IF(AB30="","",CHAR(123)&amp;CHAR(34)&amp;"name"&amp;CHAR(34)&amp;":"&amp;CHAR(34)&amp;AA30&amp;CHAR(34)&amp;","&amp;CHAR(34)&amp;"current"&amp;CHAR(34)&amp;":"&amp;CHAR(34)&amp;AB30&amp;""&amp;CHAR(34)&amp;","&amp;CHAR(34)&amp;"max"&amp;CHAR(34)&amp;":"&amp;CHAR(34)&amp;AC30&amp;""&amp;CHAR(34)&amp;CHAR(125))</x:f>
        <x:v>{"name":"charisme","current":"12","max":""}</x:v>
      </x:c>
      <x:c r="AF30" t="n">
        <x:f>$C$17</x:f>
        <x:v>0</x:v>
      </x:c>
      <x:c r="AG30" t="str">
        <x:f>$Q$17</x:f>
      </x:c>
      <x:c r="AH30" t="str">
        <x:f>$R$17</x:f>
      </x:c>
      <x:c r="AI30" s="110" t="b">
        <x:v>0</x:v>
      </x:c>
      <x:c r="AJ30" t="str">
        <x:f>IF(OR(AF30="",AG30=""),"",CHAR(123)&amp;CHAR(34)&amp;"name"&amp;CHAR(34)&amp;":"&amp;CHAR(34)&amp;SUBSTITUTE(SUBSTITUTE(AF30,CHAR(92),CHAR(92)&amp;CHAR(92)),CHAR(34),CHAR(92)&amp;CHAR(34))&amp;CHAR(34)&amp;","&amp;CHAR(34)&amp;"description"&amp;CHAR(34)&amp;":"&amp;CHAR(34)&amp;SUBSTITUTE(SUBSTITUTE(SUBSTITUTE(SUBSTITUTE(AH30,CHAR(92),CHAR(92)&amp;CHAR(92)),CHAR(34),CHAR(92)&amp;CHAR(34)),CHAR(13),""),CHAR(10),CHAR(92)&amp;"n")&amp;CHAR(34)&amp;","&amp;CHAR(34)&amp;"action"&amp;CHAR(34)&amp;":"&amp;CHAR(34)&amp;SUBSTITUTE(SUBSTITUTE(SUBSTITUTE(SUBSTITUTE(AG30,CHAR(92),CHAR(92)&amp;CHAR(92)),CHAR(34),CHAR(92)&amp;CHAR(34)),CHAR(13),""),CHAR(10),CHAR(92)&amp;"n")&amp;CHAR(34)&amp;","&amp;CHAR(34)&amp;"istokenaction"&amp;CHAR(34)&amp;":false"&amp;CHAR(125))</x:f>
      </x:c>
    </x:row>
    <x:row r="31">
      <x:c r="AA31" t="str">
        <x:v>PV</x:v>
      </x:c>
      <x:c r="AB31" t="n">
        <x:f>Creator!E10</x:f>
        <x:v>101</x:v>
      </x:c>
      <x:c r="AC31" t="n">
        <x:f>Creator!E10</x:f>
        <x:v>101</x:v>
      </x:c>
      <x:c r="AD31" t="str">
        <x:f>IF(AB31="","",CHAR(123)&amp;CHAR(34)&amp;"name"&amp;CHAR(34)&amp;":"&amp;CHAR(34)&amp;AA31&amp;CHAR(34)&amp;","&amp;CHAR(34)&amp;"current"&amp;CHAR(34)&amp;":"&amp;CHAR(34)&amp;AB31&amp;""&amp;CHAR(34)&amp;","&amp;CHAR(34)&amp;"max"&amp;CHAR(34)&amp;":"&amp;CHAR(34)&amp;AC31&amp;""&amp;CHAR(34)&amp;CHAR(125))</x:f>
        <x:v>{"name":"PV","current":"101","max":"101"}</x:v>
      </x:c>
      <x:c r="AF31" t="n">
        <x:f>$C$18</x:f>
        <x:v>0</x:v>
      </x:c>
      <x:c r="AG31" t="str">
        <x:f>$Q$18</x:f>
      </x:c>
      <x:c r="AH31" t="str">
        <x:f>$R$18</x:f>
      </x:c>
      <x:c r="AI31" s="110" t="b">
        <x:v>0</x:v>
      </x:c>
      <x:c r="AJ31" t="str">
        <x:f>IF(OR(AF31="",AG31=""),"",CHAR(123)&amp;CHAR(34)&amp;"name"&amp;CHAR(34)&amp;":"&amp;CHAR(34)&amp;SUBSTITUTE(SUBSTITUTE(AF31,CHAR(92),CHAR(92)&amp;CHAR(92)),CHAR(34),CHAR(92)&amp;CHAR(34))&amp;CHAR(34)&amp;","&amp;CHAR(34)&amp;"description"&amp;CHAR(34)&amp;":"&amp;CHAR(34)&amp;SUBSTITUTE(SUBSTITUTE(SUBSTITUTE(SUBSTITUTE(AH31,CHAR(92),CHAR(92)&amp;CHAR(92)),CHAR(34),CHAR(92)&amp;CHAR(34)),CHAR(13),""),CHAR(10),CHAR(92)&amp;"n")&amp;CHAR(34)&amp;","&amp;CHAR(34)&amp;"action"&amp;CHAR(34)&amp;":"&amp;CHAR(34)&amp;SUBSTITUTE(SUBSTITUTE(SUBSTITUTE(SUBSTITUTE(AG31,CHAR(92),CHAR(92)&amp;CHAR(92)),CHAR(34),CHAR(92)&amp;CHAR(34)),CHAR(13),""),CHAR(10),CHAR(92)&amp;"n")&amp;CHAR(34)&amp;","&amp;CHAR(34)&amp;"istokenaction"&amp;CHAR(34)&amp;":false"&amp;CHAR(125))</x:f>
      </x:c>
    </x:row>
    <x:row r="32">
      <x:c r="AA32" t="str">
        <x:v>PV_max</x:v>
      </x:c>
      <x:c r="AB32" t="n">
        <x:f>Creator!E10</x:f>
        <x:v>101</x:v>
      </x:c>
      <x:c r="AC32" t="str">
        <x:f>""</x:f>
      </x:c>
      <x:c r="AD32" t="str">
        <x:f>IF(AB32="","",CHAR(123)&amp;CHAR(34)&amp;"name"&amp;CHAR(34)&amp;":"&amp;CHAR(34)&amp;AA32&amp;CHAR(34)&amp;","&amp;CHAR(34)&amp;"current"&amp;CHAR(34)&amp;":"&amp;CHAR(34)&amp;AB32&amp;""&amp;CHAR(34)&amp;","&amp;CHAR(34)&amp;"max"&amp;CHAR(34)&amp;":"&amp;CHAR(34)&amp;AC32&amp;""&amp;CHAR(34)&amp;CHAR(125))</x:f>
        <x:v>{"name":"PV_max","current":"101","max":""}</x:v>
      </x:c>
      <x:c r="AF32" t="n">
        <x:f>$C$19</x:f>
        <x:v>0</x:v>
      </x:c>
      <x:c r="AG32" t="n">
        <x:f>$Q$19</x:f>
        <x:v>0</x:v>
      </x:c>
      <x:c r="AH32" t="n">
        <x:f>$R$19</x:f>
        <x:v>0</x:v>
      </x:c>
      <x:c r="AI32" s="110" t="b">
        <x:v>0</x:v>
      </x:c>
      <x:c r="AJ32" t="str">
        <x:f>IF(OR(AF32="",AG32=""),"",CHAR(123)&amp;CHAR(34)&amp;"name"&amp;CHAR(34)&amp;":"&amp;CHAR(34)&amp;SUBSTITUTE(SUBSTITUTE(AF32,CHAR(92),CHAR(92)&amp;CHAR(92)),CHAR(34),CHAR(92)&amp;CHAR(34))&amp;CHAR(34)&amp;","&amp;CHAR(34)&amp;"description"&amp;CHAR(34)&amp;":"&amp;CHAR(34)&amp;SUBSTITUTE(SUBSTITUTE(SUBSTITUTE(SUBSTITUTE(AH32,CHAR(92),CHAR(92)&amp;CHAR(92)),CHAR(34),CHAR(92)&amp;CHAR(34)),CHAR(13),""),CHAR(10),CHAR(92)&amp;"n")&amp;CHAR(34)&amp;","&amp;CHAR(34)&amp;"action"&amp;CHAR(34)&amp;":"&amp;CHAR(34)&amp;SUBSTITUTE(SUBSTITUTE(SUBSTITUTE(SUBSTITUTE(AG32,CHAR(92),CHAR(92)&amp;CHAR(92)),CHAR(34),CHAR(92)&amp;CHAR(34)),CHAR(13),""),CHAR(10),CHAR(92)&amp;"n")&amp;CHAR(34)&amp;","&amp;CHAR(34)&amp;"istokenaction"&amp;CHAR(34)&amp;":false"&amp;CHAR(125))</x:f>
      </x:c>
    </x:row>
    <x:row r="33">
      <x:c r="AA33" t="str">
        <x:v>pnj_def</x:v>
      </x:c>
      <x:c r="AB33" t="n">
        <x:f>Creator!E11</x:f>
        <x:v>21</x:v>
      </x:c>
      <x:c r="AC33" t="str">
        <x:f>""</x:f>
      </x:c>
      <x:c r="AD33" t="str">
        <x:f>IF(AB33="","",CHAR(123)&amp;CHAR(34)&amp;"name"&amp;CHAR(34)&amp;":"&amp;CHAR(34)&amp;AA33&amp;CHAR(34)&amp;","&amp;CHAR(34)&amp;"current"&amp;CHAR(34)&amp;":"&amp;CHAR(34)&amp;AB33&amp;""&amp;CHAR(34)&amp;","&amp;CHAR(34)&amp;"max"&amp;CHAR(34)&amp;":"&amp;CHAR(34)&amp;AC33&amp;""&amp;CHAR(34)&amp;CHAR(125))</x:f>
        <x:v>{"name":"pnj_def","current":"21","max":""}</x:v>
      </x:c>
    </x:row>
    <x:row r="34">
      <x:c r="AA34" t="str">
        <x:v>pnj_init</x:v>
      </x:c>
      <x:c r="AB34" t="n">
        <x:f>Creator!E12</x:f>
        <x:v>15</x:v>
      </x:c>
      <x:c r="AC34" t="str">
        <x:f>""</x:f>
      </x:c>
      <x:c r="AD34" t="str">
        <x:f>IF(AB34="","",CHAR(123)&amp;CHAR(34)&amp;"name"&amp;CHAR(34)&amp;":"&amp;CHAR(34)&amp;AA34&amp;CHAR(34)&amp;","&amp;CHAR(34)&amp;"current"&amp;CHAR(34)&amp;":"&amp;CHAR(34)&amp;AB34&amp;""&amp;CHAR(34)&amp;","&amp;CHAR(34)&amp;"max"&amp;CHAR(34)&amp;":"&amp;CHAR(34)&amp;AC34&amp;""&amp;CHAR(34)&amp;CHAR(125))</x:f>
        <x:v>{"name":"pnj_init","current":"15","max":""}</x:v>
      </x:c>
    </x:row>
    <x:row r="35">
      <x:c r="AA35" t="str">
        <x:v>predicats_script</x:v>
      </x:c>
      <x:c r="AB35" t="str">
        <x:f>$AB$5</x:f>
        <x:v>resistanceA_tranchant resistanceA_percant absorptionA_feu faiblesseMajeureA_eau</x:v>
      </x:c>
      <x:c r="AC35" t="str">
        <x:f>""</x:f>
      </x:c>
      <x:c r="AD35" t="str">
        <x:f>IF(AB35="","",CHAR(123)&amp;CHAR(34)&amp;"name"&amp;CHAR(34)&amp;":"&amp;CHAR(34)&amp;AA35&amp;CHAR(34)&amp;","&amp;CHAR(34)&amp;"current"&amp;CHAR(34)&amp;":"&amp;CHAR(34)&amp;SUBSTITUTE(SUBSTITUTE(SUBSTITUTE(SUBSTITUTE(AB35,CHAR(92),CHAR(92)&amp;CHAR(92)),CHAR(34),CHAR(92)&amp;CHAR(34)),CHAR(13),""),CHAR(10),CHAR(92)&amp;"n")&amp;CHAR(34)&amp;","&amp;CHAR(34)&amp;"max"&amp;CHAR(34)&amp;":"&amp;CHAR(34)&amp;AC35&amp;""&amp;CHAR(34)&amp;CHAR(125))</x:f>
        <x:v>{"name":"predicats_script","current":"resistanceA_tranchant resistanceA_percant absorptionA_feu faiblesseMajeureA_eau","max":""}</x:v>
      </x:c>
    </x:row>
    <x:row r="36">
      <x:c r="AA36" t="str">
        <x:v>capacites_pnj</x:v>
      </x:c>
      <x:c r="AB36" t="str">
        <x:f>$AB$6</x:f>
        <x:v>Souffle élémentaire : Élément associé ; moitié sur réussite</x:v>
      </x:c>
      <x:c r="AC36" t="str">
        <x:f>""</x:f>
      </x:c>
      <x:c r="AD36" t="str">
        <x:f>IF(AB36="","",CHAR(123)&amp;CHAR(34)&amp;"name"&amp;CHAR(34)&amp;":"&amp;CHAR(34)&amp;AA36&amp;CHAR(34)&amp;","&amp;CHAR(34)&amp;"current"&amp;CHAR(34)&amp;":"&amp;CHAR(34)&amp;SUBSTITUTE(SUBSTITUTE(SUBSTITUTE(SUBSTITUTE(AB36,CHAR(92),CHAR(92)&amp;CHAR(92)),CHAR(34),CHAR(92)&amp;CHAR(34)),CHAR(13),""),CHAR(10),CHAR(92)&amp;"n")&amp;CHAR(34)&amp;","&amp;CHAR(34)&amp;"max"&amp;CHAR(34)&amp;":"&amp;CHAR(34)&amp;AC36&amp;""&amp;CHAR(34)&amp;CHAR(125))</x:f>
        <x:v>{"name":"capacites_pnj","current":"Souffle élémentaire : Élément associé ; moitié sur réussite","max":""}</x:v>
      </x:c>
    </x:row>
    <x:row r="37">
      <x:c r="AA37" t="str">
        <x:v>RDS</x:v>
      </x:c>
      <x:c r="AB37" t="str">
        <x:f>""</x:f>
      </x:c>
      <x:c r="AC37" t="str">
        <x:f>""</x:f>
      </x:c>
      <x:c r="AD37" t="str">
        <x:f>IF(AB37="","",CHAR(123)&amp;CHAR(34)&amp;"name"&amp;CHAR(34)&amp;":"&amp;CHAR(34)&amp;AA37&amp;CHAR(34)&amp;","&amp;CHAR(34)&amp;"current"&amp;CHAR(34)&amp;":"&amp;CHAR(34)&amp;AB37&amp;""&amp;CHAR(34)&amp;","&amp;CHAR(34)&amp;"max"&amp;CHAR(34)&amp;":"&amp;CHAR(34)&amp;AC37&amp;""&amp;CHAR(34)&amp;CHAR(125))</x:f>
      </x:c>
    </x:row>
    <x:row r="38">
      <x:c r="AA38" t="str">
        <x:v>show_script</x:v>
      </x:c>
      <x:c r="AB38" t="n">
        <x:f>1</x:f>
        <x:v>1</x:v>
      </x:c>
      <x:c r="AC38" t="str">
        <x:f>""</x:f>
      </x:c>
      <x:c r="AD38" t="str">
        <x:f>IF(AB38="","",CHAR(123)&amp;CHAR(34)&amp;"name"&amp;CHAR(34)&amp;":"&amp;CHAR(34)&amp;AA38&amp;CHAR(34)&amp;","&amp;CHAR(34)&amp;"current"&amp;CHAR(34)&amp;":"&amp;CHAR(34)&amp;AB38&amp;""&amp;CHAR(34)&amp;","&amp;CHAR(34)&amp;"max"&amp;CHAR(34)&amp;":"&amp;CHAR(34)&amp;AC38&amp;""&amp;CHAR(34)&amp;CHAR(125))</x:f>
        <x:v>{"name":"show_script","current":"1","max":""}</x:v>
      </x:c>
    </x:row>
    <x:row r="39">
      <x:c r="AA39" t="str">
        <x:v>pnj_default_jets_caches</x:v>
      </x:c>
      <x:c r="AB39" t="str">
        <x:f>"false"</x:f>
        <x:v>false</x:v>
      </x:c>
      <x:c r="AC39" t="str">
        <x:f>""</x:f>
      </x:c>
      <x:c r="AD39" t="str">
        <x:f>IF(AB39="","",CHAR(123)&amp;CHAR(34)&amp;"name"&amp;CHAR(34)&amp;":"&amp;CHAR(34)&amp;AA39&amp;CHAR(34)&amp;","&amp;CHAR(34)&amp;"current"&amp;CHAR(34)&amp;":"&amp;CHAR(34)&amp;AB39&amp;""&amp;CHAR(34)&amp;","&amp;CHAR(34)&amp;"max"&amp;CHAR(34)&amp;":"&amp;CHAR(34)&amp;AC39&amp;""&amp;CHAR(34)&amp;CHAR(125))</x:f>
        <x:v>{"name":"pnj_default_jets_caches","current":"false","max":""}</x:v>
      </x:c>
    </x:row>
    <x:row r="40">
      <x:c r="AA40" t="str">
        <x:v>element_lie</x:v>
      </x:c>
      <x:c r="AB40" t="str">
        <x:f>Creator!B16</x:f>
        <x:v>Feu</x:v>
      </x:c>
      <x:c r="AC40" t="str">
        <x:f>""</x:f>
      </x:c>
      <x:c r="AD40" t="str">
        <x:f>IF(AB40="","",CHAR(123)&amp;CHAR(34)&amp;"name"&amp;CHAR(34)&amp;":"&amp;CHAR(34)&amp;AA40&amp;CHAR(34)&amp;","&amp;CHAR(34)&amp;"current"&amp;CHAR(34)&amp;":"&amp;CHAR(34)&amp;SUBSTITUTE(SUBSTITUTE(SUBSTITUTE(SUBSTITUTE(AB40,CHAR(92),CHAR(92)&amp;CHAR(92)),CHAR(34),CHAR(92)&amp;CHAR(34)),CHAR(13),""),CHAR(10),CHAR(92)&amp;"n")&amp;CHAR(34)&amp;","&amp;CHAR(34)&amp;"max"&amp;CHAR(34)&amp;":"&amp;CHAR(34)&amp;AC40&amp;""&amp;CHAR(34)&amp;CHAR(125))</x:f>
        <x:v>{"name":"element_lie","current":"Feu","max":""}</x:v>
      </x:c>
    </x:row>
    <x:row r="41">
      <x:c r="AA41" t="str">
        <x:v>element_oppose</x:v>
      </x:c>
      <x:c r="AB41" t="str">
        <x:f>Creator!B17</x:f>
        <x:v>Eau</x:v>
      </x:c>
      <x:c r="AC41" t="str">
        <x:f>""</x:f>
      </x:c>
      <x:c r="AD41" t="str">
        <x:f>IF(AB41="","",CHAR(123)&amp;CHAR(34)&amp;"name"&amp;CHAR(34)&amp;":"&amp;CHAR(34)&amp;AA41&amp;CHAR(34)&amp;","&amp;CHAR(34)&amp;"current"&amp;CHAR(34)&amp;":"&amp;CHAR(34)&amp;SUBSTITUTE(SUBSTITUTE(SUBSTITUTE(SUBSTITUTE(AB41,CHAR(92),CHAR(92)&amp;CHAR(92)),CHAR(34),CHAR(92)&amp;CHAR(34)),CHAR(13),""),CHAR(10),CHAR(92)&amp;"n")&amp;CHAR(34)&amp;","&amp;CHAR(34)&amp;"max"&amp;CHAR(34)&amp;":"&amp;CHAR(34)&amp;AC41&amp;""&amp;CHAR(34)&amp;CHAR(125))</x:f>
        <x:v>{"name":"element_oppose","current":"Eau","max":""}</x:v>
      </x:c>
    </x:row>
    <x:row r="42">
      <x:c r="AA42" t="str">
        <x:v>affinites</x:v>
      </x:c>
      <x:c r="AB42" t="str">
        <x:f>Creator!E25</x:f>
        <x:v>R Tranchant; R Perforant; S Feu; FM Eau</x:v>
      </x:c>
      <x:c r="AC42" t="str">
        <x:f>""</x:f>
      </x:c>
      <x:c r="AD42" t="str">
        <x:f>IF(AB42="","",CHAR(123)&amp;CHAR(34)&amp;"name"&amp;CHAR(34)&amp;":"&amp;CHAR(34)&amp;AA42&amp;CHAR(34)&amp;","&amp;CHAR(34)&amp;"current"&amp;CHAR(34)&amp;":"&amp;CHAR(34)&amp;SUBSTITUTE(SUBSTITUTE(SUBSTITUTE(SUBSTITUTE(AB42,CHAR(92),CHAR(92)&amp;CHAR(92)),CHAR(34),CHAR(92)&amp;CHAR(34)),CHAR(13),""),CHAR(10),CHAR(92)&amp;"n")&amp;CHAR(34)&amp;","&amp;CHAR(34)&amp;"max"&amp;CHAR(34)&amp;":"&amp;CHAR(34)&amp;AC42&amp;""&amp;CHAR(34)&amp;CHAR(125))</x:f>
        <x:v>{"name":"affinites","current":"R Tranchant; R Perforant; S Feu; FM Eau","max":""}</x:v>
      </x:c>
    </x:row>
    <x:row r="43">
      <x:c r="AA43" t="str">
        <x:v>mouvement</x:v>
      </x:c>
      <x:c r="AB43" t="n">
        <x:f>Creator!E13</x:f>
        <x:v>9</x:v>
      </x:c>
      <x:c r="AC43" t="str">
        <x:f>""</x:f>
      </x:c>
      <x:c r="AD43" t="str">
        <x:f>IF(AB43="","",CHAR(123)&amp;CHAR(34)&amp;"name"&amp;CHAR(34)&amp;":"&amp;CHAR(34)&amp;AA43&amp;CHAR(34)&amp;","&amp;CHAR(34)&amp;"current"&amp;CHAR(34)&amp;":"&amp;CHAR(34)&amp;AB43&amp;""&amp;CHAR(34)&amp;","&amp;CHAR(34)&amp;"max"&amp;CHAR(34)&amp;":"&amp;CHAR(34)&amp;AC43&amp;""&amp;CHAR(34)&amp;CHAR(125))</x:f>
        <x:v>{"name":"mouvement","current":"9","max":""}</x:v>
      </x:c>
    </x:row>
    <x:row r="44">
      <x:c r="AA44" t="str">
        <x:v>vol</x:v>
      </x:c>
      <x:c r="AB44" t="n">
        <x:f>Creator!E14</x:f>
        <x:v>12</x:v>
      </x:c>
      <x:c r="AC44" t="str">
        <x:f>""</x:f>
      </x:c>
      <x:c r="AD44" t="str">
        <x:f>IF(AB44="","",CHAR(123)&amp;CHAR(34)&amp;"name"&amp;CHAR(34)&amp;":"&amp;CHAR(34)&amp;AA44&amp;CHAR(34)&amp;","&amp;CHAR(34)&amp;"current"&amp;CHAR(34)&amp;":"&amp;CHAR(34)&amp;AB44&amp;""&amp;CHAR(34)&amp;","&amp;CHAR(34)&amp;"max"&amp;CHAR(34)&amp;":"&amp;CHAR(34)&amp;AC44&amp;""&amp;CHAR(34)&amp;CHAR(125))</x:f>
        <x:v>{"name":"vol","current":"12","max":""}</x:v>
      </x:c>
    </x:row>
    <x:row r="45">
      <x:c r="AA45" t="str">
        <x:v>nage</x:v>
      </x:c>
      <x:c r="AB45" t="n">
        <x:f>Creator!E15</x:f>
        <x:v>9</x:v>
      </x:c>
      <x:c r="AC45" t="str">
        <x:f>""</x:f>
      </x:c>
      <x:c r="AD45" t="str">
        <x:f>IF(AB45="","",CHAR(123)&amp;CHAR(34)&amp;"name"&amp;CHAR(34)&amp;":"&amp;CHAR(34)&amp;AA45&amp;CHAR(34)&amp;","&amp;CHAR(34)&amp;"current"&amp;CHAR(34)&amp;":"&amp;CHAR(34)&amp;AB45&amp;""&amp;CHAR(34)&amp;","&amp;CHAR(34)&amp;"max"&amp;CHAR(34)&amp;":"&amp;CHAR(34)&amp;AC45&amp;""&amp;CHAR(34)&amp;CHAR(125))</x:f>
        <x:v>{"name":"nage","current":"9","max":""}</x:v>
      </x:c>
    </x:row>
    <x:row r="46">
      <x:c r="AA46" t="str">
        <x:v>escalade</x:v>
      </x:c>
      <x:c r="AB46" t="n">
        <x:f>Creator!E16</x:f>
        <x:v>0</x:v>
      </x:c>
      <x:c r="AC46" t="str">
        <x:f>""</x:f>
      </x:c>
      <x:c r="AD46" t="str">
        <x:f>IF(AB46="","",CHAR(123)&amp;CHAR(34)&amp;"name"&amp;CHAR(34)&amp;":"&amp;CHAR(34)&amp;AA46&amp;CHAR(34)&amp;","&amp;CHAR(34)&amp;"current"&amp;CHAR(34)&amp;":"&amp;CHAR(34)&amp;AB46&amp;""&amp;CHAR(34)&amp;","&amp;CHAR(34)&amp;"max"&amp;CHAR(34)&amp;":"&amp;CHAR(34)&amp;AC46&amp;""&amp;CHAR(34)&amp;CHAR(125))</x:f>
      </x:c>
    </x:row>
    <x:row r="47">
      <x:c r="AA47" t="str">
        <x:v>fouissement</x:v>
      </x:c>
      <x:c r="AB47" t="n">
        <x:f>Creator!E17</x:f>
        <x:v>0</x:v>
      </x:c>
      <x:c r="AC47" t="str">
        <x:f>""</x:f>
      </x:c>
      <x:c r="AD47" t="str">
        <x:f>IF(AB47="","",CHAR(123)&amp;CHAR(34)&amp;"name"&amp;CHAR(34)&amp;":"&amp;CHAR(34)&amp;AA47&amp;CHAR(34)&amp;","&amp;CHAR(34)&amp;"current"&amp;CHAR(34)&amp;":"&amp;CHAR(34)&amp;AB47&amp;""&amp;CHAR(34)&amp;","&amp;CHAR(34)&amp;"max"&amp;CHAR(34)&amp;":"&amp;CHAR(34)&amp;AC47&amp;""&amp;CHAR(34)&amp;CHAR(125))</x:f>
      </x:c>
    </x:row>
    <x:row r="48">
      <x:c r="AA48" t="str">
        <x:v>allonge</x:v>
      </x:c>
      <x:c r="AB48" t="n">
        <x:f>Creator!E18</x:f>
        <x:v>2</x:v>
      </x:c>
      <x:c r="AC48" t="str">
        <x:f>""</x:f>
      </x:c>
      <x:c r="AD48" t="str">
        <x:f>IF(AB48="","",CHAR(123)&amp;CHAR(34)&amp;"name"&amp;CHAR(34)&amp;":"&amp;CHAR(34)&amp;AA48&amp;CHAR(34)&amp;","&amp;CHAR(34)&amp;"current"&amp;CHAR(34)&amp;":"&amp;CHAR(34)&amp;AB48&amp;""&amp;CHAR(34)&amp;","&amp;CHAR(34)&amp;"max"&amp;CHAR(34)&amp;":"&amp;CHAR(34)&amp;AC48&amp;""&amp;CHAR(34)&amp;CHAR(125))</x:f>
        <x:v>{"name":"allonge","current":"2","max":""}</x:v>
      </x:c>
    </x:row>
    <x:row r="49">
      <x:c r="AA49" t="str">
        <x:v>NC_REEL</x:v>
      </x:c>
      <x:c r="AB49" t="n">
        <x:f>Moteur!AB27</x:f>
        <x:v>10.713373319298498</x:v>
      </x:c>
      <x:c r="AC49" t="str">
        <x:f>""</x:f>
      </x:c>
      <x:c r="AD49" t="str">
        <x:f>IF(AB49="","",CHAR(123)&amp;CHAR(34)&amp;"name"&amp;CHAR(34)&amp;":"&amp;CHAR(34)&amp;AA49&amp;CHAR(34)&amp;","&amp;CHAR(34)&amp;"current"&amp;CHAR(34)&amp;":"&amp;CHAR(34)&amp;AB49&amp;""&amp;CHAR(34)&amp;","&amp;CHAR(34)&amp;"max"&amp;CHAR(34)&amp;":"&amp;CHAR(34)&amp;AC49&amp;""&amp;CHAR(34)&amp;CHAR(125))</x:f>
        <x:v>{"name":"NC_REEL","current":"10.713373319298498","max":""}</x:v>
      </x:c>
    </x:row>
    <x:row r="50">
      <x:c r="AA50" t="str">
        <x:v>DANGER_REEL</x:v>
      </x:c>
      <x:c r="AB50" t="n">
        <x:f>Moteur!AB26</x:f>
        <x:v>873.6211402457027</x:v>
      </x:c>
      <x:c r="AC50" t="str">
        <x:f>""</x:f>
      </x:c>
      <x:c r="AD50" t="str">
        <x:f>IF(AB50="","",CHAR(123)&amp;CHAR(34)&amp;"name"&amp;CHAR(34)&amp;":"&amp;CHAR(34)&amp;AA50&amp;CHAR(34)&amp;","&amp;CHAR(34)&amp;"current"&amp;CHAR(34)&amp;":"&amp;CHAR(34)&amp;AB50&amp;""&amp;CHAR(34)&amp;","&amp;CHAR(34)&amp;"max"&amp;CHAR(34)&amp;":"&amp;CHAR(34)&amp;AC50&amp;""&amp;CHAR(34)&amp;CHAR(125))</x:f>
        <x:v>{"name":"DANGER_REEL","current":"873.6211402457027","max":""}</x:v>
      </x:c>
    </x:row>
    <x:row r="51">
      <x:c r="AA51" t="str">
        <x:v>loot_moyen_pc</x:v>
      </x:c>
      <x:c r="AB51" t="n">
        <x:f>Creator!E26</x:f>
        <x:v>15000</x:v>
      </x:c>
      <x:c r="AC51" t="str">
        <x:f>""</x:f>
      </x:c>
      <x:c r="AD51" t="str">
        <x:f>IF(AB51="","",CHAR(123)&amp;CHAR(34)&amp;"name"&amp;CHAR(34)&amp;":"&amp;CHAR(34)&amp;AA51&amp;CHAR(34)&amp;","&amp;CHAR(34)&amp;"current"&amp;CHAR(34)&amp;":"&amp;CHAR(34)&amp;AB51&amp;""&amp;CHAR(34)&amp;","&amp;CHAR(34)&amp;"max"&amp;CHAR(34)&amp;":"&amp;CHAR(34)&amp;AC51&amp;""&amp;CHAR(34)&amp;CHAR(125))</x:f>
        <x:v>{"name":"loot_moyen_pc","current":"15000","max":""}</x:v>
      </x:c>
    </x:row>
    <x:row r="52">
      <x:c r="AA52" t="str">
        <x:v>max_attack_label</x:v>
      </x:c>
      <x:c r="AB52" t="n">
        <x:f>COUNTIF(Creator!A39:A42,"&lt;&gt;")</x:f>
        <x:v>2</x:v>
      </x:c>
      <x:c r="AC52" t="str">
        <x:f>""</x:f>
      </x:c>
      <x:c r="AD52" t="str">
        <x:f>IF(AB52="","",CHAR(123)&amp;CHAR(34)&amp;"name"&amp;CHAR(34)&amp;":"&amp;CHAR(34)&amp;AA52&amp;CHAR(34)&amp;","&amp;CHAR(34)&amp;"current"&amp;CHAR(34)&amp;":"&amp;CHAR(34)&amp;AB52&amp;""&amp;CHAR(34)&amp;","&amp;CHAR(34)&amp;"max"&amp;CHAR(34)&amp;":"&amp;CHAR(34)&amp;AC52&amp;""&amp;CHAR(34)&amp;CHAR(125))</x:f>
        <x:v>{"name":"max_attack_label","current":"2","max":""}</x:v>
      </x:c>
    </x:row>
    <x:row r="53">
      <x:c r="AA53" t="str">
        <x:v>maxrangaction</x:v>
      </x:c>
      <x:c r="AB53" t="n">
        <x:f>COUNTIF($Q$2:$Q$19,"&lt;&gt;")</x:f>
        <x:v>18</x:v>
      </x:c>
      <x:c r="AC53" t="str">
        <x:f>""</x:f>
      </x:c>
      <x:c r="AD53" t="str">
        <x:f>IF(AB53="","",CHAR(123)&amp;CHAR(34)&amp;"name"&amp;CHAR(34)&amp;":"&amp;CHAR(34)&amp;AA53&amp;CHAR(34)&amp;","&amp;CHAR(34)&amp;"current"&amp;CHAR(34)&amp;":"&amp;CHAR(34)&amp;AB53&amp;""&amp;CHAR(34)&amp;","&amp;CHAR(34)&amp;"max"&amp;CHAR(34)&amp;":"&amp;CHAR(34)&amp;AC53&amp;""&amp;CHAR(34)&amp;CHAR(125))</x:f>
        <x:v>{"name":"maxrangaction","current":"18","max":""}</x:v>
      </x:c>
    </x:row>
    <x:row r="54">
      <x:c r="AA54" t="str">
        <x:v>repeating_pnjatk_MCATK1_armelabel</x:v>
      </x:c>
      <x:c r="AB54" t="n">
        <x:f>IF(Creator!A39&lt;&gt;"",1,"")</x:f>
        <x:v>1</x:v>
      </x:c>
      <x:c r="AC54" t="str">
        <x:f>""</x:f>
      </x:c>
      <x:c r="AD54" t="str">
        <x:f>IF(AB54="","",CHAR(123)&amp;CHAR(34)&amp;"name"&amp;CHAR(34)&amp;":"&amp;CHAR(34)&amp;AA54&amp;CHAR(34)&amp;","&amp;CHAR(34)&amp;"current"&amp;CHAR(34)&amp;":"&amp;CHAR(34)&amp;AB54&amp;""&amp;CHAR(34)&amp;","&amp;CHAR(34)&amp;"max"&amp;CHAR(34)&amp;":"&amp;CHAR(34)&amp;AC54&amp;""&amp;CHAR(34)&amp;CHAR(125))</x:f>
        <x:v>{"name":"repeating_pnjatk_MCATK1_armelabel","current":"1","max":""}</x:v>
      </x:c>
    </x:row>
    <x:row r="55">
      <x:c r="AA55" t="str">
        <x:v>repeating_pnjatk_MCATK1_armeactionvisible</x:v>
      </x:c>
      <x:c r="AB55" t="n">
        <x:f>IF(Creator!A39&lt;&gt;"",1,"")</x:f>
        <x:v>1</x:v>
      </x:c>
      <x:c r="AC55" t="str">
        <x:f>""</x:f>
      </x:c>
      <x:c r="AD55" t="str">
        <x:f>IF(AB55="","",CHAR(123)&amp;CHAR(34)&amp;"name"&amp;CHAR(34)&amp;":"&amp;CHAR(34)&amp;AA55&amp;CHAR(34)&amp;","&amp;CHAR(34)&amp;"current"&amp;CHAR(34)&amp;":"&amp;CHAR(34)&amp;AB55&amp;""&amp;CHAR(34)&amp;","&amp;CHAR(34)&amp;"max"&amp;CHAR(34)&amp;":"&amp;CHAR(34)&amp;AC55&amp;""&amp;CHAR(34)&amp;CHAR(125))</x:f>
        <x:v>{"name":"repeating_pnjatk_MCATK1_armeactionvisible","current":"1","max":""}</x:v>
      </x:c>
    </x:row>
    <x:row r="56">
      <x:c r="AA56" t="str">
        <x:v>repeating_pnjatk_MCATK1_armenom</x:v>
      </x:c>
      <x:c r="AB56" t="str">
        <x:f>IF(Creator!A39&lt;&gt;"",Creator!A39,"")</x:f>
        <x:v>Attaque principale</x:v>
      </x:c>
      <x:c r="AC56" t="str">
        <x:f>""</x:f>
      </x:c>
      <x:c r="AD56" t="str">
        <x:f>IF(AB56="","",CHAR(123)&amp;CHAR(34)&amp;"name"&amp;CHAR(34)&amp;":"&amp;CHAR(34)&amp;AA56&amp;CHAR(34)&amp;","&amp;CHAR(34)&amp;"current"&amp;CHAR(34)&amp;":"&amp;CHAR(34)&amp;SUBSTITUTE(SUBSTITUTE(SUBSTITUTE(SUBSTITUTE(AB56,CHAR(92),CHAR(92)&amp;CHAR(92)),CHAR(34),CHAR(92)&amp;CHAR(34)),CHAR(13),""),CHAR(10),CHAR(92)&amp;"n")&amp;CHAR(34)&amp;","&amp;CHAR(34)&amp;"max"&amp;CHAR(34)&amp;":"&amp;CHAR(34)&amp;AC56&amp;""&amp;CHAR(34)&amp;CHAR(125))</x:f>
        <x:v>{"name":"repeating_pnjatk_MCATK1_armenom","current":"Attaque principale","max":""}</x:v>
      </x:c>
    </x:row>
    <x:row r="57">
      <x:c r="AA57" t="str">
        <x:v>repeating_pnjatk_MCATK1_armeatk</x:v>
      </x:c>
      <x:c r="AB57" t="n">
        <x:f>IF(Creator!A39&lt;&gt;"",Creator!G39,"")</x:f>
        <x:v>7</x:v>
      </x:c>
      <x:c r="AC57" t="str">
        <x:f>""</x:f>
      </x:c>
      <x:c r="AD57" t="str">
        <x:f>IF(AB57="","",CHAR(123)&amp;CHAR(34)&amp;"name"&amp;CHAR(34)&amp;":"&amp;CHAR(34)&amp;AA57&amp;CHAR(34)&amp;","&amp;CHAR(34)&amp;"current"&amp;CHAR(34)&amp;":"&amp;CHAR(34)&amp;AB57&amp;""&amp;CHAR(34)&amp;","&amp;CHAR(34)&amp;"max"&amp;CHAR(34)&amp;":"&amp;CHAR(34)&amp;AC57&amp;""&amp;CHAR(34)&amp;CHAR(125))</x:f>
        <x:v>{"name":"repeating_pnjatk_MCATK1_armeatk","current":"7","max":""}</x:v>
      </x:c>
    </x:row>
    <x:row r="58">
      <x:c r="AA58" t="str">
        <x:v>repeating_pnjatk_MCATK1_armecrit</x:v>
      </x:c>
      <x:c r="AB58" t="n">
        <x:f>IF(Creator!A39&lt;&gt;"",20,"")</x:f>
        <x:v>20</x:v>
      </x:c>
      <x:c r="AC58" t="str">
        <x:f>""</x:f>
      </x:c>
      <x:c r="AD58" t="str">
        <x:f>IF(AB58="","",CHAR(123)&amp;CHAR(34)&amp;"name"&amp;CHAR(34)&amp;":"&amp;CHAR(34)&amp;AA58&amp;CHAR(34)&amp;","&amp;CHAR(34)&amp;"current"&amp;CHAR(34)&amp;":"&amp;CHAR(34)&amp;AB58&amp;""&amp;CHAR(34)&amp;","&amp;CHAR(34)&amp;"max"&amp;CHAR(34)&amp;":"&amp;CHAR(34)&amp;AC58&amp;""&amp;CHAR(34)&amp;CHAR(125))</x:f>
        <x:v>{"name":"repeating_pnjatk_MCATK1_armecrit","current":"20","max":""}</x:v>
      </x:c>
    </x:row>
    <x:row r="59">
      <x:c r="AA59" t="str">
        <x:v>repeating_pnjatk_MCATK1_armedmnbde</x:v>
      </x:c>
      <x:c r="AB59" t="n">
        <x:f>IF(Creator!A39&lt;&gt;"",VALUE(LEFT(Creator!E39,FIND("d",Creator!E39)-1)),"")</x:f>
        <x:v>2</x:v>
      </x:c>
      <x:c r="AC59" t="str">
        <x:f>""</x:f>
      </x:c>
      <x:c r="AD59" t="str">
        <x:f>IF(AB59="","",CHAR(123)&amp;CHAR(34)&amp;"name"&amp;CHAR(34)&amp;":"&amp;CHAR(34)&amp;AA59&amp;CHAR(34)&amp;","&amp;CHAR(34)&amp;"current"&amp;CHAR(34)&amp;":"&amp;CHAR(34)&amp;AB59&amp;""&amp;CHAR(34)&amp;","&amp;CHAR(34)&amp;"max"&amp;CHAR(34)&amp;":"&amp;CHAR(34)&amp;AC59&amp;""&amp;CHAR(34)&amp;CHAR(125))</x:f>
        <x:v>{"name":"repeating_pnjatk_MCATK1_armedmnbde","current":"2","max":""}</x:v>
      </x:c>
    </x:row>
    <x:row r="60">
      <x:c r="AA60" t="str">
        <x:v>repeating_pnjatk_MCATK1_armedmde</x:v>
      </x:c>
      <x:c r="AB60" t="n">
        <x:f>IF(Creator!A39&lt;&gt;"",VALUE(MID(Creator!E39,FIND("d",Creator!E39)+1,10)),"")</x:f>
        <x:v>12</x:v>
      </x:c>
      <x:c r="AC60" t="str">
        <x:f>""</x:f>
      </x:c>
      <x:c r="AD60" t="str">
        <x:f>IF(AB60="","",CHAR(123)&amp;CHAR(34)&amp;"name"&amp;CHAR(34)&amp;":"&amp;CHAR(34)&amp;AA60&amp;CHAR(34)&amp;","&amp;CHAR(34)&amp;"current"&amp;CHAR(34)&amp;":"&amp;CHAR(34)&amp;AB60&amp;""&amp;CHAR(34)&amp;","&amp;CHAR(34)&amp;"max"&amp;CHAR(34)&amp;":"&amp;CHAR(34)&amp;AC60&amp;""&amp;CHAR(34)&amp;CHAR(125))</x:f>
        <x:v>{"name":"repeating_pnjatk_MCATK1_armedmde","current":"12","max":""}</x:v>
      </x:c>
    </x:row>
    <x:row r="61">
      <x:c r="AA61" t="str">
        <x:v>repeating_pnjatk_MCATK1_armedm</x:v>
      </x:c>
      <x:c r="AB61" t="n">
        <x:f>IF(Creator!A39&lt;&gt;"",Creator!F39,"")</x:f>
        <x:v>5</x:v>
      </x:c>
      <x:c r="AC61" t="str">
        <x:f>""</x:f>
      </x:c>
      <x:c r="AD61" t="str">
        <x:f>IF(AB61="","",CHAR(123)&amp;CHAR(34)&amp;"name"&amp;CHAR(34)&amp;":"&amp;CHAR(34)&amp;AA61&amp;CHAR(34)&amp;","&amp;CHAR(34)&amp;"current"&amp;CHAR(34)&amp;":"&amp;CHAR(34)&amp;AB61&amp;""&amp;CHAR(34)&amp;","&amp;CHAR(34)&amp;"max"&amp;CHAR(34)&amp;":"&amp;CHAR(34)&amp;AC61&amp;""&amp;CHAR(34)&amp;CHAR(125))</x:f>
        <x:v>{"name":"repeating_pnjatk_MCATK1_armedm","current":"5","max":""}</x:v>
      </x:c>
    </x:row>
    <x:row r="62">
      <x:c r="AA62" t="str">
        <x:v>repeating_pnjatk_MCATK1_armeportee</x:v>
      </x:c>
      <x:c r="AB62" t="n">
        <x:f>IF(Creator!A39&lt;&gt;"",IF(Creator!D39="Contact",0,IF(Creator!D39="Courte",10,IF(Creator!D39="Moyenne",15,IF(Creator!D39="Longue",20,0)))),"")</x:f>
        <x:v>0</x:v>
      </x:c>
      <x:c r="AC62" t="str">
        <x:f>""</x:f>
      </x:c>
      <x:c r="AD62" t="str">
        <x:f>IF(AB62="","",CHAR(123)&amp;CHAR(34)&amp;"name"&amp;CHAR(34)&amp;":"&amp;CHAR(34)&amp;AA62&amp;CHAR(34)&amp;","&amp;CHAR(34)&amp;"current"&amp;CHAR(34)&amp;":"&amp;CHAR(34)&amp;AB62&amp;""&amp;CHAR(34)&amp;","&amp;CHAR(34)&amp;"max"&amp;CHAR(34)&amp;":"&amp;CHAR(34)&amp;AC62&amp;""&amp;CHAR(34)&amp;CHAR(125))</x:f>
      </x:c>
    </x:row>
    <x:row r="63">
      <x:c r="AA63" t="str">
        <x:v>repeating_pnjatk_MCATK1_armetypeattaque</x:v>
      </x:c>
      <x:c r="AB63" t="str">
        <x:f>IF(Creator!A39&lt;&gt;"","Naturel","")</x:f>
        <x:v>Naturel</x:v>
      </x:c>
      <x:c r="AC63" t="str">
        <x:f>""</x:f>
      </x:c>
      <x:c r="AD63" t="str">
        <x:f>IF(AB63="","",CHAR(123)&amp;CHAR(34)&amp;"name"&amp;CHAR(34)&amp;":"&amp;CHAR(34)&amp;AA63&amp;CHAR(34)&amp;","&amp;CHAR(34)&amp;"current"&amp;CHAR(34)&amp;":"&amp;CHAR(34)&amp;SUBSTITUTE(SUBSTITUTE(SUBSTITUTE(SUBSTITUTE(AB63,CHAR(92),CHAR(92)&amp;CHAR(92)),CHAR(34),CHAR(92)&amp;CHAR(34)),CHAR(13),""),CHAR(10),CHAR(92)&amp;"n")&amp;CHAR(34)&amp;","&amp;CHAR(34)&amp;"max"&amp;CHAR(34)&amp;":"&amp;CHAR(34)&amp;AC63&amp;""&amp;CHAR(34)&amp;CHAR(125))</x:f>
        <x:v>{"name":"repeating_pnjatk_MCATK1_armetypeattaque","current":"Naturel","max":""}</x:v>
      </x:c>
    </x:row>
    <x:row r="64">
      <x:c r="AA64" t="str">
        <x:v>repeating_pnjatk_MCATK1_armetypedegats</x:v>
      </x:c>
      <x:c r="AB64" t="str">
        <x:f>IF(Creator!A39&lt;&gt;"",IFERROR(VLOOKUP(Creator!B39,Ref_Roll20!A:C,2,FALSE),""),"")</x:f>
        <x:v>tranchant</x:v>
      </x:c>
      <x:c r="AC64" t="str">
        <x:f>""</x:f>
      </x:c>
      <x:c r="AD64" t="str">
        <x:f>IF(AB64="","",CHAR(123)&amp;CHAR(34)&amp;"name"&amp;CHAR(34)&amp;":"&amp;CHAR(34)&amp;AA64&amp;CHAR(34)&amp;","&amp;CHAR(34)&amp;"current"&amp;CHAR(34)&amp;":"&amp;CHAR(34)&amp;SUBSTITUTE(SUBSTITUTE(SUBSTITUTE(SUBSTITUTE(AB64,CHAR(92),CHAR(92)&amp;CHAR(92)),CHAR(34),CHAR(92)&amp;CHAR(34)),CHAR(13),""),CHAR(10),CHAR(92)&amp;"n")&amp;CHAR(34)&amp;","&amp;CHAR(34)&amp;"max"&amp;CHAR(34)&amp;":"&amp;CHAR(34)&amp;AC64&amp;""&amp;CHAR(34)&amp;CHAR(125))</x:f>
        <x:v>{"name":"repeating_pnjatk_MCATK1_armetypedegats","current":"tranchant","max":""}</x:v>
      </x:c>
    </x:row>
    <x:row r="65">
      <x:c r="AA65" t="str">
        <x:v>repeating_pnjatk_MCATK1_armemodificateurs</x:v>
      </x:c>
      <x:c r="AB65" t="str">
        <x:f>""</x:f>
      </x:c>
      <x:c r="AC65" t="str">
        <x:f>""</x:f>
      </x:c>
      <x:c r="AD65" t="str">
        <x:f>IF(AB65="","",CHAR(123)&amp;CHAR(34)&amp;"name"&amp;CHAR(34)&amp;":"&amp;CHAR(34)&amp;AA65&amp;CHAR(34)&amp;","&amp;CHAR(34)&amp;"current"&amp;CHAR(34)&amp;":"&amp;CHAR(34)&amp;SUBSTITUTE(SUBSTITUTE(SUBSTITUTE(SUBSTITUTE(AB65,CHAR(92),CHAR(92)&amp;CHAR(92)),CHAR(34),CHAR(92)&amp;CHAR(34)),CHAR(13),""),CHAR(10),CHAR(92)&amp;"n")&amp;CHAR(34)&amp;","&amp;CHAR(34)&amp;"max"&amp;CHAR(34)&amp;":"&amp;CHAR(34)&amp;AC65&amp;""&amp;CHAR(34)&amp;CHAR(125))</x:f>
      </x:c>
    </x:row>
    <x:row r="66">
      <x:c r="AA66" t="str">
        <x:v>repeating_pnjatk_MCATK1_armeoptions</x:v>
      </x:c>
      <x:c r="AB66" t="str">
        <x:f>""</x:f>
      </x:c>
      <x:c r="AC66" t="str">
        <x:f>""</x:f>
      </x:c>
      <x:c r="AD66" t="str">
        <x:f>IF(AB66="","",CHAR(123)&amp;CHAR(34)&amp;"name"&amp;CHAR(34)&amp;":"&amp;CHAR(34)&amp;AA66&amp;CHAR(34)&amp;","&amp;CHAR(34)&amp;"current"&amp;CHAR(34)&amp;":"&amp;CHAR(34)&amp;SUBSTITUTE(SUBSTITUTE(SUBSTITUTE(SUBSTITUTE(AB66,CHAR(92),CHAR(92)&amp;CHAR(92)),CHAR(34),CHAR(92)&amp;CHAR(34)),CHAR(13),""),CHAR(10),CHAR(92)&amp;"n")&amp;CHAR(34)&amp;","&amp;CHAR(34)&amp;"max"&amp;CHAR(34)&amp;":"&amp;CHAR(34)&amp;AC66&amp;""&amp;CHAR(34)&amp;CHAR(125))</x:f>
      </x:c>
    </x:row>
    <x:row r="67">
      <x:c r="AA67" t="str">
        <x:v>repeating_pnjatk_MCATK2_armelabel</x:v>
      </x:c>
      <x:c r="AB67" t="n">
        <x:f>IF(Creator!A40&lt;&gt;"",2,"")</x:f>
        <x:v>2</x:v>
      </x:c>
      <x:c r="AC67" t="str">
        <x:f>""</x:f>
      </x:c>
      <x:c r="AD67" t="str">
        <x:f>IF(AB67="","",CHAR(123)&amp;CHAR(34)&amp;"name"&amp;CHAR(34)&amp;":"&amp;CHAR(34)&amp;AA67&amp;CHAR(34)&amp;","&amp;CHAR(34)&amp;"current"&amp;CHAR(34)&amp;":"&amp;CHAR(34)&amp;AB67&amp;""&amp;CHAR(34)&amp;","&amp;CHAR(34)&amp;"max"&amp;CHAR(34)&amp;":"&amp;CHAR(34)&amp;AC67&amp;""&amp;CHAR(34)&amp;CHAR(125))</x:f>
        <x:v>{"name":"repeating_pnjatk_MCATK2_armelabel","current":"2","max":""}</x:v>
      </x:c>
    </x:row>
    <x:row r="68">
      <x:c r="AA68" t="str">
        <x:v>repeating_pnjatk_MCATK2_armeactionvisible</x:v>
      </x:c>
      <x:c r="AB68" t="n">
        <x:f>IF(Creator!A40&lt;&gt;"",1,"")</x:f>
        <x:v>1</x:v>
      </x:c>
      <x:c r="AC68" t="str">
        <x:f>""</x:f>
      </x:c>
      <x:c r="AD68" t="str">
        <x:f>IF(AB68="","",CHAR(123)&amp;CHAR(34)&amp;"name"&amp;CHAR(34)&amp;":"&amp;CHAR(34)&amp;AA68&amp;CHAR(34)&amp;","&amp;CHAR(34)&amp;"current"&amp;CHAR(34)&amp;":"&amp;CHAR(34)&amp;AB68&amp;""&amp;CHAR(34)&amp;","&amp;CHAR(34)&amp;"max"&amp;CHAR(34)&amp;":"&amp;CHAR(34)&amp;AC68&amp;""&amp;CHAR(34)&amp;CHAR(125))</x:f>
        <x:v>{"name":"repeating_pnjatk_MCATK2_armeactionvisible","current":"1","max":""}</x:v>
      </x:c>
    </x:row>
    <x:row r="69">
      <x:c r="AA69" t="str">
        <x:v>repeating_pnjatk_MCATK2_armenom</x:v>
      </x:c>
      <x:c r="AB69" t="str">
        <x:f>IF(Creator!A40&lt;&gt;"",Creator!A40,"")</x:f>
        <x:v>Attaque secondaire</x:v>
      </x:c>
      <x:c r="AC69" t="str">
        <x:f>""</x:f>
      </x:c>
      <x:c r="AD69" t="str">
        <x:f>IF(AB69="","",CHAR(123)&amp;CHAR(34)&amp;"name"&amp;CHAR(34)&amp;":"&amp;CHAR(34)&amp;AA69&amp;CHAR(34)&amp;","&amp;CHAR(34)&amp;"current"&amp;CHAR(34)&amp;":"&amp;CHAR(34)&amp;SUBSTITUTE(SUBSTITUTE(SUBSTITUTE(SUBSTITUTE(AB69,CHAR(92),CHAR(92)&amp;CHAR(92)),CHAR(34),CHAR(92)&amp;CHAR(34)),CHAR(13),""),CHAR(10),CHAR(92)&amp;"n")&amp;CHAR(34)&amp;","&amp;CHAR(34)&amp;"max"&amp;CHAR(34)&amp;":"&amp;CHAR(34)&amp;AC69&amp;""&amp;CHAR(34)&amp;CHAR(125))</x:f>
        <x:v>{"name":"repeating_pnjatk_MCATK2_armenom","current":"Attaque secondaire","max":""}</x:v>
      </x:c>
    </x:row>
    <x:row r="70">
      <x:c r="AA70" t="str">
        <x:v>repeating_pnjatk_MCATK2_armeatk</x:v>
      </x:c>
      <x:c r="AB70" t="n">
        <x:f>IF(Creator!A40&lt;&gt;"",Creator!G40,"")</x:f>
        <x:v>5</x:v>
      </x:c>
      <x:c r="AC70" t="str">
        <x:f>""</x:f>
      </x:c>
      <x:c r="AD70" t="str">
        <x:f>IF(AB70="","",CHAR(123)&amp;CHAR(34)&amp;"name"&amp;CHAR(34)&amp;":"&amp;CHAR(34)&amp;AA70&amp;CHAR(34)&amp;","&amp;CHAR(34)&amp;"current"&amp;CHAR(34)&amp;":"&amp;CHAR(34)&amp;AB70&amp;""&amp;CHAR(34)&amp;","&amp;CHAR(34)&amp;"max"&amp;CHAR(34)&amp;":"&amp;CHAR(34)&amp;AC70&amp;""&amp;CHAR(34)&amp;CHAR(125))</x:f>
        <x:v>{"name":"repeating_pnjatk_MCATK2_armeatk","current":"5","max":""}</x:v>
      </x:c>
    </x:row>
    <x:row r="71">
      <x:c r="AA71" t="str">
        <x:v>repeating_pnjatk_MCATK2_armecrit</x:v>
      </x:c>
      <x:c r="AB71" t="n">
        <x:f>IF(Creator!A40&lt;&gt;"",20,"")</x:f>
        <x:v>20</x:v>
      </x:c>
      <x:c r="AC71" t="str">
        <x:f>""</x:f>
      </x:c>
      <x:c r="AD71" t="str">
        <x:f>IF(AB71="","",CHAR(123)&amp;CHAR(34)&amp;"name"&amp;CHAR(34)&amp;":"&amp;CHAR(34)&amp;AA71&amp;CHAR(34)&amp;","&amp;CHAR(34)&amp;"current"&amp;CHAR(34)&amp;":"&amp;CHAR(34)&amp;AB71&amp;""&amp;CHAR(34)&amp;","&amp;CHAR(34)&amp;"max"&amp;CHAR(34)&amp;":"&amp;CHAR(34)&amp;AC71&amp;""&amp;CHAR(34)&amp;CHAR(125))</x:f>
        <x:v>{"name":"repeating_pnjatk_MCATK2_armecrit","current":"20","max":""}</x:v>
      </x:c>
    </x:row>
    <x:row r="72">
      <x:c r="AA72" t="str">
        <x:v>repeating_pnjatk_MCATK2_armedmnbde</x:v>
      </x:c>
      <x:c r="AB72" t="n">
        <x:f>IF(Creator!A40&lt;&gt;"",VALUE(LEFT(Creator!E40,FIND("d",Creator!E40)-1)),"")</x:f>
        <x:v>2</x:v>
      </x:c>
      <x:c r="AC72" t="str">
        <x:f>""</x:f>
      </x:c>
      <x:c r="AD72" t="str">
        <x:f>IF(AB72="","",CHAR(123)&amp;CHAR(34)&amp;"name"&amp;CHAR(34)&amp;":"&amp;CHAR(34)&amp;AA72&amp;CHAR(34)&amp;","&amp;CHAR(34)&amp;"current"&amp;CHAR(34)&amp;":"&amp;CHAR(34)&amp;AB72&amp;""&amp;CHAR(34)&amp;","&amp;CHAR(34)&amp;"max"&amp;CHAR(34)&amp;":"&amp;CHAR(34)&amp;AC72&amp;""&amp;CHAR(34)&amp;CHAR(125))</x:f>
        <x:v>{"name":"repeating_pnjatk_MCATK2_armedmnbde","current":"2","max":""}</x:v>
      </x:c>
    </x:row>
    <x:row r="73">
      <x:c r="AA73" t="str">
        <x:v>repeating_pnjatk_MCATK2_armedmde</x:v>
      </x:c>
      <x:c r="AB73" t="n">
        <x:f>IF(Creator!A40&lt;&gt;"",VALUE(MID(Creator!E40,FIND("d",Creator!E40)+1,10)),"")</x:f>
        <x:v>12</x:v>
      </x:c>
      <x:c r="AC73" t="str">
        <x:f>""</x:f>
      </x:c>
      <x:c r="AD73" t="str">
        <x:f>IF(AB73="","",CHAR(123)&amp;CHAR(34)&amp;"name"&amp;CHAR(34)&amp;":"&amp;CHAR(34)&amp;AA73&amp;CHAR(34)&amp;","&amp;CHAR(34)&amp;"current"&amp;CHAR(34)&amp;":"&amp;CHAR(34)&amp;AB73&amp;""&amp;CHAR(34)&amp;","&amp;CHAR(34)&amp;"max"&amp;CHAR(34)&amp;":"&amp;CHAR(34)&amp;AC73&amp;""&amp;CHAR(34)&amp;CHAR(125))</x:f>
        <x:v>{"name":"repeating_pnjatk_MCATK2_armedmde","current":"12","max":""}</x:v>
      </x:c>
    </x:row>
    <x:row r="74">
      <x:c r="AA74" t="str">
        <x:v>repeating_pnjatk_MCATK2_armedm</x:v>
      </x:c>
      <x:c r="AB74" t="n">
        <x:f>IF(Creator!A40&lt;&gt;"",Creator!F40,"")</x:f>
        <x:v>3</x:v>
      </x:c>
      <x:c r="AC74" t="str">
        <x:f>""</x:f>
      </x:c>
      <x:c r="AD74" t="str">
        <x:f>IF(AB74="","",CHAR(123)&amp;CHAR(34)&amp;"name"&amp;CHAR(34)&amp;":"&amp;CHAR(34)&amp;AA74&amp;CHAR(34)&amp;","&amp;CHAR(34)&amp;"current"&amp;CHAR(34)&amp;":"&amp;CHAR(34)&amp;AB74&amp;""&amp;CHAR(34)&amp;","&amp;CHAR(34)&amp;"max"&amp;CHAR(34)&amp;":"&amp;CHAR(34)&amp;AC74&amp;""&amp;CHAR(34)&amp;CHAR(125))</x:f>
        <x:v>{"name":"repeating_pnjatk_MCATK2_armedm","current":"3","max":""}</x:v>
      </x:c>
    </x:row>
    <x:row r="75">
      <x:c r="AA75" t="str">
        <x:v>repeating_pnjatk_MCATK2_armeportee</x:v>
      </x:c>
      <x:c r="AB75" t="n">
        <x:f>IF(Creator!A40&lt;&gt;"",IF(Creator!D40="Contact",0,IF(Creator!D40="Courte",10,IF(Creator!D40="Moyenne",15,IF(Creator!D40="Longue",20,0)))),"")</x:f>
        <x:v>10</x:v>
      </x:c>
      <x:c r="AC75" t="str">
        <x:f>""</x:f>
      </x:c>
      <x:c r="AD75" t="str">
        <x:f>IF(AB75="","",CHAR(123)&amp;CHAR(34)&amp;"name"&amp;CHAR(34)&amp;":"&amp;CHAR(34)&amp;AA75&amp;CHAR(34)&amp;","&amp;CHAR(34)&amp;"current"&amp;CHAR(34)&amp;":"&amp;CHAR(34)&amp;AB75&amp;""&amp;CHAR(34)&amp;","&amp;CHAR(34)&amp;"max"&amp;CHAR(34)&amp;":"&amp;CHAR(34)&amp;AC75&amp;""&amp;CHAR(34)&amp;CHAR(125))</x:f>
        <x:v>{"name":"repeating_pnjatk_MCATK2_armeportee","current":"10","max":""}</x:v>
      </x:c>
    </x:row>
    <x:row r="76">
      <x:c r="AA76" t="str">
        <x:v>repeating_pnjatk_MCATK2_armetypeattaque</x:v>
      </x:c>
      <x:c r="AB76" t="str">
        <x:f>IF(Creator!A40&lt;&gt;"","Naturel","")</x:f>
        <x:v>Naturel</x:v>
      </x:c>
      <x:c r="AC76" t="str">
        <x:f>""</x:f>
      </x:c>
      <x:c r="AD76" t="str">
        <x:f>IF(AB76="","",CHAR(123)&amp;CHAR(34)&amp;"name"&amp;CHAR(34)&amp;":"&amp;CHAR(34)&amp;AA76&amp;CHAR(34)&amp;","&amp;CHAR(34)&amp;"current"&amp;CHAR(34)&amp;":"&amp;CHAR(34)&amp;SUBSTITUTE(SUBSTITUTE(SUBSTITUTE(SUBSTITUTE(AB76,CHAR(92),CHAR(92)&amp;CHAR(92)),CHAR(34),CHAR(92)&amp;CHAR(34)),CHAR(13),""),CHAR(10),CHAR(92)&amp;"n")&amp;CHAR(34)&amp;","&amp;CHAR(34)&amp;"max"&amp;CHAR(34)&amp;":"&amp;CHAR(34)&amp;AC76&amp;""&amp;CHAR(34)&amp;CHAR(125))</x:f>
        <x:v>{"name":"repeating_pnjatk_MCATK2_armetypeattaque","current":"Naturel","max":""}</x:v>
      </x:c>
    </x:row>
    <x:row r="77">
      <x:c r="AA77" t="str">
        <x:v>repeating_pnjatk_MCATK2_armetypedegats</x:v>
      </x:c>
      <x:c r="AB77" t="str">
        <x:f>IF(Creator!A40&lt;&gt;"",IFERROR(VLOOKUP(Creator!B40,Ref_Roll20!A:C,2,FALSE),""),"")</x:f>
        <x:v>percant</x:v>
      </x:c>
      <x:c r="AC77" t="str">
        <x:f>""</x:f>
      </x:c>
      <x:c r="AD77" t="str">
        <x:f>IF(AB77="","",CHAR(123)&amp;CHAR(34)&amp;"name"&amp;CHAR(34)&amp;":"&amp;CHAR(34)&amp;AA77&amp;CHAR(34)&amp;","&amp;CHAR(34)&amp;"current"&amp;CHAR(34)&amp;":"&amp;CHAR(34)&amp;SUBSTITUTE(SUBSTITUTE(SUBSTITUTE(SUBSTITUTE(AB77,CHAR(92),CHAR(92)&amp;CHAR(92)),CHAR(34),CHAR(92)&amp;CHAR(34)),CHAR(13),""),CHAR(10),CHAR(92)&amp;"n")&amp;CHAR(34)&amp;","&amp;CHAR(34)&amp;"max"&amp;CHAR(34)&amp;":"&amp;CHAR(34)&amp;AC77&amp;""&amp;CHAR(34)&amp;CHAR(125))</x:f>
        <x:v>{"name":"repeating_pnjatk_MCATK2_armetypedegats","current":"percant","max":""}</x:v>
      </x:c>
    </x:row>
    <x:row r="78">
      <x:c r="AA78" t="str">
        <x:v>repeating_pnjatk_MCATK2_armemodificateurs</x:v>
      </x:c>
      <x:c r="AB78" t="str">
        <x:f>""</x:f>
      </x:c>
      <x:c r="AC78" t="str">
        <x:f>""</x:f>
      </x:c>
      <x:c r="AD78" t="str">
        <x:f>IF(AB78="","",CHAR(123)&amp;CHAR(34)&amp;"name"&amp;CHAR(34)&amp;":"&amp;CHAR(34)&amp;AA78&amp;CHAR(34)&amp;","&amp;CHAR(34)&amp;"current"&amp;CHAR(34)&amp;":"&amp;CHAR(34)&amp;SUBSTITUTE(SUBSTITUTE(SUBSTITUTE(SUBSTITUTE(AB78,CHAR(92),CHAR(92)&amp;CHAR(92)),CHAR(34),CHAR(92)&amp;CHAR(34)),CHAR(13),""),CHAR(10),CHAR(92)&amp;"n")&amp;CHAR(34)&amp;","&amp;CHAR(34)&amp;"max"&amp;CHAR(34)&amp;":"&amp;CHAR(34)&amp;AC78&amp;""&amp;CHAR(34)&amp;CHAR(125))</x:f>
      </x:c>
    </x:row>
    <x:row r="79">
      <x:c r="AA79" t="str">
        <x:v>repeating_pnjatk_MCATK2_armeoptions</x:v>
      </x:c>
      <x:c r="AB79" t="str">
        <x:f>""</x:f>
      </x:c>
      <x:c r="AC79" t="str">
        <x:f>""</x:f>
      </x:c>
      <x:c r="AD79" t="str">
        <x:f>IF(AB79="","",CHAR(123)&amp;CHAR(34)&amp;"name"&amp;CHAR(34)&amp;":"&amp;CHAR(34)&amp;AA79&amp;CHAR(34)&amp;","&amp;CHAR(34)&amp;"current"&amp;CHAR(34)&amp;":"&amp;CHAR(34)&amp;SUBSTITUTE(SUBSTITUTE(SUBSTITUTE(SUBSTITUTE(AB79,CHAR(92),CHAR(92)&amp;CHAR(92)),CHAR(34),CHAR(92)&amp;CHAR(34)),CHAR(13),""),CHAR(10),CHAR(92)&amp;"n")&amp;CHAR(34)&amp;","&amp;CHAR(34)&amp;"max"&amp;CHAR(34)&amp;":"&amp;CHAR(34)&amp;AC79&amp;""&amp;CHAR(34)&amp;CHAR(125))</x:f>
      </x:c>
    </x:row>
    <x:row r="80">
      <x:c r="AA80" t="str">
        <x:v>repeating_pnjatk_MCATK3_armelabel</x:v>
      </x:c>
      <x:c r="AB80" t="str">
        <x:f>IF(Creator!A41&lt;&gt;"",3,"")</x:f>
      </x:c>
      <x:c r="AC80" t="str">
        <x:f>""</x:f>
      </x:c>
      <x:c r="AD80" t="str">
        <x:f>IF(AB80="","",CHAR(123)&amp;CHAR(34)&amp;"name"&amp;CHAR(34)&amp;":"&amp;CHAR(34)&amp;AA80&amp;CHAR(34)&amp;","&amp;CHAR(34)&amp;"current"&amp;CHAR(34)&amp;":"&amp;CHAR(34)&amp;AB80&amp;""&amp;CHAR(34)&amp;","&amp;CHAR(34)&amp;"max"&amp;CHAR(34)&amp;":"&amp;CHAR(34)&amp;AC80&amp;""&amp;CHAR(34)&amp;CHAR(125))</x:f>
      </x:c>
    </x:row>
    <x:row r="81">
      <x:c r="AA81" t="str">
        <x:v>repeating_pnjatk_MCATK3_armeactionvisible</x:v>
      </x:c>
      <x:c r="AB81" t="str">
        <x:f>IF(Creator!A41&lt;&gt;"",1,"")</x:f>
      </x:c>
      <x:c r="AC81" t="str">
        <x:f>""</x:f>
      </x:c>
      <x:c r="AD81" t="str">
        <x:f>IF(AB81="","",CHAR(123)&amp;CHAR(34)&amp;"name"&amp;CHAR(34)&amp;":"&amp;CHAR(34)&amp;AA81&amp;CHAR(34)&amp;","&amp;CHAR(34)&amp;"current"&amp;CHAR(34)&amp;":"&amp;CHAR(34)&amp;AB81&amp;""&amp;CHAR(34)&amp;","&amp;CHAR(34)&amp;"max"&amp;CHAR(34)&amp;":"&amp;CHAR(34)&amp;AC81&amp;""&amp;CHAR(34)&amp;CHAR(125))</x:f>
      </x:c>
    </x:row>
    <x:row r="82">
      <x:c r="AA82" t="str">
        <x:v>repeating_pnjatk_MCATK3_armenom</x:v>
      </x:c>
      <x:c r="AB82" t="str">
        <x:f>IF(Creator!A41&lt;&gt;"",Creator!A41,"")</x:f>
      </x:c>
      <x:c r="AC82" t="str">
        <x:f>""</x:f>
      </x:c>
      <x:c r="AD82" t="str">
        <x:f>IF(AB82="","",CHAR(123)&amp;CHAR(34)&amp;"name"&amp;CHAR(34)&amp;":"&amp;CHAR(34)&amp;AA82&amp;CHAR(34)&amp;","&amp;CHAR(34)&amp;"current"&amp;CHAR(34)&amp;":"&amp;CHAR(34)&amp;SUBSTITUTE(SUBSTITUTE(SUBSTITUTE(SUBSTITUTE(AB82,CHAR(92),CHAR(92)&amp;CHAR(92)),CHAR(34),CHAR(92)&amp;CHAR(34)),CHAR(13),""),CHAR(10),CHAR(92)&amp;"n")&amp;CHAR(34)&amp;","&amp;CHAR(34)&amp;"max"&amp;CHAR(34)&amp;":"&amp;CHAR(34)&amp;AC82&amp;""&amp;CHAR(34)&amp;CHAR(125))</x:f>
      </x:c>
    </x:row>
    <x:row r="83">
      <x:c r="AA83" t="str">
        <x:v>repeating_pnjatk_MCATK3_armeatk</x:v>
      </x:c>
      <x:c r="AB83" t="str">
        <x:f>IF(Creator!A41&lt;&gt;"",Creator!G41,"")</x:f>
      </x:c>
      <x:c r="AC83" t="str">
        <x:f>""</x:f>
      </x:c>
      <x:c r="AD83" t="str">
        <x:f>IF(AB83="","",CHAR(123)&amp;CHAR(34)&amp;"name"&amp;CHAR(34)&amp;":"&amp;CHAR(34)&amp;AA83&amp;CHAR(34)&amp;","&amp;CHAR(34)&amp;"current"&amp;CHAR(34)&amp;":"&amp;CHAR(34)&amp;AB83&amp;""&amp;CHAR(34)&amp;","&amp;CHAR(34)&amp;"max"&amp;CHAR(34)&amp;":"&amp;CHAR(34)&amp;AC83&amp;""&amp;CHAR(34)&amp;CHAR(125))</x:f>
      </x:c>
    </x:row>
    <x:row r="84">
      <x:c r="AA84" t="str">
        <x:v>repeating_pnjatk_MCATK3_armecrit</x:v>
      </x:c>
      <x:c r="AB84" t="str">
        <x:f>IF(Creator!A41&lt;&gt;"",20,"")</x:f>
      </x:c>
      <x:c r="AC84" t="str">
        <x:f>""</x:f>
      </x:c>
      <x:c r="AD84" t="str">
        <x:f>IF(AB84="","",CHAR(123)&amp;CHAR(34)&amp;"name"&amp;CHAR(34)&amp;":"&amp;CHAR(34)&amp;AA84&amp;CHAR(34)&amp;","&amp;CHAR(34)&amp;"current"&amp;CHAR(34)&amp;":"&amp;CHAR(34)&amp;AB84&amp;""&amp;CHAR(34)&amp;","&amp;CHAR(34)&amp;"max"&amp;CHAR(34)&amp;":"&amp;CHAR(34)&amp;AC84&amp;""&amp;CHAR(34)&amp;CHAR(125))</x:f>
      </x:c>
    </x:row>
    <x:row r="85">
      <x:c r="AA85" t="str">
        <x:v>repeating_pnjatk_MCATK3_armedmnbde</x:v>
      </x:c>
      <x:c r="AB85" t="str">
        <x:f>IF(Creator!A41&lt;&gt;"",VALUE(LEFT(Creator!E41,FIND("d",Creator!E41)-1)),"")</x:f>
      </x:c>
      <x:c r="AC85" t="str">
        <x:f>""</x:f>
      </x:c>
      <x:c r="AD85" t="str">
        <x:f>IF(AB85="","",CHAR(123)&amp;CHAR(34)&amp;"name"&amp;CHAR(34)&amp;":"&amp;CHAR(34)&amp;AA85&amp;CHAR(34)&amp;","&amp;CHAR(34)&amp;"current"&amp;CHAR(34)&amp;":"&amp;CHAR(34)&amp;AB85&amp;""&amp;CHAR(34)&amp;","&amp;CHAR(34)&amp;"max"&amp;CHAR(34)&amp;":"&amp;CHAR(34)&amp;AC85&amp;""&amp;CHAR(34)&amp;CHAR(125))</x:f>
      </x:c>
    </x:row>
    <x:row r="86">
      <x:c r="AA86" t="str">
        <x:v>repeating_pnjatk_MCATK3_armedmde</x:v>
      </x:c>
      <x:c r="AB86" t="str">
        <x:f>IF(Creator!A41&lt;&gt;"",VALUE(MID(Creator!E41,FIND("d",Creator!E41)+1,10)),"")</x:f>
      </x:c>
      <x:c r="AC86" t="str">
        <x:f>""</x:f>
      </x:c>
      <x:c r="AD86" t="str">
        <x:f>IF(AB86="","",CHAR(123)&amp;CHAR(34)&amp;"name"&amp;CHAR(34)&amp;":"&amp;CHAR(34)&amp;AA86&amp;CHAR(34)&amp;","&amp;CHAR(34)&amp;"current"&amp;CHAR(34)&amp;":"&amp;CHAR(34)&amp;AB86&amp;""&amp;CHAR(34)&amp;","&amp;CHAR(34)&amp;"max"&amp;CHAR(34)&amp;":"&amp;CHAR(34)&amp;AC86&amp;""&amp;CHAR(34)&amp;CHAR(125))</x:f>
      </x:c>
    </x:row>
    <x:row r="87">
      <x:c r="AA87" t="str">
        <x:v>repeating_pnjatk_MCATK3_armedm</x:v>
      </x:c>
      <x:c r="AB87" t="str">
        <x:f>IF(Creator!A41&lt;&gt;"",Creator!F41,"")</x:f>
      </x:c>
      <x:c r="AC87" t="str">
        <x:f>""</x:f>
      </x:c>
      <x:c r="AD87" t="str">
        <x:f>IF(AB87="","",CHAR(123)&amp;CHAR(34)&amp;"name"&amp;CHAR(34)&amp;":"&amp;CHAR(34)&amp;AA87&amp;CHAR(34)&amp;","&amp;CHAR(34)&amp;"current"&amp;CHAR(34)&amp;":"&amp;CHAR(34)&amp;AB87&amp;""&amp;CHAR(34)&amp;","&amp;CHAR(34)&amp;"max"&amp;CHAR(34)&amp;":"&amp;CHAR(34)&amp;AC87&amp;""&amp;CHAR(34)&amp;CHAR(125))</x:f>
      </x:c>
    </x:row>
    <x:row r="88">
      <x:c r="AA88" t="str">
        <x:v>repeating_pnjatk_MCATK3_armeportee</x:v>
      </x:c>
      <x:c r="AB88" t="str">
        <x:f>IF(Creator!A41&lt;&gt;"",IF(Creator!D41="Contact",0,IF(Creator!D41="Courte",10,IF(Creator!D41="Moyenne",15,IF(Creator!D41="Longue",20,0)))),"")</x:f>
      </x:c>
      <x:c r="AC88" t="str">
        <x:f>""</x:f>
      </x:c>
      <x:c r="AD88" t="str">
        <x:f>IF(AB88="","",CHAR(123)&amp;CHAR(34)&amp;"name"&amp;CHAR(34)&amp;":"&amp;CHAR(34)&amp;AA88&amp;CHAR(34)&amp;","&amp;CHAR(34)&amp;"current"&amp;CHAR(34)&amp;":"&amp;CHAR(34)&amp;AB88&amp;""&amp;CHAR(34)&amp;","&amp;CHAR(34)&amp;"max"&amp;CHAR(34)&amp;":"&amp;CHAR(34)&amp;AC88&amp;""&amp;CHAR(34)&amp;CHAR(125))</x:f>
      </x:c>
    </x:row>
    <x:row r="89">
      <x:c r="AA89" t="str">
        <x:v>repeating_pnjatk_MCATK3_armetypeattaque</x:v>
      </x:c>
      <x:c r="AB89" t="str">
        <x:f>IF(Creator!A41&lt;&gt;"","Naturel","")</x:f>
      </x:c>
      <x:c r="AC89" t="str">
        <x:f>""</x:f>
      </x:c>
      <x:c r="AD89" t="str">
        <x:f>IF(AB89="","",CHAR(123)&amp;CHAR(34)&amp;"name"&amp;CHAR(34)&amp;":"&amp;CHAR(34)&amp;AA89&amp;CHAR(34)&amp;","&amp;CHAR(34)&amp;"current"&amp;CHAR(34)&amp;":"&amp;CHAR(34)&amp;SUBSTITUTE(SUBSTITUTE(SUBSTITUTE(SUBSTITUTE(AB89,CHAR(92),CHAR(92)&amp;CHAR(92)),CHAR(34),CHAR(92)&amp;CHAR(34)),CHAR(13),""),CHAR(10),CHAR(92)&amp;"n")&amp;CHAR(34)&amp;","&amp;CHAR(34)&amp;"max"&amp;CHAR(34)&amp;":"&amp;CHAR(34)&amp;AC89&amp;""&amp;CHAR(34)&amp;CHAR(125))</x:f>
      </x:c>
    </x:row>
    <x:row r="90">
      <x:c r="AA90" t="str">
        <x:v>repeating_pnjatk_MCATK3_armetypedegats</x:v>
      </x:c>
      <x:c r="AB90" t="str">
        <x:f>IF(Creator!A41&lt;&gt;"",IFERROR(VLOOKUP(Creator!B41,Ref_Roll20!A:C,2,FALSE),""),"")</x:f>
      </x:c>
      <x:c r="AC90" t="str">
        <x:f>""</x:f>
      </x:c>
      <x:c r="AD90" t="str">
        <x:f>IF(AB90="","",CHAR(123)&amp;CHAR(34)&amp;"name"&amp;CHAR(34)&amp;":"&amp;CHAR(34)&amp;AA90&amp;CHAR(34)&amp;","&amp;CHAR(34)&amp;"current"&amp;CHAR(34)&amp;":"&amp;CHAR(34)&amp;SUBSTITUTE(SUBSTITUTE(SUBSTITUTE(SUBSTITUTE(AB90,CHAR(92),CHAR(92)&amp;CHAR(92)),CHAR(34),CHAR(92)&amp;CHAR(34)),CHAR(13),""),CHAR(10),CHAR(92)&amp;"n")&amp;CHAR(34)&amp;","&amp;CHAR(34)&amp;"max"&amp;CHAR(34)&amp;":"&amp;CHAR(34)&amp;AC90&amp;""&amp;CHAR(34)&amp;CHAR(125))</x:f>
      </x:c>
    </x:row>
    <x:row r="91">
      <x:c r="AA91" t="str">
        <x:v>repeating_pnjatk_MCATK3_armemodificateurs</x:v>
      </x:c>
      <x:c r="AB91" t="str">
        <x:f>""</x:f>
      </x:c>
      <x:c r="AC91" t="str">
        <x:f>""</x:f>
      </x:c>
      <x:c r="AD91" t="str">
        <x:f>IF(AB91="","",CHAR(123)&amp;CHAR(34)&amp;"name"&amp;CHAR(34)&amp;":"&amp;CHAR(34)&amp;AA91&amp;CHAR(34)&amp;","&amp;CHAR(34)&amp;"current"&amp;CHAR(34)&amp;":"&amp;CHAR(34)&amp;SUBSTITUTE(SUBSTITUTE(SUBSTITUTE(SUBSTITUTE(AB91,CHAR(92),CHAR(92)&amp;CHAR(92)),CHAR(34),CHAR(92)&amp;CHAR(34)),CHAR(13),""),CHAR(10),CHAR(92)&amp;"n")&amp;CHAR(34)&amp;","&amp;CHAR(34)&amp;"max"&amp;CHAR(34)&amp;":"&amp;CHAR(34)&amp;AC91&amp;""&amp;CHAR(34)&amp;CHAR(125))</x:f>
      </x:c>
    </x:row>
    <x:row r="92">
      <x:c r="AA92" t="str">
        <x:v>repeating_pnjatk_MCATK3_armeoptions</x:v>
      </x:c>
      <x:c r="AB92" t="str">
        <x:f>""</x:f>
      </x:c>
      <x:c r="AC92" t="str">
        <x:f>""</x:f>
      </x:c>
      <x:c r="AD92" t="str">
        <x:f>IF(AB92="","",CHAR(123)&amp;CHAR(34)&amp;"name"&amp;CHAR(34)&amp;":"&amp;CHAR(34)&amp;AA92&amp;CHAR(34)&amp;","&amp;CHAR(34)&amp;"current"&amp;CHAR(34)&amp;":"&amp;CHAR(34)&amp;SUBSTITUTE(SUBSTITUTE(SUBSTITUTE(SUBSTITUTE(AB92,CHAR(92),CHAR(92)&amp;CHAR(92)),CHAR(34),CHAR(92)&amp;CHAR(34)),CHAR(13),""),CHAR(10),CHAR(92)&amp;"n")&amp;CHAR(34)&amp;","&amp;CHAR(34)&amp;"max"&amp;CHAR(34)&amp;":"&amp;CHAR(34)&amp;AC92&amp;""&amp;CHAR(34)&amp;CHAR(125))</x:f>
      </x:c>
    </x:row>
    <x:row r="93">
      <x:c r="AA93" t="str">
        <x:v>repeating_pnjatk_MCATK4_armelabel</x:v>
      </x:c>
      <x:c r="AB93" t="str">
        <x:f>IF(Creator!A42&lt;&gt;"",4,"")</x:f>
      </x:c>
      <x:c r="AC93" t="str">
        <x:f>""</x:f>
      </x:c>
      <x:c r="AD93" t="str">
        <x:f>IF(AB93="","",CHAR(123)&amp;CHAR(34)&amp;"name"&amp;CHAR(34)&amp;":"&amp;CHAR(34)&amp;AA93&amp;CHAR(34)&amp;","&amp;CHAR(34)&amp;"current"&amp;CHAR(34)&amp;":"&amp;CHAR(34)&amp;AB93&amp;""&amp;CHAR(34)&amp;","&amp;CHAR(34)&amp;"max"&amp;CHAR(34)&amp;":"&amp;CHAR(34)&amp;AC93&amp;""&amp;CHAR(34)&amp;CHAR(125))</x:f>
      </x:c>
    </x:row>
    <x:row r="94">
      <x:c r="AA94" t="str">
        <x:v>repeating_pnjatk_MCATK4_armeactionvisible</x:v>
      </x:c>
      <x:c r="AB94" t="str">
        <x:f>IF(Creator!A42&lt;&gt;"",1,"")</x:f>
      </x:c>
      <x:c r="AC94" t="str">
        <x:f>""</x:f>
      </x:c>
      <x:c r="AD94" t="str">
        <x:f>IF(AB94="","",CHAR(123)&amp;CHAR(34)&amp;"name"&amp;CHAR(34)&amp;":"&amp;CHAR(34)&amp;AA94&amp;CHAR(34)&amp;","&amp;CHAR(34)&amp;"current"&amp;CHAR(34)&amp;":"&amp;CHAR(34)&amp;AB94&amp;""&amp;CHAR(34)&amp;","&amp;CHAR(34)&amp;"max"&amp;CHAR(34)&amp;":"&amp;CHAR(34)&amp;AC94&amp;""&amp;CHAR(34)&amp;CHAR(125))</x:f>
      </x:c>
    </x:row>
    <x:row r="95">
      <x:c r="AA95" t="str">
        <x:v>repeating_pnjatk_MCATK4_armenom</x:v>
      </x:c>
      <x:c r="AB95" t="str">
        <x:f>IF(Creator!A42&lt;&gt;"",Creator!A42,"")</x:f>
      </x:c>
      <x:c r="AC95" t="str">
        <x:f>""</x:f>
      </x:c>
      <x:c r="AD95" t="str">
        <x:f>IF(AB95="","",CHAR(123)&amp;CHAR(34)&amp;"name"&amp;CHAR(34)&amp;":"&amp;CHAR(34)&amp;AA95&amp;CHAR(34)&amp;","&amp;CHAR(34)&amp;"current"&amp;CHAR(34)&amp;":"&amp;CHAR(34)&amp;SUBSTITUTE(SUBSTITUTE(SUBSTITUTE(SUBSTITUTE(AB95,CHAR(92),CHAR(92)&amp;CHAR(92)),CHAR(34),CHAR(92)&amp;CHAR(34)),CHAR(13),""),CHAR(10),CHAR(92)&amp;"n")&amp;CHAR(34)&amp;","&amp;CHAR(34)&amp;"max"&amp;CHAR(34)&amp;":"&amp;CHAR(34)&amp;AC95&amp;""&amp;CHAR(34)&amp;CHAR(125))</x:f>
      </x:c>
    </x:row>
    <x:row r="96">
      <x:c r="AA96" t="str">
        <x:v>repeating_pnjatk_MCATK4_armeatk</x:v>
      </x:c>
      <x:c r="AB96" t="str">
        <x:f>IF(Creator!A42&lt;&gt;"",Creator!G42,"")</x:f>
      </x:c>
      <x:c r="AC96" t="str">
        <x:f>""</x:f>
      </x:c>
      <x:c r="AD96" t="str">
        <x:f>IF(AB96="","",CHAR(123)&amp;CHAR(34)&amp;"name"&amp;CHAR(34)&amp;":"&amp;CHAR(34)&amp;AA96&amp;CHAR(34)&amp;","&amp;CHAR(34)&amp;"current"&amp;CHAR(34)&amp;":"&amp;CHAR(34)&amp;AB96&amp;""&amp;CHAR(34)&amp;","&amp;CHAR(34)&amp;"max"&amp;CHAR(34)&amp;":"&amp;CHAR(34)&amp;AC96&amp;""&amp;CHAR(34)&amp;CHAR(125))</x:f>
      </x:c>
    </x:row>
    <x:row r="97">
      <x:c r="AA97" t="str">
        <x:v>repeating_pnjatk_MCATK4_armecrit</x:v>
      </x:c>
      <x:c r="AB97" t="str">
        <x:f>IF(Creator!A42&lt;&gt;"",20,"")</x:f>
      </x:c>
      <x:c r="AC97" t="str">
        <x:f>""</x:f>
      </x:c>
      <x:c r="AD97" t="str">
        <x:f>IF(AB97="","",CHAR(123)&amp;CHAR(34)&amp;"name"&amp;CHAR(34)&amp;":"&amp;CHAR(34)&amp;AA97&amp;CHAR(34)&amp;","&amp;CHAR(34)&amp;"current"&amp;CHAR(34)&amp;":"&amp;CHAR(34)&amp;AB97&amp;""&amp;CHAR(34)&amp;","&amp;CHAR(34)&amp;"max"&amp;CHAR(34)&amp;":"&amp;CHAR(34)&amp;AC97&amp;""&amp;CHAR(34)&amp;CHAR(125))</x:f>
      </x:c>
    </x:row>
    <x:row r="98">
      <x:c r="AA98" t="str">
        <x:v>repeating_pnjatk_MCATK4_armedmnbde</x:v>
      </x:c>
      <x:c r="AB98" t="str">
        <x:f>IF(Creator!A42&lt;&gt;"",VALUE(LEFT(Creator!E42,FIND("d",Creator!E42)-1)),"")</x:f>
      </x:c>
      <x:c r="AC98" t="str">
        <x:f>""</x:f>
      </x:c>
      <x:c r="AD98" t="str">
        <x:f>IF(AB98="","",CHAR(123)&amp;CHAR(34)&amp;"name"&amp;CHAR(34)&amp;":"&amp;CHAR(34)&amp;AA98&amp;CHAR(34)&amp;","&amp;CHAR(34)&amp;"current"&amp;CHAR(34)&amp;":"&amp;CHAR(34)&amp;AB98&amp;""&amp;CHAR(34)&amp;","&amp;CHAR(34)&amp;"max"&amp;CHAR(34)&amp;":"&amp;CHAR(34)&amp;AC98&amp;""&amp;CHAR(34)&amp;CHAR(125))</x:f>
      </x:c>
    </x:row>
    <x:row r="99">
      <x:c r="AA99" t="str">
        <x:v>repeating_pnjatk_MCATK4_armedmde</x:v>
      </x:c>
      <x:c r="AB99" t="str">
        <x:f>IF(Creator!A42&lt;&gt;"",VALUE(MID(Creator!E42,FIND("d",Creator!E42)+1,10)),"")</x:f>
      </x:c>
      <x:c r="AC99" t="str">
        <x:f>""</x:f>
      </x:c>
      <x:c r="AD99" t="str">
        <x:f>IF(AB99="","",CHAR(123)&amp;CHAR(34)&amp;"name"&amp;CHAR(34)&amp;":"&amp;CHAR(34)&amp;AA99&amp;CHAR(34)&amp;","&amp;CHAR(34)&amp;"current"&amp;CHAR(34)&amp;":"&amp;CHAR(34)&amp;AB99&amp;""&amp;CHAR(34)&amp;","&amp;CHAR(34)&amp;"max"&amp;CHAR(34)&amp;":"&amp;CHAR(34)&amp;AC99&amp;""&amp;CHAR(34)&amp;CHAR(125))</x:f>
      </x:c>
    </x:row>
    <x:row r="100">
      <x:c r="AA100" t="str">
        <x:v>repeating_pnjatk_MCATK4_armedm</x:v>
      </x:c>
      <x:c r="AB100" t="str">
        <x:f>IF(Creator!A42&lt;&gt;"",Creator!F42,"")</x:f>
      </x:c>
      <x:c r="AC100" t="str">
        <x:f>""</x:f>
      </x:c>
      <x:c r="AD100" t="str">
        <x:f>IF(AB100="","",CHAR(123)&amp;CHAR(34)&amp;"name"&amp;CHAR(34)&amp;":"&amp;CHAR(34)&amp;AA100&amp;CHAR(34)&amp;","&amp;CHAR(34)&amp;"current"&amp;CHAR(34)&amp;":"&amp;CHAR(34)&amp;AB100&amp;""&amp;CHAR(34)&amp;","&amp;CHAR(34)&amp;"max"&amp;CHAR(34)&amp;":"&amp;CHAR(34)&amp;AC100&amp;""&amp;CHAR(34)&amp;CHAR(125))</x:f>
      </x:c>
    </x:row>
    <x:row r="101">
      <x:c r="AA101" t="str">
        <x:v>repeating_pnjatk_MCATK4_armeportee</x:v>
      </x:c>
      <x:c r="AB101" t="str">
        <x:f>IF(Creator!A42&lt;&gt;"",IF(Creator!D42="Contact",0,IF(Creator!D42="Courte",10,IF(Creator!D42="Moyenne",15,IF(Creator!D42="Longue",20,0)))),"")</x:f>
      </x:c>
      <x:c r="AC101" t="str">
        <x:f>""</x:f>
      </x:c>
      <x:c r="AD101" t="str">
        <x:f>IF(AB101="","",CHAR(123)&amp;CHAR(34)&amp;"name"&amp;CHAR(34)&amp;":"&amp;CHAR(34)&amp;AA101&amp;CHAR(34)&amp;","&amp;CHAR(34)&amp;"current"&amp;CHAR(34)&amp;":"&amp;CHAR(34)&amp;AB101&amp;""&amp;CHAR(34)&amp;","&amp;CHAR(34)&amp;"max"&amp;CHAR(34)&amp;":"&amp;CHAR(34)&amp;AC101&amp;""&amp;CHAR(34)&amp;CHAR(125))</x:f>
      </x:c>
    </x:row>
    <x:row r="102">
      <x:c r="AA102" t="str">
        <x:v>repeating_pnjatk_MCATK4_armetypeattaque</x:v>
      </x:c>
      <x:c r="AB102" t="str">
        <x:f>IF(Creator!A42&lt;&gt;"","Naturel","")</x:f>
      </x:c>
      <x:c r="AC102" t="str">
        <x:f>""</x:f>
      </x:c>
      <x:c r="AD102" t="str">
        <x:f>IF(AB102="","",CHAR(123)&amp;CHAR(34)&amp;"name"&amp;CHAR(34)&amp;":"&amp;CHAR(34)&amp;AA102&amp;CHAR(34)&amp;","&amp;CHAR(34)&amp;"current"&amp;CHAR(34)&amp;":"&amp;CHAR(34)&amp;SUBSTITUTE(SUBSTITUTE(SUBSTITUTE(SUBSTITUTE(AB102,CHAR(92),CHAR(92)&amp;CHAR(92)),CHAR(34),CHAR(92)&amp;CHAR(34)),CHAR(13),""),CHAR(10),CHAR(92)&amp;"n")&amp;CHAR(34)&amp;","&amp;CHAR(34)&amp;"max"&amp;CHAR(34)&amp;":"&amp;CHAR(34)&amp;AC102&amp;""&amp;CHAR(34)&amp;CHAR(125))</x:f>
      </x:c>
    </x:row>
    <x:row r="103">
      <x:c r="AA103" t="str">
        <x:v>repeating_pnjatk_MCATK4_armetypedegats</x:v>
      </x:c>
      <x:c r="AB103" t="str">
        <x:f>IF(Creator!A42&lt;&gt;"",IFERROR(VLOOKUP(Creator!B42,Ref_Roll20!A:C,2,FALSE),""),"")</x:f>
      </x:c>
      <x:c r="AC103" t="str">
        <x:f>""</x:f>
      </x:c>
      <x:c r="AD103" t="str">
        <x:f>IF(AB103="","",CHAR(123)&amp;CHAR(34)&amp;"name"&amp;CHAR(34)&amp;":"&amp;CHAR(34)&amp;AA103&amp;CHAR(34)&amp;","&amp;CHAR(34)&amp;"current"&amp;CHAR(34)&amp;":"&amp;CHAR(34)&amp;SUBSTITUTE(SUBSTITUTE(SUBSTITUTE(SUBSTITUTE(AB103,CHAR(92),CHAR(92)&amp;CHAR(92)),CHAR(34),CHAR(92)&amp;CHAR(34)),CHAR(13),""),CHAR(10),CHAR(92)&amp;"n")&amp;CHAR(34)&amp;","&amp;CHAR(34)&amp;"max"&amp;CHAR(34)&amp;":"&amp;CHAR(34)&amp;AC103&amp;""&amp;CHAR(34)&amp;CHAR(125))</x:f>
      </x:c>
    </x:row>
    <x:row r="104">
      <x:c r="AA104" t="str">
        <x:v>repeating_pnjatk_MCATK4_armemodificateurs</x:v>
      </x:c>
      <x:c r="AB104" t="str">
        <x:f>""</x:f>
      </x:c>
      <x:c r="AC104" t="str">
        <x:f>""</x:f>
      </x:c>
      <x:c r="AD104" t="str">
        <x:f>IF(AB104="","",CHAR(123)&amp;CHAR(34)&amp;"name"&amp;CHAR(34)&amp;":"&amp;CHAR(34)&amp;AA104&amp;CHAR(34)&amp;","&amp;CHAR(34)&amp;"current"&amp;CHAR(34)&amp;":"&amp;CHAR(34)&amp;SUBSTITUTE(SUBSTITUTE(SUBSTITUTE(SUBSTITUTE(AB104,CHAR(92),CHAR(92)&amp;CHAR(92)),CHAR(34),CHAR(92)&amp;CHAR(34)),CHAR(13),""),CHAR(10),CHAR(92)&amp;"n")&amp;CHAR(34)&amp;","&amp;CHAR(34)&amp;"max"&amp;CHAR(34)&amp;":"&amp;CHAR(34)&amp;AC104&amp;""&amp;CHAR(34)&amp;CHAR(125))</x:f>
      </x:c>
    </x:row>
    <x:row r="105">
      <x:c r="AA105" t="str">
        <x:v>repeating_pnjatk_MCATK4_armeoptions</x:v>
      </x:c>
      <x:c r="AB105" t="str">
        <x:f>""</x:f>
      </x:c>
      <x:c r="AC105" t="str">
        <x:f>""</x:f>
      </x:c>
      <x:c r="AD105" t="str">
        <x:f>IF(AB105="","",CHAR(123)&amp;CHAR(34)&amp;"name"&amp;CHAR(34)&amp;":"&amp;CHAR(34)&amp;AA105&amp;CHAR(34)&amp;","&amp;CHAR(34)&amp;"current"&amp;CHAR(34)&amp;":"&amp;CHAR(34)&amp;SUBSTITUTE(SUBSTITUTE(SUBSTITUTE(SUBSTITUTE(AB105,CHAR(92),CHAR(92)&amp;CHAR(92)),CHAR(34),CHAR(92)&amp;CHAR(34)),CHAR(13),""),CHAR(10),CHAR(92)&amp;"n")&amp;CHAR(34)&amp;","&amp;CHAR(34)&amp;"max"&amp;CHAR(34)&amp;":"&amp;CHAR(34)&amp;AC105&amp;""&amp;CHAR(34)&amp;CHAR(125))</x:f>
      </x:c>
    </x:row>
    <x:row r="106">
      <x:c r="AA106" t="str">
        <x:v>repeating_actions_MCACT1_actionmontree</x:v>
      </x:c>
      <x:c r="AB106" t="n">
        <x:f>IF($Q$2&lt;&gt;"",1,"")</x:f>
        <x:v>1</x:v>
      </x:c>
      <x:c r="AC106" t="str">
        <x:f>""</x:f>
      </x:c>
      <x:c r="AD106" t="str">
        <x:f>IF(AB106="","",CHAR(123)&amp;CHAR(34)&amp;"name"&amp;CHAR(34)&amp;":"&amp;CHAR(34)&amp;AA106&amp;CHAR(34)&amp;","&amp;CHAR(34)&amp;"current"&amp;CHAR(34)&amp;":"&amp;CHAR(34)&amp;AB106&amp;""&amp;CHAR(34)&amp;","&amp;CHAR(34)&amp;"max"&amp;CHAR(34)&amp;":"&amp;CHAR(34)&amp;AC106&amp;""&amp;CHAR(34)&amp;CHAR(125))</x:f>
        <x:v>{"name":"repeating_actions_MCACT1_actionmontree","current":"1","max":""}</x:v>
      </x:c>
    </x:row>
    <x:row r="107">
      <x:c r="AA107" t="str">
        <x:v>repeating_actions_MCACT1_actionrang</x:v>
      </x:c>
      <x:c r="AB107" t="n">
        <x:f>IF($Q$2&lt;&gt;"",COUNTIF($Q$2:$Q$2,"&lt;&gt;"),"")</x:f>
        <x:v>1</x:v>
      </x:c>
      <x:c r="AC107" t="str">
        <x:f>""</x:f>
      </x:c>
      <x:c r="AD107" t="str">
        <x:f>IF(AB107="","",CHAR(123)&amp;CHAR(34)&amp;"name"&amp;CHAR(34)&amp;":"&amp;CHAR(34)&amp;AA107&amp;CHAR(34)&amp;","&amp;CHAR(34)&amp;"current"&amp;CHAR(34)&amp;":"&amp;CHAR(34)&amp;AB107&amp;""&amp;CHAR(34)&amp;","&amp;CHAR(34)&amp;"max"&amp;CHAR(34)&amp;":"&amp;CHAR(34)&amp;AC107&amp;""&amp;CHAR(34)&amp;CHAR(125))</x:f>
        <x:v>{"name":"repeating_actions_MCACT1_actionrang","current":"1","max":""}</x:v>
      </x:c>
    </x:row>
    <x:row r="108">
      <x:c r="AA108" t="str">
        <x:v>repeating_actions_MCACT1_actiontitre</x:v>
      </x:c>
      <x:c r="AB108" t="str">
        <x:f>IF($Q$2&lt;&gt;"",$C$2,"")</x:f>
        <x:v>Souffle élémentaire</x:v>
      </x:c>
      <x:c r="AC108" t="str">
        <x:f>""</x:f>
      </x:c>
      <x:c r="AD108" t="str">
        <x:f>IF(AB108="","",CHAR(123)&amp;CHAR(34)&amp;"name"&amp;CHAR(34)&amp;":"&amp;CHAR(34)&amp;AA108&amp;CHAR(34)&amp;","&amp;CHAR(34)&amp;"current"&amp;CHAR(34)&amp;":"&amp;CHAR(34)&amp;SUBSTITUTE(SUBSTITUTE(SUBSTITUTE(SUBSTITUTE(AB108,CHAR(92),CHAR(92)&amp;CHAR(92)),CHAR(34),CHAR(92)&amp;CHAR(34)),CHAR(13),""),CHAR(10),CHAR(92)&amp;"n")&amp;CHAR(34)&amp;","&amp;CHAR(34)&amp;"max"&amp;CHAR(34)&amp;":"&amp;CHAR(34)&amp;AC108&amp;""&amp;CHAR(34)&amp;CHAR(125))</x:f>
        <x:v>{"name":"repeating_actions_MCACT1_actiontitre","current":"Souffle élémentaire","max":""}</x:v>
      </x:c>
    </x:row>
    <x:row r="109">
      <x:c r="AA109" t="str">
        <x:v>repeating_actions_MCACT1_actiontype</x:v>
      </x:c>
      <x:c r="AB109" t="str">
        <x:f>IF($Q$2&lt;&gt;"","action","")</x:f>
        <x:v>action</x:v>
      </x:c>
      <x:c r="AC109" t="str">
        <x:f>""</x:f>
      </x:c>
      <x:c r="AD109" t="str">
        <x:f>IF(AB109="","",CHAR(123)&amp;CHAR(34)&amp;"name"&amp;CHAR(34)&amp;":"&amp;CHAR(34)&amp;AA109&amp;CHAR(34)&amp;","&amp;CHAR(34)&amp;"current"&amp;CHAR(34)&amp;":"&amp;CHAR(34)&amp;SUBSTITUTE(SUBSTITUTE(SUBSTITUTE(SUBSTITUTE(AB109,CHAR(92),CHAR(92)&amp;CHAR(92)),CHAR(34),CHAR(92)&amp;CHAR(34)),CHAR(13),""),CHAR(10),CHAR(92)&amp;"n")&amp;CHAR(34)&amp;","&amp;CHAR(34)&amp;"max"&amp;CHAR(34)&amp;":"&amp;CHAR(34)&amp;AC109&amp;""&amp;CHAR(34)&amp;CHAR(125))</x:f>
        <x:v>{"name":"repeating_actions_MCACT1_actiontype","current":"action","max":""}</x:v>
      </x:c>
    </x:row>
    <x:row r="110">
      <x:c r="AA110" t="str">
        <x:v>repeating_actions_MCACT1_actionconditions</x:v>
      </x:c>
      <x:c r="AB110" t="str">
        <x:f>""</x:f>
      </x:c>
      <x:c r="AC110" t="str">
        <x:f>""</x:f>
      </x:c>
      <x:c r="AD110" t="str">
        <x:f>IF(AB110="","",CHAR(123)&amp;CHAR(34)&amp;"name"&amp;CHAR(34)&amp;":"&amp;CHAR(34)&amp;AA110&amp;CHAR(34)&amp;","&amp;CHAR(34)&amp;"current"&amp;CHAR(34)&amp;":"&amp;CHAR(34)&amp;SUBSTITUTE(SUBSTITUTE(SUBSTITUTE(SUBSTITUTE(AB110,CHAR(92),CHAR(92)&amp;CHAR(92)),CHAR(34),CHAR(92)&amp;CHAR(34)),CHAR(13),""),CHAR(10),CHAR(92)&amp;"n")&amp;CHAR(34)&amp;","&amp;CHAR(34)&amp;"max"&amp;CHAR(34)&amp;":"&amp;CHAR(34)&amp;AC110&amp;""&amp;CHAR(34)&amp;CHAR(125))</x:f>
      </x:c>
    </x:row>
    <x:row r="111">
      <x:c r="AA111" t="str">
        <x:v>repeating_actions_MCACT1_actioncode</x:v>
      </x:c>
      <x:c r="AB111" t="str">
        <x:f>IF($Q$2&lt;&gt;"",$Q$2,"")</x:f>
        <x:v>!cof-attack @{selected|token_id} @{target|token_id} Souffle élémentaire --auto --dm 2d12+1 --portee 15 --feu --cone 90 --psave DEX 13 --recharge 5 MC_SIG1</x:v>
      </x:c>
      <x:c r="AC111" t="str">
        <x:f>""</x:f>
      </x:c>
      <x:c r="AD111" t="str">
        <x:f>IF(AB111="","",CHAR(123)&amp;CHAR(34)&amp;"name"&amp;CHAR(34)&amp;":"&amp;CHAR(34)&amp;AA111&amp;CHAR(34)&amp;","&amp;CHAR(34)&amp;"current"&amp;CHAR(34)&amp;":"&amp;CHAR(34)&amp;SUBSTITUTE(SUBSTITUTE(SUBSTITUTE(SUBSTITUTE(AB111,CHAR(92),CHAR(92)&amp;CHAR(92)),CHAR(34),CHAR(92)&amp;CHAR(34)),CHAR(13),""),CHAR(10),CHAR(92)&amp;"n")&amp;CHAR(34)&amp;","&amp;CHAR(34)&amp;"max"&amp;CHAR(34)&amp;":"&amp;CHAR(34)&amp;AC111&amp;""&amp;CHAR(34)&amp;CHAR(125))</x:f>
        <x:v>{"name":"repeating_actions_MCACT1_actioncode","current":"!cof-attack @{selected|token_id} @{target|token_id} Souffle élémentaire --auto --dm 2d12+1 --portee 15 --feu --cone 90 --psave DEX 13 --recharge 5 MC_SIG1","max":""}</x:v>
      </x:c>
    </x:row>
    <x:row r="112">
      <x:c r="AA112" t="str">
        <x:v>repeating_actions_MCACT2_actionmontree</x:v>
      </x:c>
      <x:c r="AB112" t="str">
        <x:f>IF($Q$3&lt;&gt;"",1,"")</x:f>
      </x:c>
      <x:c r="AC112" t="str">
        <x:f>""</x:f>
      </x:c>
      <x:c r="AD112" t="str">
        <x:f>IF(AB112="","",CHAR(123)&amp;CHAR(34)&amp;"name"&amp;CHAR(34)&amp;":"&amp;CHAR(34)&amp;AA112&amp;CHAR(34)&amp;","&amp;CHAR(34)&amp;"current"&amp;CHAR(34)&amp;":"&amp;CHAR(34)&amp;AB112&amp;""&amp;CHAR(34)&amp;","&amp;CHAR(34)&amp;"max"&amp;CHAR(34)&amp;":"&amp;CHAR(34)&amp;AC112&amp;""&amp;CHAR(34)&amp;CHAR(125))</x:f>
      </x:c>
    </x:row>
    <x:row r="113">
      <x:c r="AA113" t="str">
        <x:v>repeating_actions_MCACT2_actionrang</x:v>
      </x:c>
      <x:c r="AB113" t="str">
        <x:f>IF($Q$3&lt;&gt;"",COUNTIF($Q$2:$Q$3,"&lt;&gt;"),"")</x:f>
      </x:c>
      <x:c r="AC113" t="str">
        <x:f>""</x:f>
      </x:c>
      <x:c r="AD113" t="str">
        <x:f>IF(AB113="","",CHAR(123)&amp;CHAR(34)&amp;"name"&amp;CHAR(34)&amp;":"&amp;CHAR(34)&amp;AA113&amp;CHAR(34)&amp;","&amp;CHAR(34)&amp;"current"&amp;CHAR(34)&amp;":"&amp;CHAR(34)&amp;AB113&amp;""&amp;CHAR(34)&amp;","&amp;CHAR(34)&amp;"max"&amp;CHAR(34)&amp;":"&amp;CHAR(34)&amp;AC113&amp;""&amp;CHAR(34)&amp;CHAR(125))</x:f>
      </x:c>
    </x:row>
    <x:row r="114">
      <x:c r="AA114" t="str">
        <x:v>repeating_actions_MCACT2_actiontitre</x:v>
      </x:c>
      <x:c r="AB114" t="str">
        <x:f>IF($Q$3&lt;&gt;"",$C$3,"")</x:f>
      </x:c>
      <x:c r="AC114" t="str">
        <x:f>""</x:f>
      </x:c>
      <x:c r="AD114" t="str">
        <x:f>IF(AB114="","",CHAR(123)&amp;CHAR(34)&amp;"name"&amp;CHAR(34)&amp;":"&amp;CHAR(34)&amp;AA114&amp;CHAR(34)&amp;","&amp;CHAR(34)&amp;"current"&amp;CHAR(34)&amp;":"&amp;CHAR(34)&amp;SUBSTITUTE(SUBSTITUTE(SUBSTITUTE(SUBSTITUTE(AB114,CHAR(92),CHAR(92)&amp;CHAR(92)),CHAR(34),CHAR(92)&amp;CHAR(34)),CHAR(13),""),CHAR(10),CHAR(92)&amp;"n")&amp;CHAR(34)&amp;","&amp;CHAR(34)&amp;"max"&amp;CHAR(34)&amp;":"&amp;CHAR(34)&amp;AC114&amp;""&amp;CHAR(34)&amp;CHAR(125))</x:f>
      </x:c>
    </x:row>
    <x:row r="115">
      <x:c r="AA115" t="str">
        <x:v>repeating_actions_MCACT2_actiontype</x:v>
      </x:c>
      <x:c r="AB115" t="str">
        <x:f>IF($Q$3&lt;&gt;"","action","")</x:f>
      </x:c>
      <x:c r="AC115" t="str">
        <x:f>""</x:f>
      </x:c>
      <x:c r="AD115" t="str">
        <x:f>IF(AB115="","",CHAR(123)&amp;CHAR(34)&amp;"name"&amp;CHAR(34)&amp;":"&amp;CHAR(34)&amp;AA115&amp;CHAR(34)&amp;","&amp;CHAR(34)&amp;"current"&amp;CHAR(34)&amp;":"&amp;CHAR(34)&amp;SUBSTITUTE(SUBSTITUTE(SUBSTITUTE(SUBSTITUTE(AB115,CHAR(92),CHAR(92)&amp;CHAR(92)),CHAR(34),CHAR(92)&amp;CHAR(34)),CHAR(13),""),CHAR(10),CHAR(92)&amp;"n")&amp;CHAR(34)&amp;","&amp;CHAR(34)&amp;"max"&amp;CHAR(34)&amp;":"&amp;CHAR(34)&amp;AC115&amp;""&amp;CHAR(34)&amp;CHAR(125))</x:f>
      </x:c>
    </x:row>
    <x:row r="116">
      <x:c r="AA116" t="str">
        <x:v>repeating_actions_MCACT2_actionconditions</x:v>
      </x:c>
      <x:c r="AB116" t="str">
        <x:f>""</x:f>
      </x:c>
      <x:c r="AC116" t="str">
        <x:f>""</x:f>
      </x:c>
      <x:c r="AD116" t="str">
        <x:f>IF(AB116="","",CHAR(123)&amp;CHAR(34)&amp;"name"&amp;CHAR(34)&amp;":"&amp;CHAR(34)&amp;AA116&amp;CHAR(34)&amp;","&amp;CHAR(34)&amp;"current"&amp;CHAR(34)&amp;":"&amp;CHAR(34)&amp;SUBSTITUTE(SUBSTITUTE(SUBSTITUTE(SUBSTITUTE(AB116,CHAR(92),CHAR(92)&amp;CHAR(92)),CHAR(34),CHAR(92)&amp;CHAR(34)),CHAR(13),""),CHAR(10),CHAR(92)&amp;"n")&amp;CHAR(34)&amp;","&amp;CHAR(34)&amp;"max"&amp;CHAR(34)&amp;":"&amp;CHAR(34)&amp;AC116&amp;""&amp;CHAR(34)&amp;CHAR(125))</x:f>
      </x:c>
    </x:row>
    <x:row r="117">
      <x:c r="AA117" t="str">
        <x:v>repeating_actions_MCACT2_actioncode</x:v>
      </x:c>
      <x:c r="AB117" t="str">
        <x:f>IF($Q$3&lt;&gt;"",$Q$3,"")</x:f>
      </x:c>
      <x:c r="AC117" t="str">
        <x:f>""</x:f>
      </x:c>
      <x:c r="AD117" t="str">
        <x:f>IF(AB117="","",CHAR(123)&amp;CHAR(34)&amp;"name"&amp;CHAR(34)&amp;":"&amp;CHAR(34)&amp;AA117&amp;CHAR(34)&amp;","&amp;CHAR(34)&amp;"current"&amp;CHAR(34)&amp;":"&amp;CHAR(34)&amp;SUBSTITUTE(SUBSTITUTE(SUBSTITUTE(SUBSTITUTE(AB117,CHAR(92),CHAR(92)&amp;CHAR(92)),CHAR(34),CHAR(92)&amp;CHAR(34)),CHAR(13),""),CHAR(10),CHAR(92)&amp;"n")&amp;CHAR(34)&amp;","&amp;CHAR(34)&amp;"max"&amp;CHAR(34)&amp;":"&amp;CHAR(34)&amp;AC117&amp;""&amp;CHAR(34)&amp;CHAR(125))</x:f>
      </x:c>
    </x:row>
    <x:row r="118">
      <x:c r="AA118" t="str">
        <x:v>repeating_actions_MCACT3_actionmontree</x:v>
      </x:c>
      <x:c r="AB118" t="str">
        <x:f>IF($Q$4&lt;&gt;"",1,"")</x:f>
      </x:c>
      <x:c r="AC118" t="str">
        <x:f>""</x:f>
      </x:c>
      <x:c r="AD118" t="str">
        <x:f>IF(AB118="","",CHAR(123)&amp;CHAR(34)&amp;"name"&amp;CHAR(34)&amp;":"&amp;CHAR(34)&amp;AA118&amp;CHAR(34)&amp;","&amp;CHAR(34)&amp;"current"&amp;CHAR(34)&amp;":"&amp;CHAR(34)&amp;AB118&amp;""&amp;CHAR(34)&amp;","&amp;CHAR(34)&amp;"max"&amp;CHAR(34)&amp;":"&amp;CHAR(34)&amp;AC118&amp;""&amp;CHAR(34)&amp;CHAR(125))</x:f>
      </x:c>
    </x:row>
    <x:row r="119">
      <x:c r="AA119" t="str">
        <x:v>repeating_actions_MCACT3_actionrang</x:v>
      </x:c>
      <x:c r="AB119" t="str">
        <x:f>IF($Q$4&lt;&gt;"",COUNTIF($Q$2:$Q$4,"&lt;&gt;"),"")</x:f>
      </x:c>
      <x:c r="AC119" t="str">
        <x:f>""</x:f>
      </x:c>
      <x:c r="AD119" t="str">
        <x:f>IF(AB119="","",CHAR(123)&amp;CHAR(34)&amp;"name"&amp;CHAR(34)&amp;":"&amp;CHAR(34)&amp;AA119&amp;CHAR(34)&amp;","&amp;CHAR(34)&amp;"current"&amp;CHAR(34)&amp;":"&amp;CHAR(34)&amp;AB119&amp;""&amp;CHAR(34)&amp;","&amp;CHAR(34)&amp;"max"&amp;CHAR(34)&amp;":"&amp;CHAR(34)&amp;AC119&amp;""&amp;CHAR(34)&amp;CHAR(125))</x:f>
      </x:c>
    </x:row>
    <x:row r="120">
      <x:c r="AA120" t="str">
        <x:v>repeating_actions_MCACT3_actiontitre</x:v>
      </x:c>
      <x:c r="AB120" t="str">
        <x:f>IF($Q$4&lt;&gt;"",$C$4,"")</x:f>
      </x:c>
      <x:c r="AC120" t="str">
        <x:f>""</x:f>
      </x:c>
      <x:c r="AD120" t="str">
        <x:f>IF(AB120="","",CHAR(123)&amp;CHAR(34)&amp;"name"&amp;CHAR(34)&amp;":"&amp;CHAR(34)&amp;AA120&amp;CHAR(34)&amp;","&amp;CHAR(34)&amp;"current"&amp;CHAR(34)&amp;":"&amp;CHAR(34)&amp;SUBSTITUTE(SUBSTITUTE(SUBSTITUTE(SUBSTITUTE(AB120,CHAR(92),CHAR(92)&amp;CHAR(92)),CHAR(34),CHAR(92)&amp;CHAR(34)),CHAR(13),""),CHAR(10),CHAR(92)&amp;"n")&amp;CHAR(34)&amp;","&amp;CHAR(34)&amp;"max"&amp;CHAR(34)&amp;":"&amp;CHAR(34)&amp;AC120&amp;""&amp;CHAR(34)&amp;CHAR(125))</x:f>
      </x:c>
    </x:row>
    <x:row r="121">
      <x:c r="AA121" t="str">
        <x:v>repeating_actions_MCACT3_actiontype</x:v>
      </x:c>
      <x:c r="AB121" t="str">
        <x:f>IF($Q$4&lt;&gt;"","action","")</x:f>
      </x:c>
      <x:c r="AC121" t="str">
        <x:f>""</x:f>
      </x:c>
      <x:c r="AD121" t="str">
        <x:f>IF(AB121="","",CHAR(123)&amp;CHAR(34)&amp;"name"&amp;CHAR(34)&amp;":"&amp;CHAR(34)&amp;AA121&amp;CHAR(34)&amp;","&amp;CHAR(34)&amp;"current"&amp;CHAR(34)&amp;":"&amp;CHAR(34)&amp;SUBSTITUTE(SUBSTITUTE(SUBSTITUTE(SUBSTITUTE(AB121,CHAR(92),CHAR(92)&amp;CHAR(92)),CHAR(34),CHAR(92)&amp;CHAR(34)),CHAR(13),""),CHAR(10),CHAR(92)&amp;"n")&amp;CHAR(34)&amp;","&amp;CHAR(34)&amp;"max"&amp;CHAR(34)&amp;":"&amp;CHAR(34)&amp;AC121&amp;""&amp;CHAR(34)&amp;CHAR(125))</x:f>
      </x:c>
    </x:row>
    <x:row r="122">
      <x:c r="AA122" t="str">
        <x:v>repeating_actions_MCACT3_actionconditions</x:v>
      </x:c>
      <x:c r="AB122" t="str">
        <x:f>""</x:f>
      </x:c>
      <x:c r="AC122" t="str">
        <x:f>""</x:f>
      </x:c>
      <x:c r="AD122" t="str">
        <x:f>IF(AB122="","",CHAR(123)&amp;CHAR(34)&amp;"name"&amp;CHAR(34)&amp;":"&amp;CHAR(34)&amp;AA122&amp;CHAR(34)&amp;","&amp;CHAR(34)&amp;"current"&amp;CHAR(34)&amp;":"&amp;CHAR(34)&amp;SUBSTITUTE(SUBSTITUTE(SUBSTITUTE(SUBSTITUTE(AB122,CHAR(92),CHAR(92)&amp;CHAR(92)),CHAR(34),CHAR(92)&amp;CHAR(34)),CHAR(13),""),CHAR(10),CHAR(92)&amp;"n")&amp;CHAR(34)&amp;","&amp;CHAR(34)&amp;"max"&amp;CHAR(34)&amp;":"&amp;CHAR(34)&amp;AC122&amp;""&amp;CHAR(34)&amp;CHAR(125))</x:f>
      </x:c>
    </x:row>
    <x:row r="123">
      <x:c r="AA123" t="str">
        <x:v>repeating_actions_MCACT3_actioncode</x:v>
      </x:c>
      <x:c r="AB123" t="str">
        <x:f>IF($Q$4&lt;&gt;"",$Q$4,"")</x:f>
      </x:c>
      <x:c r="AC123" t="str">
        <x:f>""</x:f>
      </x:c>
      <x:c r="AD123" t="str">
        <x:f>IF(AB123="","",CHAR(123)&amp;CHAR(34)&amp;"name"&amp;CHAR(34)&amp;":"&amp;CHAR(34)&amp;AA123&amp;CHAR(34)&amp;","&amp;CHAR(34)&amp;"current"&amp;CHAR(34)&amp;":"&amp;CHAR(34)&amp;SUBSTITUTE(SUBSTITUTE(SUBSTITUTE(SUBSTITUTE(AB123,CHAR(92),CHAR(92)&amp;CHAR(92)),CHAR(34),CHAR(92)&amp;CHAR(34)),CHAR(13),""),CHAR(10),CHAR(92)&amp;"n")&amp;CHAR(34)&amp;","&amp;CHAR(34)&amp;"max"&amp;CHAR(34)&amp;":"&amp;CHAR(34)&amp;AC123&amp;""&amp;CHAR(34)&amp;CHAR(125))</x:f>
      </x:c>
    </x:row>
    <x:row r="124">
      <x:c r="AA124" t="str">
        <x:v>repeating_actions_MCACT4_actionmontree</x:v>
      </x:c>
      <x:c r="AB124" t="str">
        <x:f>IF($Q$5&lt;&gt;"",1,"")</x:f>
      </x:c>
      <x:c r="AC124" t="str">
        <x:f>""</x:f>
      </x:c>
      <x:c r="AD124" t="str">
        <x:f>IF(AB124="","",CHAR(123)&amp;CHAR(34)&amp;"name"&amp;CHAR(34)&amp;":"&amp;CHAR(34)&amp;AA124&amp;CHAR(34)&amp;","&amp;CHAR(34)&amp;"current"&amp;CHAR(34)&amp;":"&amp;CHAR(34)&amp;AB124&amp;""&amp;CHAR(34)&amp;","&amp;CHAR(34)&amp;"max"&amp;CHAR(34)&amp;":"&amp;CHAR(34)&amp;AC124&amp;""&amp;CHAR(34)&amp;CHAR(125))</x:f>
      </x:c>
    </x:row>
    <x:row r="125">
      <x:c r="AA125" t="str">
        <x:v>repeating_actions_MCACT4_actionrang</x:v>
      </x:c>
      <x:c r="AB125" t="str">
        <x:f>IF($Q$5&lt;&gt;"",COUNTIF($Q$2:$Q$5,"&lt;&gt;"),"")</x:f>
      </x:c>
      <x:c r="AC125" t="str">
        <x:f>""</x:f>
      </x:c>
      <x:c r="AD125" t="str">
        <x:f>IF(AB125="","",CHAR(123)&amp;CHAR(34)&amp;"name"&amp;CHAR(34)&amp;":"&amp;CHAR(34)&amp;AA125&amp;CHAR(34)&amp;","&amp;CHAR(34)&amp;"current"&amp;CHAR(34)&amp;":"&amp;CHAR(34)&amp;AB125&amp;""&amp;CHAR(34)&amp;","&amp;CHAR(34)&amp;"max"&amp;CHAR(34)&amp;":"&amp;CHAR(34)&amp;AC125&amp;""&amp;CHAR(34)&amp;CHAR(125))</x:f>
      </x:c>
    </x:row>
    <x:row r="126">
      <x:c r="AA126" t="str">
        <x:v>repeating_actions_MCACT4_actiontitre</x:v>
      </x:c>
      <x:c r="AB126" t="str">
        <x:f>IF($Q$5&lt;&gt;"",$C$5,"")</x:f>
      </x:c>
      <x:c r="AC126" t="str">
        <x:f>""</x:f>
      </x:c>
      <x:c r="AD126" t="str">
        <x:f>IF(AB126="","",CHAR(123)&amp;CHAR(34)&amp;"name"&amp;CHAR(34)&amp;":"&amp;CHAR(34)&amp;AA126&amp;CHAR(34)&amp;","&amp;CHAR(34)&amp;"current"&amp;CHAR(34)&amp;":"&amp;CHAR(34)&amp;SUBSTITUTE(SUBSTITUTE(SUBSTITUTE(SUBSTITUTE(AB126,CHAR(92),CHAR(92)&amp;CHAR(92)),CHAR(34),CHAR(92)&amp;CHAR(34)),CHAR(13),""),CHAR(10),CHAR(92)&amp;"n")&amp;CHAR(34)&amp;","&amp;CHAR(34)&amp;"max"&amp;CHAR(34)&amp;":"&amp;CHAR(34)&amp;AC126&amp;""&amp;CHAR(34)&amp;CHAR(125))</x:f>
      </x:c>
    </x:row>
    <x:row r="127">
      <x:c r="AA127" t="str">
        <x:v>repeating_actions_MCACT4_actiontype</x:v>
      </x:c>
      <x:c r="AB127" t="str">
        <x:f>IF($Q$5&lt;&gt;"","action","")</x:f>
      </x:c>
      <x:c r="AC127" t="str">
        <x:f>""</x:f>
      </x:c>
      <x:c r="AD127" t="str">
        <x:f>IF(AB127="","",CHAR(123)&amp;CHAR(34)&amp;"name"&amp;CHAR(34)&amp;":"&amp;CHAR(34)&amp;AA127&amp;CHAR(34)&amp;","&amp;CHAR(34)&amp;"current"&amp;CHAR(34)&amp;":"&amp;CHAR(34)&amp;SUBSTITUTE(SUBSTITUTE(SUBSTITUTE(SUBSTITUTE(AB127,CHAR(92),CHAR(92)&amp;CHAR(92)),CHAR(34),CHAR(92)&amp;CHAR(34)),CHAR(13),""),CHAR(10),CHAR(92)&amp;"n")&amp;CHAR(34)&amp;","&amp;CHAR(34)&amp;"max"&amp;CHAR(34)&amp;":"&amp;CHAR(34)&amp;AC127&amp;""&amp;CHAR(34)&amp;CHAR(125))</x:f>
      </x:c>
    </x:row>
    <x:row r="128">
      <x:c r="AA128" t="str">
        <x:v>repeating_actions_MCACT4_actionconditions</x:v>
      </x:c>
      <x:c r="AB128" t="str">
        <x:f>""</x:f>
      </x:c>
      <x:c r="AC128" t="str">
        <x:f>""</x:f>
      </x:c>
      <x:c r="AD128" t="str">
        <x:f>IF(AB128="","",CHAR(123)&amp;CHAR(34)&amp;"name"&amp;CHAR(34)&amp;":"&amp;CHAR(34)&amp;AA128&amp;CHAR(34)&amp;","&amp;CHAR(34)&amp;"current"&amp;CHAR(34)&amp;":"&amp;CHAR(34)&amp;SUBSTITUTE(SUBSTITUTE(SUBSTITUTE(SUBSTITUTE(AB128,CHAR(92),CHAR(92)&amp;CHAR(92)),CHAR(34),CHAR(92)&amp;CHAR(34)),CHAR(13),""),CHAR(10),CHAR(92)&amp;"n")&amp;CHAR(34)&amp;","&amp;CHAR(34)&amp;"max"&amp;CHAR(34)&amp;":"&amp;CHAR(34)&amp;AC128&amp;""&amp;CHAR(34)&amp;CHAR(125))</x:f>
      </x:c>
    </x:row>
    <x:row r="129">
      <x:c r="AA129" t="str">
        <x:v>repeating_actions_MCACT4_actioncode</x:v>
      </x:c>
      <x:c r="AB129" t="str">
        <x:f>IF($Q$5&lt;&gt;"",$Q$5,"")</x:f>
      </x:c>
      <x:c r="AC129" t="str">
        <x:f>""</x:f>
      </x:c>
      <x:c r="AD129" t="str">
        <x:f>IF(AB129="","",CHAR(123)&amp;CHAR(34)&amp;"name"&amp;CHAR(34)&amp;":"&amp;CHAR(34)&amp;AA129&amp;CHAR(34)&amp;","&amp;CHAR(34)&amp;"current"&amp;CHAR(34)&amp;":"&amp;CHAR(34)&amp;SUBSTITUTE(SUBSTITUTE(SUBSTITUTE(SUBSTITUTE(AB129,CHAR(92),CHAR(92)&amp;CHAR(92)),CHAR(34),CHAR(92)&amp;CHAR(34)),CHAR(13),""),CHAR(10),CHAR(92)&amp;"n")&amp;CHAR(34)&amp;","&amp;CHAR(34)&amp;"max"&amp;CHAR(34)&amp;":"&amp;CHAR(34)&amp;AC129&amp;""&amp;CHAR(34)&amp;CHAR(125))</x:f>
      </x:c>
    </x:row>
    <x:row r="130">
      <x:c r="AA130" t="str">
        <x:v>repeating_actions_MCACT5_actionmontree</x:v>
      </x:c>
      <x:c r="AB130" t="str">
        <x:f>IF($Q$6&lt;&gt;"",1,"")</x:f>
      </x:c>
      <x:c r="AC130" t="str">
        <x:f>""</x:f>
      </x:c>
      <x:c r="AD130" t="str">
        <x:f>IF(AB130="","",CHAR(123)&amp;CHAR(34)&amp;"name"&amp;CHAR(34)&amp;":"&amp;CHAR(34)&amp;AA130&amp;CHAR(34)&amp;","&amp;CHAR(34)&amp;"current"&amp;CHAR(34)&amp;":"&amp;CHAR(34)&amp;AB130&amp;""&amp;CHAR(34)&amp;","&amp;CHAR(34)&amp;"max"&amp;CHAR(34)&amp;":"&amp;CHAR(34)&amp;AC130&amp;""&amp;CHAR(34)&amp;CHAR(125))</x:f>
      </x:c>
    </x:row>
    <x:row r="131">
      <x:c r="AA131" t="str">
        <x:v>repeating_actions_MCACT5_actionrang</x:v>
      </x:c>
      <x:c r="AB131" t="str">
        <x:f>IF($Q$6&lt;&gt;"",COUNTIF($Q$2:$Q$6,"&lt;&gt;"),"")</x:f>
      </x:c>
      <x:c r="AC131" t="str">
        <x:f>""</x:f>
      </x:c>
      <x:c r="AD131" t="str">
        <x:f>IF(AB131="","",CHAR(123)&amp;CHAR(34)&amp;"name"&amp;CHAR(34)&amp;":"&amp;CHAR(34)&amp;AA131&amp;CHAR(34)&amp;","&amp;CHAR(34)&amp;"current"&amp;CHAR(34)&amp;":"&amp;CHAR(34)&amp;AB131&amp;""&amp;CHAR(34)&amp;","&amp;CHAR(34)&amp;"max"&amp;CHAR(34)&amp;":"&amp;CHAR(34)&amp;AC131&amp;""&amp;CHAR(34)&amp;CHAR(125))</x:f>
      </x:c>
    </x:row>
    <x:row r="132">
      <x:c r="AA132" t="str">
        <x:v>repeating_actions_MCACT5_actiontitre</x:v>
      </x:c>
      <x:c r="AB132" t="str">
        <x:f>IF($Q$6&lt;&gt;"",$C$6,"")</x:f>
      </x:c>
      <x:c r="AC132" t="str">
        <x:f>""</x:f>
      </x:c>
      <x:c r="AD132" t="str">
        <x:f>IF(AB132="","",CHAR(123)&amp;CHAR(34)&amp;"name"&amp;CHAR(34)&amp;":"&amp;CHAR(34)&amp;AA132&amp;CHAR(34)&amp;","&amp;CHAR(34)&amp;"current"&amp;CHAR(34)&amp;":"&amp;CHAR(34)&amp;SUBSTITUTE(SUBSTITUTE(SUBSTITUTE(SUBSTITUTE(AB132,CHAR(92),CHAR(92)&amp;CHAR(92)),CHAR(34),CHAR(92)&amp;CHAR(34)),CHAR(13),""),CHAR(10),CHAR(92)&amp;"n")&amp;CHAR(34)&amp;","&amp;CHAR(34)&amp;"max"&amp;CHAR(34)&amp;":"&amp;CHAR(34)&amp;AC132&amp;""&amp;CHAR(34)&amp;CHAR(125))</x:f>
      </x:c>
    </x:row>
    <x:row r="133">
      <x:c r="AA133" t="str">
        <x:v>repeating_actions_MCACT5_actiontype</x:v>
      </x:c>
      <x:c r="AB133" t="str">
        <x:f>IF($Q$6&lt;&gt;"","action","")</x:f>
      </x:c>
      <x:c r="AC133" t="str">
        <x:f>""</x:f>
      </x:c>
      <x:c r="AD133" t="str">
        <x:f>IF(AB133="","",CHAR(123)&amp;CHAR(34)&amp;"name"&amp;CHAR(34)&amp;":"&amp;CHAR(34)&amp;AA133&amp;CHAR(34)&amp;","&amp;CHAR(34)&amp;"current"&amp;CHAR(34)&amp;":"&amp;CHAR(34)&amp;SUBSTITUTE(SUBSTITUTE(SUBSTITUTE(SUBSTITUTE(AB133,CHAR(92),CHAR(92)&amp;CHAR(92)),CHAR(34),CHAR(92)&amp;CHAR(34)),CHAR(13),""),CHAR(10),CHAR(92)&amp;"n")&amp;CHAR(34)&amp;","&amp;CHAR(34)&amp;"max"&amp;CHAR(34)&amp;":"&amp;CHAR(34)&amp;AC133&amp;""&amp;CHAR(34)&amp;CHAR(125))</x:f>
      </x:c>
    </x:row>
    <x:row r="134">
      <x:c r="AA134" t="str">
        <x:v>repeating_actions_MCACT5_actionconditions</x:v>
      </x:c>
      <x:c r="AB134" t="str">
        <x:f>""</x:f>
      </x:c>
      <x:c r="AC134" t="str">
        <x:f>""</x:f>
      </x:c>
      <x:c r="AD134" t="str">
        <x:f>IF(AB134="","",CHAR(123)&amp;CHAR(34)&amp;"name"&amp;CHAR(34)&amp;":"&amp;CHAR(34)&amp;AA134&amp;CHAR(34)&amp;","&amp;CHAR(34)&amp;"current"&amp;CHAR(34)&amp;":"&amp;CHAR(34)&amp;SUBSTITUTE(SUBSTITUTE(SUBSTITUTE(SUBSTITUTE(AB134,CHAR(92),CHAR(92)&amp;CHAR(92)),CHAR(34),CHAR(92)&amp;CHAR(34)),CHAR(13),""),CHAR(10),CHAR(92)&amp;"n")&amp;CHAR(34)&amp;","&amp;CHAR(34)&amp;"max"&amp;CHAR(34)&amp;":"&amp;CHAR(34)&amp;AC134&amp;""&amp;CHAR(34)&amp;CHAR(125))</x:f>
      </x:c>
    </x:row>
    <x:row r="135">
      <x:c r="AA135" t="str">
        <x:v>repeating_actions_MCACT5_actioncode</x:v>
      </x:c>
      <x:c r="AB135" t="str">
        <x:f>IF($Q$6&lt;&gt;"",$Q$6,"")</x:f>
      </x:c>
      <x:c r="AC135" t="str">
        <x:f>""</x:f>
      </x:c>
      <x:c r="AD135" t="str">
        <x:f>IF(AB135="","",CHAR(123)&amp;CHAR(34)&amp;"name"&amp;CHAR(34)&amp;":"&amp;CHAR(34)&amp;AA135&amp;CHAR(34)&amp;","&amp;CHAR(34)&amp;"current"&amp;CHAR(34)&amp;":"&amp;CHAR(34)&amp;SUBSTITUTE(SUBSTITUTE(SUBSTITUTE(SUBSTITUTE(AB135,CHAR(92),CHAR(92)&amp;CHAR(92)),CHAR(34),CHAR(92)&amp;CHAR(34)),CHAR(13),""),CHAR(10),CHAR(92)&amp;"n")&amp;CHAR(34)&amp;","&amp;CHAR(34)&amp;"max"&amp;CHAR(34)&amp;":"&amp;CHAR(34)&amp;AC135&amp;""&amp;CHAR(34)&amp;CHAR(125))</x:f>
      </x:c>
    </x:row>
    <x:row r="136">
      <x:c r="AA136" t="str">
        <x:v>repeating_actions_MCACT6_actionmontree</x:v>
      </x:c>
      <x:c r="AB136" t="str">
        <x:f>IF($Q$7&lt;&gt;"",1,"")</x:f>
      </x:c>
      <x:c r="AC136" t="str">
        <x:f>""</x:f>
      </x:c>
      <x:c r="AD136" t="str">
        <x:f>IF(AB136="","",CHAR(123)&amp;CHAR(34)&amp;"name"&amp;CHAR(34)&amp;":"&amp;CHAR(34)&amp;AA136&amp;CHAR(34)&amp;","&amp;CHAR(34)&amp;"current"&amp;CHAR(34)&amp;":"&amp;CHAR(34)&amp;AB136&amp;""&amp;CHAR(34)&amp;","&amp;CHAR(34)&amp;"max"&amp;CHAR(34)&amp;":"&amp;CHAR(34)&amp;AC136&amp;""&amp;CHAR(34)&amp;CHAR(125))</x:f>
      </x:c>
    </x:row>
    <x:row r="137">
      <x:c r="AA137" t="str">
        <x:v>repeating_actions_MCACT6_actionrang</x:v>
      </x:c>
      <x:c r="AB137" t="str">
        <x:f>IF($Q$7&lt;&gt;"",COUNTIF($Q$2:$Q$7,"&lt;&gt;"),"")</x:f>
      </x:c>
      <x:c r="AC137" t="str">
        <x:f>""</x:f>
      </x:c>
      <x:c r="AD137" t="str">
        <x:f>IF(AB137="","",CHAR(123)&amp;CHAR(34)&amp;"name"&amp;CHAR(34)&amp;":"&amp;CHAR(34)&amp;AA137&amp;CHAR(34)&amp;","&amp;CHAR(34)&amp;"current"&amp;CHAR(34)&amp;":"&amp;CHAR(34)&amp;AB137&amp;""&amp;CHAR(34)&amp;","&amp;CHAR(34)&amp;"max"&amp;CHAR(34)&amp;":"&amp;CHAR(34)&amp;AC137&amp;""&amp;CHAR(34)&amp;CHAR(125))</x:f>
      </x:c>
    </x:row>
    <x:row r="138">
      <x:c r="AA138" t="str">
        <x:v>repeating_actions_MCACT6_actiontitre</x:v>
      </x:c>
      <x:c r="AB138" t="str">
        <x:f>IF($Q$7&lt;&gt;"",$C$7,"")</x:f>
      </x:c>
      <x:c r="AC138" t="str">
        <x:f>""</x:f>
      </x:c>
      <x:c r="AD138" t="str">
        <x:f>IF(AB138="","",CHAR(123)&amp;CHAR(34)&amp;"name"&amp;CHAR(34)&amp;":"&amp;CHAR(34)&amp;AA138&amp;CHAR(34)&amp;","&amp;CHAR(34)&amp;"current"&amp;CHAR(34)&amp;":"&amp;CHAR(34)&amp;SUBSTITUTE(SUBSTITUTE(SUBSTITUTE(SUBSTITUTE(AB138,CHAR(92),CHAR(92)&amp;CHAR(92)),CHAR(34),CHAR(92)&amp;CHAR(34)),CHAR(13),""),CHAR(10),CHAR(92)&amp;"n")&amp;CHAR(34)&amp;","&amp;CHAR(34)&amp;"max"&amp;CHAR(34)&amp;":"&amp;CHAR(34)&amp;AC138&amp;""&amp;CHAR(34)&amp;CHAR(125))</x:f>
      </x:c>
    </x:row>
    <x:row r="139">
      <x:c r="AA139" t="str">
        <x:v>repeating_actions_MCACT6_actiontype</x:v>
      </x:c>
      <x:c r="AB139" t="str">
        <x:f>IF($Q$7&lt;&gt;"","action","")</x:f>
      </x:c>
      <x:c r="AC139" t="str">
        <x:f>""</x:f>
      </x:c>
      <x:c r="AD139" t="str">
        <x:f>IF(AB139="","",CHAR(123)&amp;CHAR(34)&amp;"name"&amp;CHAR(34)&amp;":"&amp;CHAR(34)&amp;AA139&amp;CHAR(34)&amp;","&amp;CHAR(34)&amp;"current"&amp;CHAR(34)&amp;":"&amp;CHAR(34)&amp;SUBSTITUTE(SUBSTITUTE(SUBSTITUTE(SUBSTITUTE(AB139,CHAR(92),CHAR(92)&amp;CHAR(92)),CHAR(34),CHAR(92)&amp;CHAR(34)),CHAR(13),""),CHAR(10),CHAR(92)&amp;"n")&amp;CHAR(34)&amp;","&amp;CHAR(34)&amp;"max"&amp;CHAR(34)&amp;":"&amp;CHAR(34)&amp;AC139&amp;""&amp;CHAR(34)&amp;CHAR(125))</x:f>
      </x:c>
    </x:row>
    <x:row r="140">
      <x:c r="AA140" t="str">
        <x:v>repeating_actions_MCACT6_actionconditions</x:v>
      </x:c>
      <x:c r="AB140" t="str">
        <x:f>""</x:f>
      </x:c>
      <x:c r="AC140" t="str">
        <x:f>""</x:f>
      </x:c>
      <x:c r="AD140" t="str">
        <x:f>IF(AB140="","",CHAR(123)&amp;CHAR(34)&amp;"name"&amp;CHAR(34)&amp;":"&amp;CHAR(34)&amp;AA140&amp;CHAR(34)&amp;","&amp;CHAR(34)&amp;"current"&amp;CHAR(34)&amp;":"&amp;CHAR(34)&amp;SUBSTITUTE(SUBSTITUTE(SUBSTITUTE(SUBSTITUTE(AB140,CHAR(92),CHAR(92)&amp;CHAR(92)),CHAR(34),CHAR(92)&amp;CHAR(34)),CHAR(13),""),CHAR(10),CHAR(92)&amp;"n")&amp;CHAR(34)&amp;","&amp;CHAR(34)&amp;"max"&amp;CHAR(34)&amp;":"&amp;CHAR(34)&amp;AC140&amp;""&amp;CHAR(34)&amp;CHAR(125))</x:f>
      </x:c>
    </x:row>
    <x:row r="141">
      <x:c r="AA141" t="str">
        <x:v>repeating_actions_MCACT6_actioncode</x:v>
      </x:c>
      <x:c r="AB141" t="str">
        <x:f>IF($Q$7&lt;&gt;"",$Q$7,"")</x:f>
      </x:c>
      <x:c r="AC141" t="str">
        <x:f>""</x:f>
      </x:c>
      <x:c r="AD141" t="str">
        <x:f>IF(AB141="","",CHAR(123)&amp;CHAR(34)&amp;"name"&amp;CHAR(34)&amp;":"&amp;CHAR(34)&amp;AA141&amp;CHAR(34)&amp;","&amp;CHAR(34)&amp;"current"&amp;CHAR(34)&amp;":"&amp;CHAR(34)&amp;SUBSTITUTE(SUBSTITUTE(SUBSTITUTE(SUBSTITUTE(AB141,CHAR(92),CHAR(92)&amp;CHAR(92)),CHAR(34),CHAR(92)&amp;CHAR(34)),CHAR(13),""),CHAR(10),CHAR(92)&amp;"n")&amp;CHAR(34)&amp;","&amp;CHAR(34)&amp;"max"&amp;CHAR(34)&amp;":"&amp;CHAR(34)&amp;AC141&amp;""&amp;CHAR(34)&amp;CHAR(125))</x:f>
      </x:c>
    </x:row>
    <x:row r="142">
      <x:c r="AA142" t="str">
        <x:v>repeating_actions_MCACT7_actionmontree</x:v>
      </x:c>
      <x:c r="AB142" t="str">
        <x:f>IF($Q$8&lt;&gt;"",1,"")</x:f>
      </x:c>
      <x:c r="AC142" t="str">
        <x:f>""</x:f>
      </x:c>
      <x:c r="AD142" t="str">
        <x:f>IF(AB142="","",CHAR(123)&amp;CHAR(34)&amp;"name"&amp;CHAR(34)&amp;":"&amp;CHAR(34)&amp;AA142&amp;CHAR(34)&amp;","&amp;CHAR(34)&amp;"current"&amp;CHAR(34)&amp;":"&amp;CHAR(34)&amp;AB142&amp;""&amp;CHAR(34)&amp;","&amp;CHAR(34)&amp;"max"&amp;CHAR(34)&amp;":"&amp;CHAR(34)&amp;AC142&amp;""&amp;CHAR(34)&amp;CHAR(125))</x:f>
      </x:c>
    </x:row>
    <x:row r="143">
      <x:c r="AA143" t="str">
        <x:v>repeating_actions_MCACT7_actionrang</x:v>
      </x:c>
      <x:c r="AB143" t="str">
        <x:f>IF($Q$8&lt;&gt;"",COUNTIF($Q$2:$Q$8,"&lt;&gt;"),"")</x:f>
      </x:c>
      <x:c r="AC143" t="str">
        <x:f>""</x:f>
      </x:c>
      <x:c r="AD143" t="str">
        <x:f>IF(AB143="","",CHAR(123)&amp;CHAR(34)&amp;"name"&amp;CHAR(34)&amp;":"&amp;CHAR(34)&amp;AA143&amp;CHAR(34)&amp;","&amp;CHAR(34)&amp;"current"&amp;CHAR(34)&amp;":"&amp;CHAR(34)&amp;AB143&amp;""&amp;CHAR(34)&amp;","&amp;CHAR(34)&amp;"max"&amp;CHAR(34)&amp;":"&amp;CHAR(34)&amp;AC143&amp;""&amp;CHAR(34)&amp;CHAR(125))</x:f>
      </x:c>
    </x:row>
    <x:row r="144">
      <x:c r="AA144" t="str">
        <x:v>repeating_actions_MCACT7_actiontitre</x:v>
      </x:c>
      <x:c r="AB144" t="str">
        <x:f>IF($Q$8&lt;&gt;"",$C$8,"")</x:f>
      </x:c>
      <x:c r="AC144" t="str">
        <x:f>""</x:f>
      </x:c>
      <x:c r="AD144" t="str">
        <x:f>IF(AB144="","",CHAR(123)&amp;CHAR(34)&amp;"name"&amp;CHAR(34)&amp;":"&amp;CHAR(34)&amp;AA144&amp;CHAR(34)&amp;","&amp;CHAR(34)&amp;"current"&amp;CHAR(34)&amp;":"&amp;CHAR(34)&amp;SUBSTITUTE(SUBSTITUTE(SUBSTITUTE(SUBSTITUTE(AB144,CHAR(92),CHAR(92)&amp;CHAR(92)),CHAR(34),CHAR(92)&amp;CHAR(34)),CHAR(13),""),CHAR(10),CHAR(92)&amp;"n")&amp;CHAR(34)&amp;","&amp;CHAR(34)&amp;"max"&amp;CHAR(34)&amp;":"&amp;CHAR(34)&amp;AC144&amp;""&amp;CHAR(34)&amp;CHAR(125))</x:f>
      </x:c>
    </x:row>
    <x:row r="145">
      <x:c r="AA145" t="str">
        <x:v>repeating_actions_MCACT7_actiontype</x:v>
      </x:c>
      <x:c r="AB145" t="str">
        <x:f>IF($Q$8&lt;&gt;"","action","")</x:f>
      </x:c>
      <x:c r="AC145" t="str">
        <x:f>""</x:f>
      </x:c>
      <x:c r="AD145" t="str">
        <x:f>IF(AB145="","",CHAR(123)&amp;CHAR(34)&amp;"name"&amp;CHAR(34)&amp;":"&amp;CHAR(34)&amp;AA145&amp;CHAR(34)&amp;","&amp;CHAR(34)&amp;"current"&amp;CHAR(34)&amp;":"&amp;CHAR(34)&amp;SUBSTITUTE(SUBSTITUTE(SUBSTITUTE(SUBSTITUTE(AB145,CHAR(92),CHAR(92)&amp;CHAR(92)),CHAR(34),CHAR(92)&amp;CHAR(34)),CHAR(13),""),CHAR(10),CHAR(92)&amp;"n")&amp;CHAR(34)&amp;","&amp;CHAR(34)&amp;"max"&amp;CHAR(34)&amp;":"&amp;CHAR(34)&amp;AC145&amp;""&amp;CHAR(34)&amp;CHAR(125))</x:f>
      </x:c>
    </x:row>
    <x:row r="146">
      <x:c r="AA146" t="str">
        <x:v>repeating_actions_MCACT7_actionconditions</x:v>
      </x:c>
      <x:c r="AB146" t="str">
        <x:f>""</x:f>
      </x:c>
      <x:c r="AC146" t="str">
        <x:f>""</x:f>
      </x:c>
      <x:c r="AD146" t="str">
        <x:f>IF(AB146="","",CHAR(123)&amp;CHAR(34)&amp;"name"&amp;CHAR(34)&amp;":"&amp;CHAR(34)&amp;AA146&amp;CHAR(34)&amp;","&amp;CHAR(34)&amp;"current"&amp;CHAR(34)&amp;":"&amp;CHAR(34)&amp;SUBSTITUTE(SUBSTITUTE(SUBSTITUTE(SUBSTITUTE(AB146,CHAR(92),CHAR(92)&amp;CHAR(92)),CHAR(34),CHAR(92)&amp;CHAR(34)),CHAR(13),""),CHAR(10),CHAR(92)&amp;"n")&amp;CHAR(34)&amp;","&amp;CHAR(34)&amp;"max"&amp;CHAR(34)&amp;":"&amp;CHAR(34)&amp;AC146&amp;""&amp;CHAR(34)&amp;CHAR(125))</x:f>
      </x:c>
    </x:row>
    <x:row r="147">
      <x:c r="AA147" t="str">
        <x:v>repeating_actions_MCACT7_actioncode</x:v>
      </x:c>
      <x:c r="AB147" t="str">
        <x:f>IF($Q$8&lt;&gt;"",$Q$8,"")</x:f>
      </x:c>
      <x:c r="AC147" t="str">
        <x:f>""</x:f>
      </x:c>
      <x:c r="AD147" t="str">
        <x:f>IF(AB147="","",CHAR(123)&amp;CHAR(34)&amp;"name"&amp;CHAR(34)&amp;":"&amp;CHAR(34)&amp;AA147&amp;CHAR(34)&amp;","&amp;CHAR(34)&amp;"current"&amp;CHAR(34)&amp;":"&amp;CHAR(34)&amp;SUBSTITUTE(SUBSTITUTE(SUBSTITUTE(SUBSTITUTE(AB147,CHAR(92),CHAR(92)&amp;CHAR(92)),CHAR(34),CHAR(92)&amp;CHAR(34)),CHAR(13),""),CHAR(10),CHAR(92)&amp;"n")&amp;CHAR(34)&amp;","&amp;CHAR(34)&amp;"max"&amp;CHAR(34)&amp;":"&amp;CHAR(34)&amp;AC147&amp;""&amp;CHAR(34)&amp;CHAR(125))</x:f>
      </x:c>
    </x:row>
    <x:row r="148">
      <x:c r="AA148" t="str">
        <x:v>repeating_actions_MCACT8_actionmontree</x:v>
      </x:c>
      <x:c r="AB148" t="str">
        <x:f>IF($Q$9&lt;&gt;"",1,"")</x:f>
      </x:c>
      <x:c r="AC148" t="str">
        <x:f>""</x:f>
      </x:c>
      <x:c r="AD148" t="str">
        <x:f>IF(AB148="","",CHAR(123)&amp;CHAR(34)&amp;"name"&amp;CHAR(34)&amp;":"&amp;CHAR(34)&amp;AA148&amp;CHAR(34)&amp;","&amp;CHAR(34)&amp;"current"&amp;CHAR(34)&amp;":"&amp;CHAR(34)&amp;AB148&amp;""&amp;CHAR(34)&amp;","&amp;CHAR(34)&amp;"max"&amp;CHAR(34)&amp;":"&amp;CHAR(34)&amp;AC148&amp;""&amp;CHAR(34)&amp;CHAR(125))</x:f>
      </x:c>
    </x:row>
    <x:row r="149">
      <x:c r="AA149" t="str">
        <x:v>repeating_actions_MCACT8_actionrang</x:v>
      </x:c>
      <x:c r="AB149" t="str">
        <x:f>IF($Q$9&lt;&gt;"",COUNTIF($Q$2:$Q$9,"&lt;&gt;"),"")</x:f>
      </x:c>
      <x:c r="AC149" t="str">
        <x:f>""</x:f>
      </x:c>
      <x:c r="AD149" t="str">
        <x:f>IF(AB149="","",CHAR(123)&amp;CHAR(34)&amp;"name"&amp;CHAR(34)&amp;":"&amp;CHAR(34)&amp;AA149&amp;CHAR(34)&amp;","&amp;CHAR(34)&amp;"current"&amp;CHAR(34)&amp;":"&amp;CHAR(34)&amp;AB149&amp;""&amp;CHAR(34)&amp;","&amp;CHAR(34)&amp;"max"&amp;CHAR(34)&amp;":"&amp;CHAR(34)&amp;AC149&amp;""&amp;CHAR(34)&amp;CHAR(125))</x:f>
      </x:c>
    </x:row>
    <x:row r="150">
      <x:c r="AA150" t="str">
        <x:v>repeating_actions_MCACT8_actiontitre</x:v>
      </x:c>
      <x:c r="AB150" t="str">
        <x:f>IF($Q$9&lt;&gt;"",$C$9,"")</x:f>
      </x:c>
      <x:c r="AC150" t="str">
        <x:f>""</x:f>
      </x:c>
      <x:c r="AD150" t="str">
        <x:f>IF(AB150="","",CHAR(123)&amp;CHAR(34)&amp;"name"&amp;CHAR(34)&amp;":"&amp;CHAR(34)&amp;AA150&amp;CHAR(34)&amp;","&amp;CHAR(34)&amp;"current"&amp;CHAR(34)&amp;":"&amp;CHAR(34)&amp;SUBSTITUTE(SUBSTITUTE(SUBSTITUTE(SUBSTITUTE(AB150,CHAR(92),CHAR(92)&amp;CHAR(92)),CHAR(34),CHAR(92)&amp;CHAR(34)),CHAR(13),""),CHAR(10),CHAR(92)&amp;"n")&amp;CHAR(34)&amp;","&amp;CHAR(34)&amp;"max"&amp;CHAR(34)&amp;":"&amp;CHAR(34)&amp;AC150&amp;""&amp;CHAR(34)&amp;CHAR(125))</x:f>
      </x:c>
    </x:row>
    <x:row r="151">
      <x:c r="AA151" t="str">
        <x:v>repeating_actions_MCACT8_actiontype</x:v>
      </x:c>
      <x:c r="AB151" t="str">
        <x:f>IF($Q$9&lt;&gt;"","action","")</x:f>
      </x:c>
      <x:c r="AC151" t="str">
        <x:f>""</x:f>
      </x:c>
      <x:c r="AD151" t="str">
        <x:f>IF(AB151="","",CHAR(123)&amp;CHAR(34)&amp;"name"&amp;CHAR(34)&amp;":"&amp;CHAR(34)&amp;AA151&amp;CHAR(34)&amp;","&amp;CHAR(34)&amp;"current"&amp;CHAR(34)&amp;":"&amp;CHAR(34)&amp;SUBSTITUTE(SUBSTITUTE(SUBSTITUTE(SUBSTITUTE(AB151,CHAR(92),CHAR(92)&amp;CHAR(92)),CHAR(34),CHAR(92)&amp;CHAR(34)),CHAR(13),""),CHAR(10),CHAR(92)&amp;"n")&amp;CHAR(34)&amp;","&amp;CHAR(34)&amp;"max"&amp;CHAR(34)&amp;":"&amp;CHAR(34)&amp;AC151&amp;""&amp;CHAR(34)&amp;CHAR(125))</x:f>
      </x:c>
    </x:row>
    <x:row r="152">
      <x:c r="AA152" t="str">
        <x:v>repeating_actions_MCACT8_actionconditions</x:v>
      </x:c>
      <x:c r="AB152" t="str">
        <x:f>""</x:f>
      </x:c>
      <x:c r="AC152" t="str">
        <x:f>""</x:f>
      </x:c>
      <x:c r="AD152" t="str">
        <x:f>IF(AB152="","",CHAR(123)&amp;CHAR(34)&amp;"name"&amp;CHAR(34)&amp;":"&amp;CHAR(34)&amp;AA152&amp;CHAR(34)&amp;","&amp;CHAR(34)&amp;"current"&amp;CHAR(34)&amp;":"&amp;CHAR(34)&amp;SUBSTITUTE(SUBSTITUTE(SUBSTITUTE(SUBSTITUTE(AB152,CHAR(92),CHAR(92)&amp;CHAR(92)),CHAR(34),CHAR(92)&amp;CHAR(34)),CHAR(13),""),CHAR(10),CHAR(92)&amp;"n")&amp;CHAR(34)&amp;","&amp;CHAR(34)&amp;"max"&amp;CHAR(34)&amp;":"&amp;CHAR(34)&amp;AC152&amp;""&amp;CHAR(34)&amp;CHAR(125))</x:f>
      </x:c>
    </x:row>
    <x:row r="153">
      <x:c r="AA153" t="str">
        <x:v>repeating_actions_MCACT8_actioncode</x:v>
      </x:c>
      <x:c r="AB153" t="str">
        <x:f>IF($Q$9&lt;&gt;"",$Q$9,"")</x:f>
      </x:c>
      <x:c r="AC153" t="str">
        <x:f>""</x:f>
      </x:c>
      <x:c r="AD153" t="str">
        <x:f>IF(AB153="","",CHAR(123)&amp;CHAR(34)&amp;"name"&amp;CHAR(34)&amp;":"&amp;CHAR(34)&amp;AA153&amp;CHAR(34)&amp;","&amp;CHAR(34)&amp;"current"&amp;CHAR(34)&amp;":"&amp;CHAR(34)&amp;SUBSTITUTE(SUBSTITUTE(SUBSTITUTE(SUBSTITUTE(AB153,CHAR(92),CHAR(92)&amp;CHAR(92)),CHAR(34),CHAR(92)&amp;CHAR(34)),CHAR(13),""),CHAR(10),CHAR(92)&amp;"n")&amp;CHAR(34)&amp;","&amp;CHAR(34)&amp;"max"&amp;CHAR(34)&amp;":"&amp;CHAR(34)&amp;AC153&amp;""&amp;CHAR(34)&amp;CHAR(125))</x:f>
      </x:c>
    </x:row>
    <x:row r="154">
      <x:c r="AA154" t="str">
        <x:v>repeating_actions_MCACT9_actionmontree</x:v>
      </x:c>
      <x:c r="AB154" t="str">
        <x:f>IF($Q$10&lt;&gt;"",1,"")</x:f>
      </x:c>
      <x:c r="AC154" t="str">
        <x:f>""</x:f>
      </x:c>
      <x:c r="AD154" t="str">
        <x:f>IF(AB154="","",CHAR(123)&amp;CHAR(34)&amp;"name"&amp;CHAR(34)&amp;":"&amp;CHAR(34)&amp;AA154&amp;CHAR(34)&amp;","&amp;CHAR(34)&amp;"current"&amp;CHAR(34)&amp;":"&amp;CHAR(34)&amp;AB154&amp;""&amp;CHAR(34)&amp;","&amp;CHAR(34)&amp;"max"&amp;CHAR(34)&amp;":"&amp;CHAR(34)&amp;AC154&amp;""&amp;CHAR(34)&amp;CHAR(125))</x:f>
      </x:c>
    </x:row>
    <x:row r="155">
      <x:c r="AA155" t="str">
        <x:v>repeating_actions_MCACT9_actionrang</x:v>
      </x:c>
      <x:c r="AB155" t="str">
        <x:f>IF($Q$10&lt;&gt;"",COUNTIF($Q$2:$Q$10,"&lt;&gt;"),"")</x:f>
      </x:c>
      <x:c r="AC155" t="str">
        <x:f>""</x:f>
      </x:c>
      <x:c r="AD155" t="str">
        <x:f>IF(AB155="","",CHAR(123)&amp;CHAR(34)&amp;"name"&amp;CHAR(34)&amp;":"&amp;CHAR(34)&amp;AA155&amp;CHAR(34)&amp;","&amp;CHAR(34)&amp;"current"&amp;CHAR(34)&amp;":"&amp;CHAR(34)&amp;AB155&amp;""&amp;CHAR(34)&amp;","&amp;CHAR(34)&amp;"max"&amp;CHAR(34)&amp;":"&amp;CHAR(34)&amp;AC155&amp;""&amp;CHAR(34)&amp;CHAR(125))</x:f>
      </x:c>
    </x:row>
    <x:row r="156">
      <x:c r="AA156" t="str">
        <x:v>repeating_actions_MCACT9_actiontitre</x:v>
      </x:c>
      <x:c r="AB156" t="str">
        <x:f>IF($Q$10&lt;&gt;"",$C$10,"")</x:f>
      </x:c>
      <x:c r="AC156" t="str">
        <x:f>""</x:f>
      </x:c>
      <x:c r="AD156" t="str">
        <x:f>IF(AB156="","",CHAR(123)&amp;CHAR(34)&amp;"name"&amp;CHAR(34)&amp;":"&amp;CHAR(34)&amp;AA156&amp;CHAR(34)&amp;","&amp;CHAR(34)&amp;"current"&amp;CHAR(34)&amp;":"&amp;CHAR(34)&amp;SUBSTITUTE(SUBSTITUTE(SUBSTITUTE(SUBSTITUTE(AB156,CHAR(92),CHAR(92)&amp;CHAR(92)),CHAR(34),CHAR(92)&amp;CHAR(34)),CHAR(13),""),CHAR(10),CHAR(92)&amp;"n")&amp;CHAR(34)&amp;","&amp;CHAR(34)&amp;"max"&amp;CHAR(34)&amp;":"&amp;CHAR(34)&amp;AC156&amp;""&amp;CHAR(34)&amp;CHAR(125))</x:f>
      </x:c>
    </x:row>
    <x:row r="157">
      <x:c r="AA157" t="str">
        <x:v>repeating_actions_MCACT9_actiontype</x:v>
      </x:c>
      <x:c r="AB157" t="str">
        <x:f>IF($Q$10&lt;&gt;"","action","")</x:f>
      </x:c>
      <x:c r="AC157" t="str">
        <x:f>""</x:f>
      </x:c>
      <x:c r="AD157" t="str">
        <x:f>IF(AB157="","",CHAR(123)&amp;CHAR(34)&amp;"name"&amp;CHAR(34)&amp;":"&amp;CHAR(34)&amp;AA157&amp;CHAR(34)&amp;","&amp;CHAR(34)&amp;"current"&amp;CHAR(34)&amp;":"&amp;CHAR(34)&amp;SUBSTITUTE(SUBSTITUTE(SUBSTITUTE(SUBSTITUTE(AB157,CHAR(92),CHAR(92)&amp;CHAR(92)),CHAR(34),CHAR(92)&amp;CHAR(34)),CHAR(13),""),CHAR(10),CHAR(92)&amp;"n")&amp;CHAR(34)&amp;","&amp;CHAR(34)&amp;"max"&amp;CHAR(34)&amp;":"&amp;CHAR(34)&amp;AC157&amp;""&amp;CHAR(34)&amp;CHAR(125))</x:f>
      </x:c>
    </x:row>
    <x:row r="158">
      <x:c r="AA158" t="str">
        <x:v>repeating_actions_MCACT9_actionconditions</x:v>
      </x:c>
      <x:c r="AB158" t="str">
        <x:f>""</x:f>
      </x:c>
      <x:c r="AC158" t="str">
        <x:f>""</x:f>
      </x:c>
      <x:c r="AD158" t="str">
        <x:f>IF(AB158="","",CHAR(123)&amp;CHAR(34)&amp;"name"&amp;CHAR(34)&amp;":"&amp;CHAR(34)&amp;AA158&amp;CHAR(34)&amp;","&amp;CHAR(34)&amp;"current"&amp;CHAR(34)&amp;":"&amp;CHAR(34)&amp;SUBSTITUTE(SUBSTITUTE(SUBSTITUTE(SUBSTITUTE(AB158,CHAR(92),CHAR(92)&amp;CHAR(92)),CHAR(34),CHAR(92)&amp;CHAR(34)),CHAR(13),""),CHAR(10),CHAR(92)&amp;"n")&amp;CHAR(34)&amp;","&amp;CHAR(34)&amp;"max"&amp;CHAR(34)&amp;":"&amp;CHAR(34)&amp;AC158&amp;""&amp;CHAR(34)&amp;CHAR(125))</x:f>
      </x:c>
    </x:row>
    <x:row r="159">
      <x:c r="AA159" t="str">
        <x:v>repeating_actions_MCACT9_actioncode</x:v>
      </x:c>
      <x:c r="AB159" t="str">
        <x:f>IF($Q$10&lt;&gt;"",$Q$10,"")</x:f>
      </x:c>
      <x:c r="AC159" t="str">
        <x:f>""</x:f>
      </x:c>
      <x:c r="AD159" t="str">
        <x:f>IF(AB159="","",CHAR(123)&amp;CHAR(34)&amp;"name"&amp;CHAR(34)&amp;":"&amp;CHAR(34)&amp;AA159&amp;CHAR(34)&amp;","&amp;CHAR(34)&amp;"current"&amp;CHAR(34)&amp;":"&amp;CHAR(34)&amp;SUBSTITUTE(SUBSTITUTE(SUBSTITUTE(SUBSTITUTE(AB159,CHAR(92),CHAR(92)&amp;CHAR(92)),CHAR(34),CHAR(92)&amp;CHAR(34)),CHAR(13),""),CHAR(10),CHAR(92)&amp;"n")&amp;CHAR(34)&amp;","&amp;CHAR(34)&amp;"max"&amp;CHAR(34)&amp;":"&amp;CHAR(34)&amp;AC159&amp;""&amp;CHAR(34)&amp;CHAR(125))</x:f>
      </x:c>
    </x:row>
    <x:row r="160">
      <x:c r="AA160" t="str">
        <x:v>repeating_actions_MCACT10_actionmontree</x:v>
      </x:c>
      <x:c r="AB160" t="str">
        <x:f>IF($Q$11&lt;&gt;"",1,"")</x:f>
      </x:c>
      <x:c r="AC160" t="str">
        <x:f>""</x:f>
      </x:c>
      <x:c r="AD160" t="str">
        <x:f>IF(AB160="","",CHAR(123)&amp;CHAR(34)&amp;"name"&amp;CHAR(34)&amp;":"&amp;CHAR(34)&amp;AA160&amp;CHAR(34)&amp;","&amp;CHAR(34)&amp;"current"&amp;CHAR(34)&amp;":"&amp;CHAR(34)&amp;AB160&amp;""&amp;CHAR(34)&amp;","&amp;CHAR(34)&amp;"max"&amp;CHAR(34)&amp;":"&amp;CHAR(34)&amp;AC160&amp;""&amp;CHAR(34)&amp;CHAR(125))</x:f>
      </x:c>
    </x:row>
    <x:row r="161">
      <x:c r="AA161" t="str">
        <x:v>repeating_actions_MCACT10_actionrang</x:v>
      </x:c>
      <x:c r="AB161" t="str">
        <x:f>IF($Q$11&lt;&gt;"",COUNTIF($Q$2:$Q$11,"&lt;&gt;"),"")</x:f>
      </x:c>
      <x:c r="AC161" t="str">
        <x:f>""</x:f>
      </x:c>
      <x:c r="AD161" t="str">
        <x:f>IF(AB161="","",CHAR(123)&amp;CHAR(34)&amp;"name"&amp;CHAR(34)&amp;":"&amp;CHAR(34)&amp;AA161&amp;CHAR(34)&amp;","&amp;CHAR(34)&amp;"current"&amp;CHAR(34)&amp;":"&amp;CHAR(34)&amp;AB161&amp;""&amp;CHAR(34)&amp;","&amp;CHAR(34)&amp;"max"&amp;CHAR(34)&amp;":"&amp;CHAR(34)&amp;AC161&amp;""&amp;CHAR(34)&amp;CHAR(125))</x:f>
      </x:c>
    </x:row>
    <x:row r="162">
      <x:c r="AA162" t="str">
        <x:v>repeating_actions_MCACT10_actiontitre</x:v>
      </x:c>
      <x:c r="AB162" t="str">
        <x:f>IF($Q$11&lt;&gt;"",$C$11,"")</x:f>
      </x:c>
      <x:c r="AC162" t="str">
        <x:f>""</x:f>
      </x:c>
      <x:c r="AD162" t="str">
        <x:f>IF(AB162="","",CHAR(123)&amp;CHAR(34)&amp;"name"&amp;CHAR(34)&amp;":"&amp;CHAR(34)&amp;AA162&amp;CHAR(34)&amp;","&amp;CHAR(34)&amp;"current"&amp;CHAR(34)&amp;":"&amp;CHAR(34)&amp;SUBSTITUTE(SUBSTITUTE(SUBSTITUTE(SUBSTITUTE(AB162,CHAR(92),CHAR(92)&amp;CHAR(92)),CHAR(34),CHAR(92)&amp;CHAR(34)),CHAR(13),""),CHAR(10),CHAR(92)&amp;"n")&amp;CHAR(34)&amp;","&amp;CHAR(34)&amp;"max"&amp;CHAR(34)&amp;":"&amp;CHAR(34)&amp;AC162&amp;""&amp;CHAR(34)&amp;CHAR(125))</x:f>
      </x:c>
    </x:row>
    <x:row r="163">
      <x:c r="AA163" t="str">
        <x:v>repeating_actions_MCACT10_actiontype</x:v>
      </x:c>
      <x:c r="AB163" t="str">
        <x:f>IF($Q$11&lt;&gt;"","action","")</x:f>
      </x:c>
      <x:c r="AC163" t="str">
        <x:f>""</x:f>
      </x:c>
      <x:c r="AD163" t="str">
        <x:f>IF(AB163="","",CHAR(123)&amp;CHAR(34)&amp;"name"&amp;CHAR(34)&amp;":"&amp;CHAR(34)&amp;AA163&amp;CHAR(34)&amp;","&amp;CHAR(34)&amp;"current"&amp;CHAR(34)&amp;":"&amp;CHAR(34)&amp;SUBSTITUTE(SUBSTITUTE(SUBSTITUTE(SUBSTITUTE(AB163,CHAR(92),CHAR(92)&amp;CHAR(92)),CHAR(34),CHAR(92)&amp;CHAR(34)),CHAR(13),""),CHAR(10),CHAR(92)&amp;"n")&amp;CHAR(34)&amp;","&amp;CHAR(34)&amp;"max"&amp;CHAR(34)&amp;":"&amp;CHAR(34)&amp;AC163&amp;""&amp;CHAR(34)&amp;CHAR(125))</x:f>
      </x:c>
    </x:row>
    <x:row r="164">
      <x:c r="AA164" t="str">
        <x:v>repeating_actions_MCACT10_actionconditions</x:v>
      </x:c>
      <x:c r="AB164" t="str">
        <x:f>""</x:f>
      </x:c>
      <x:c r="AC164" t="str">
        <x:f>""</x:f>
      </x:c>
      <x:c r="AD164" t="str">
        <x:f>IF(AB164="","",CHAR(123)&amp;CHAR(34)&amp;"name"&amp;CHAR(34)&amp;":"&amp;CHAR(34)&amp;AA164&amp;CHAR(34)&amp;","&amp;CHAR(34)&amp;"current"&amp;CHAR(34)&amp;":"&amp;CHAR(34)&amp;SUBSTITUTE(SUBSTITUTE(SUBSTITUTE(SUBSTITUTE(AB164,CHAR(92),CHAR(92)&amp;CHAR(92)),CHAR(34),CHAR(92)&amp;CHAR(34)),CHAR(13),""),CHAR(10),CHAR(92)&amp;"n")&amp;CHAR(34)&amp;","&amp;CHAR(34)&amp;"max"&amp;CHAR(34)&amp;":"&amp;CHAR(34)&amp;AC164&amp;""&amp;CHAR(34)&amp;CHAR(125))</x:f>
      </x:c>
    </x:row>
    <x:row r="165">
      <x:c r="AA165" t="str">
        <x:v>repeating_actions_MCACT10_actioncode</x:v>
      </x:c>
      <x:c r="AB165" t="str">
        <x:f>IF($Q$11&lt;&gt;"",$Q$11,"")</x:f>
      </x:c>
      <x:c r="AC165" t="str">
        <x:f>""</x:f>
      </x:c>
      <x:c r="AD165" t="str">
        <x:f>IF(AB165="","",CHAR(123)&amp;CHAR(34)&amp;"name"&amp;CHAR(34)&amp;":"&amp;CHAR(34)&amp;AA165&amp;CHAR(34)&amp;","&amp;CHAR(34)&amp;"current"&amp;CHAR(34)&amp;":"&amp;CHAR(34)&amp;SUBSTITUTE(SUBSTITUTE(SUBSTITUTE(SUBSTITUTE(AB165,CHAR(92),CHAR(92)&amp;CHAR(92)),CHAR(34),CHAR(92)&amp;CHAR(34)),CHAR(13),""),CHAR(10),CHAR(92)&amp;"n")&amp;CHAR(34)&amp;","&amp;CHAR(34)&amp;"max"&amp;CHAR(34)&amp;":"&amp;CHAR(34)&amp;AC165&amp;""&amp;CHAR(34)&amp;CHAR(125))</x:f>
      </x:c>
    </x:row>
    <x:row r="166">
      <x:c r="AA166" t="str">
        <x:v>repeating_actions_MCACT11_actionmontree</x:v>
      </x:c>
      <x:c r="AB166" t="str">
        <x:f>IF($Q$12&lt;&gt;"",1,"")</x:f>
      </x:c>
      <x:c r="AC166" t="str">
        <x:f>""</x:f>
      </x:c>
      <x:c r="AD166" t="str">
        <x:f>IF(AB166="","",CHAR(123)&amp;CHAR(34)&amp;"name"&amp;CHAR(34)&amp;":"&amp;CHAR(34)&amp;AA166&amp;CHAR(34)&amp;","&amp;CHAR(34)&amp;"current"&amp;CHAR(34)&amp;":"&amp;CHAR(34)&amp;AB166&amp;""&amp;CHAR(34)&amp;","&amp;CHAR(34)&amp;"max"&amp;CHAR(34)&amp;":"&amp;CHAR(34)&amp;AC166&amp;""&amp;CHAR(34)&amp;CHAR(125))</x:f>
      </x:c>
    </x:row>
    <x:row r="167">
      <x:c r="AA167" t="str">
        <x:v>repeating_actions_MCACT11_actionrang</x:v>
      </x:c>
      <x:c r="AB167" t="str">
        <x:f>IF($Q$12&lt;&gt;"",COUNTIF($Q$2:$Q$12,"&lt;&gt;"),"")</x:f>
      </x:c>
      <x:c r="AC167" t="str">
        <x:f>""</x:f>
      </x:c>
      <x:c r="AD167" t="str">
        <x:f>IF(AB167="","",CHAR(123)&amp;CHAR(34)&amp;"name"&amp;CHAR(34)&amp;":"&amp;CHAR(34)&amp;AA167&amp;CHAR(34)&amp;","&amp;CHAR(34)&amp;"current"&amp;CHAR(34)&amp;":"&amp;CHAR(34)&amp;AB167&amp;""&amp;CHAR(34)&amp;","&amp;CHAR(34)&amp;"max"&amp;CHAR(34)&amp;":"&amp;CHAR(34)&amp;AC167&amp;""&amp;CHAR(34)&amp;CHAR(125))</x:f>
      </x:c>
    </x:row>
    <x:row r="168">
      <x:c r="AA168" t="str">
        <x:v>repeating_actions_MCACT11_actiontitre</x:v>
      </x:c>
      <x:c r="AB168" t="str">
        <x:f>IF($Q$12&lt;&gt;"",$C$12,"")</x:f>
      </x:c>
      <x:c r="AC168" t="str">
        <x:f>""</x:f>
      </x:c>
      <x:c r="AD168" t="str">
        <x:f>IF(AB168="","",CHAR(123)&amp;CHAR(34)&amp;"name"&amp;CHAR(34)&amp;":"&amp;CHAR(34)&amp;AA168&amp;CHAR(34)&amp;","&amp;CHAR(34)&amp;"current"&amp;CHAR(34)&amp;":"&amp;CHAR(34)&amp;SUBSTITUTE(SUBSTITUTE(SUBSTITUTE(SUBSTITUTE(AB168,CHAR(92),CHAR(92)&amp;CHAR(92)),CHAR(34),CHAR(92)&amp;CHAR(34)),CHAR(13),""),CHAR(10),CHAR(92)&amp;"n")&amp;CHAR(34)&amp;","&amp;CHAR(34)&amp;"max"&amp;CHAR(34)&amp;":"&amp;CHAR(34)&amp;AC168&amp;""&amp;CHAR(34)&amp;CHAR(125))</x:f>
      </x:c>
    </x:row>
    <x:row r="169">
      <x:c r="AA169" t="str">
        <x:v>repeating_actions_MCACT11_actiontype</x:v>
      </x:c>
      <x:c r="AB169" t="str">
        <x:f>IF($Q$12&lt;&gt;"","action","")</x:f>
      </x:c>
      <x:c r="AC169" t="str">
        <x:f>""</x:f>
      </x:c>
      <x:c r="AD169" t="str">
        <x:f>IF(AB169="","",CHAR(123)&amp;CHAR(34)&amp;"name"&amp;CHAR(34)&amp;":"&amp;CHAR(34)&amp;AA169&amp;CHAR(34)&amp;","&amp;CHAR(34)&amp;"current"&amp;CHAR(34)&amp;":"&amp;CHAR(34)&amp;SUBSTITUTE(SUBSTITUTE(SUBSTITUTE(SUBSTITUTE(AB169,CHAR(92),CHAR(92)&amp;CHAR(92)),CHAR(34),CHAR(92)&amp;CHAR(34)),CHAR(13),""),CHAR(10),CHAR(92)&amp;"n")&amp;CHAR(34)&amp;","&amp;CHAR(34)&amp;"max"&amp;CHAR(34)&amp;":"&amp;CHAR(34)&amp;AC169&amp;""&amp;CHAR(34)&amp;CHAR(125))</x:f>
      </x:c>
    </x:row>
    <x:row r="170">
      <x:c r="AA170" t="str">
        <x:v>repeating_actions_MCACT11_actionconditions</x:v>
      </x:c>
      <x:c r="AB170" t="str">
        <x:f>""</x:f>
      </x:c>
      <x:c r="AC170" t="str">
        <x:f>""</x:f>
      </x:c>
      <x:c r="AD170" t="str">
        <x:f>IF(AB170="","",CHAR(123)&amp;CHAR(34)&amp;"name"&amp;CHAR(34)&amp;":"&amp;CHAR(34)&amp;AA170&amp;CHAR(34)&amp;","&amp;CHAR(34)&amp;"current"&amp;CHAR(34)&amp;":"&amp;CHAR(34)&amp;SUBSTITUTE(SUBSTITUTE(SUBSTITUTE(SUBSTITUTE(AB170,CHAR(92),CHAR(92)&amp;CHAR(92)),CHAR(34),CHAR(92)&amp;CHAR(34)),CHAR(13),""),CHAR(10),CHAR(92)&amp;"n")&amp;CHAR(34)&amp;","&amp;CHAR(34)&amp;"max"&amp;CHAR(34)&amp;":"&amp;CHAR(34)&amp;AC170&amp;""&amp;CHAR(34)&amp;CHAR(125))</x:f>
      </x:c>
    </x:row>
    <x:row r="171">
      <x:c r="AA171" t="str">
        <x:v>repeating_actions_MCACT11_actioncode</x:v>
      </x:c>
      <x:c r="AB171" t="str">
        <x:f>IF($Q$12&lt;&gt;"",$Q$12,"")</x:f>
      </x:c>
      <x:c r="AC171" t="str">
        <x:f>""</x:f>
      </x:c>
      <x:c r="AD171" t="str">
        <x:f>IF(AB171="","",CHAR(123)&amp;CHAR(34)&amp;"name"&amp;CHAR(34)&amp;":"&amp;CHAR(34)&amp;AA171&amp;CHAR(34)&amp;","&amp;CHAR(34)&amp;"current"&amp;CHAR(34)&amp;":"&amp;CHAR(34)&amp;SUBSTITUTE(SUBSTITUTE(SUBSTITUTE(SUBSTITUTE(AB171,CHAR(92),CHAR(92)&amp;CHAR(92)),CHAR(34),CHAR(92)&amp;CHAR(34)),CHAR(13),""),CHAR(10),CHAR(92)&amp;"n")&amp;CHAR(34)&amp;","&amp;CHAR(34)&amp;"max"&amp;CHAR(34)&amp;":"&amp;CHAR(34)&amp;AC171&amp;""&amp;CHAR(34)&amp;CHAR(125))</x:f>
      </x:c>
    </x:row>
    <x:row r="172">
      <x:c r="AA172" t="str">
        <x:v>repeating_actions_MCACT12_actionmontree</x:v>
      </x:c>
      <x:c r="AB172" t="str">
        <x:f>IF($Q$13&lt;&gt;"",1,"")</x:f>
      </x:c>
      <x:c r="AC172" t="str">
        <x:f>""</x:f>
      </x:c>
      <x:c r="AD172" t="str">
        <x:f>IF(AB172="","",CHAR(123)&amp;CHAR(34)&amp;"name"&amp;CHAR(34)&amp;":"&amp;CHAR(34)&amp;AA172&amp;CHAR(34)&amp;","&amp;CHAR(34)&amp;"current"&amp;CHAR(34)&amp;":"&amp;CHAR(34)&amp;AB172&amp;""&amp;CHAR(34)&amp;","&amp;CHAR(34)&amp;"max"&amp;CHAR(34)&amp;":"&amp;CHAR(34)&amp;AC172&amp;""&amp;CHAR(34)&amp;CHAR(125))</x:f>
      </x:c>
    </x:row>
    <x:row r="173">
      <x:c r="AA173" t="str">
        <x:v>repeating_actions_MCACT12_actionrang</x:v>
      </x:c>
      <x:c r="AB173" t="str">
        <x:f>IF($Q$13&lt;&gt;"",COUNTIF($Q$2:$Q$13,"&lt;&gt;"),"")</x:f>
      </x:c>
      <x:c r="AC173" t="str">
        <x:f>""</x:f>
      </x:c>
      <x:c r="AD173" t="str">
        <x:f>IF(AB173="","",CHAR(123)&amp;CHAR(34)&amp;"name"&amp;CHAR(34)&amp;":"&amp;CHAR(34)&amp;AA173&amp;CHAR(34)&amp;","&amp;CHAR(34)&amp;"current"&amp;CHAR(34)&amp;":"&amp;CHAR(34)&amp;AB173&amp;""&amp;CHAR(34)&amp;","&amp;CHAR(34)&amp;"max"&amp;CHAR(34)&amp;":"&amp;CHAR(34)&amp;AC173&amp;""&amp;CHAR(34)&amp;CHAR(125))</x:f>
      </x:c>
    </x:row>
    <x:row r="174">
      <x:c r="AA174" t="str">
        <x:v>repeating_actions_MCACT12_actiontitre</x:v>
      </x:c>
      <x:c r="AB174" t="str">
        <x:f>IF($Q$13&lt;&gt;"",$C$13,"")</x:f>
      </x:c>
      <x:c r="AC174" t="str">
        <x:f>""</x:f>
      </x:c>
      <x:c r="AD174" t="str">
        <x:f>IF(AB174="","",CHAR(123)&amp;CHAR(34)&amp;"name"&amp;CHAR(34)&amp;":"&amp;CHAR(34)&amp;AA174&amp;CHAR(34)&amp;","&amp;CHAR(34)&amp;"current"&amp;CHAR(34)&amp;":"&amp;CHAR(34)&amp;SUBSTITUTE(SUBSTITUTE(SUBSTITUTE(SUBSTITUTE(AB174,CHAR(92),CHAR(92)&amp;CHAR(92)),CHAR(34),CHAR(92)&amp;CHAR(34)),CHAR(13),""),CHAR(10),CHAR(92)&amp;"n")&amp;CHAR(34)&amp;","&amp;CHAR(34)&amp;"max"&amp;CHAR(34)&amp;":"&amp;CHAR(34)&amp;AC174&amp;""&amp;CHAR(34)&amp;CHAR(125))</x:f>
      </x:c>
    </x:row>
    <x:row r="175">
      <x:c r="AA175" t="str">
        <x:v>repeating_actions_MCACT12_actiontype</x:v>
      </x:c>
      <x:c r="AB175" t="str">
        <x:f>IF($Q$13&lt;&gt;"","action","")</x:f>
      </x:c>
      <x:c r="AC175" t="str">
        <x:f>""</x:f>
      </x:c>
      <x:c r="AD175" t="str">
        <x:f>IF(AB175="","",CHAR(123)&amp;CHAR(34)&amp;"name"&amp;CHAR(34)&amp;":"&amp;CHAR(34)&amp;AA175&amp;CHAR(34)&amp;","&amp;CHAR(34)&amp;"current"&amp;CHAR(34)&amp;":"&amp;CHAR(34)&amp;SUBSTITUTE(SUBSTITUTE(SUBSTITUTE(SUBSTITUTE(AB175,CHAR(92),CHAR(92)&amp;CHAR(92)),CHAR(34),CHAR(92)&amp;CHAR(34)),CHAR(13),""),CHAR(10),CHAR(92)&amp;"n")&amp;CHAR(34)&amp;","&amp;CHAR(34)&amp;"max"&amp;CHAR(34)&amp;":"&amp;CHAR(34)&amp;AC175&amp;""&amp;CHAR(34)&amp;CHAR(125))</x:f>
      </x:c>
    </x:row>
    <x:row r="176">
      <x:c r="AA176" t="str">
        <x:v>repeating_actions_MCACT12_actionconditions</x:v>
      </x:c>
      <x:c r="AB176" t="str">
        <x:f>""</x:f>
      </x:c>
      <x:c r="AC176" t="str">
        <x:f>""</x:f>
      </x:c>
      <x:c r="AD176" t="str">
        <x:f>IF(AB176="","",CHAR(123)&amp;CHAR(34)&amp;"name"&amp;CHAR(34)&amp;":"&amp;CHAR(34)&amp;AA176&amp;CHAR(34)&amp;","&amp;CHAR(34)&amp;"current"&amp;CHAR(34)&amp;":"&amp;CHAR(34)&amp;SUBSTITUTE(SUBSTITUTE(SUBSTITUTE(SUBSTITUTE(AB176,CHAR(92),CHAR(92)&amp;CHAR(92)),CHAR(34),CHAR(92)&amp;CHAR(34)),CHAR(13),""),CHAR(10),CHAR(92)&amp;"n")&amp;CHAR(34)&amp;","&amp;CHAR(34)&amp;"max"&amp;CHAR(34)&amp;":"&amp;CHAR(34)&amp;AC176&amp;""&amp;CHAR(34)&amp;CHAR(125))</x:f>
      </x:c>
    </x:row>
    <x:row r="177">
      <x:c r="AA177" t="str">
        <x:v>repeating_actions_MCACT12_actioncode</x:v>
      </x:c>
      <x:c r="AB177" t="str">
        <x:f>IF($Q$13&lt;&gt;"",$Q$13,"")</x:f>
      </x:c>
      <x:c r="AC177" t="str">
        <x:f>""</x:f>
      </x:c>
      <x:c r="AD177" t="str">
        <x:f>IF(AB177="","",CHAR(123)&amp;CHAR(34)&amp;"name"&amp;CHAR(34)&amp;":"&amp;CHAR(34)&amp;AA177&amp;CHAR(34)&amp;","&amp;CHAR(34)&amp;"current"&amp;CHAR(34)&amp;":"&amp;CHAR(34)&amp;SUBSTITUTE(SUBSTITUTE(SUBSTITUTE(SUBSTITUTE(AB177,CHAR(92),CHAR(92)&amp;CHAR(92)),CHAR(34),CHAR(92)&amp;CHAR(34)),CHAR(13),""),CHAR(10),CHAR(92)&amp;"n")&amp;CHAR(34)&amp;","&amp;CHAR(34)&amp;"max"&amp;CHAR(34)&amp;":"&amp;CHAR(34)&amp;AC177&amp;""&amp;CHAR(34)&amp;CHAR(125))</x:f>
      </x:c>
    </x:row>
    <x:row r="178">
      <x:c r="AA178" t="str">
        <x:v>repeating_actions_MCACT13_actionmontree</x:v>
      </x:c>
      <x:c r="AB178" t="str">
        <x:f>IF($Q$14&lt;&gt;"",1,"")</x:f>
      </x:c>
      <x:c r="AC178" t="str">
        <x:f>""</x:f>
      </x:c>
      <x:c r="AD178" t="str">
        <x:f>IF(AB178="","",CHAR(123)&amp;CHAR(34)&amp;"name"&amp;CHAR(34)&amp;":"&amp;CHAR(34)&amp;AA178&amp;CHAR(34)&amp;","&amp;CHAR(34)&amp;"current"&amp;CHAR(34)&amp;":"&amp;CHAR(34)&amp;AB178&amp;""&amp;CHAR(34)&amp;","&amp;CHAR(34)&amp;"max"&amp;CHAR(34)&amp;":"&amp;CHAR(34)&amp;AC178&amp;""&amp;CHAR(34)&amp;CHAR(125))</x:f>
      </x:c>
    </x:row>
    <x:row r="179">
      <x:c r="AA179" t="str">
        <x:v>repeating_actions_MCACT13_actionrang</x:v>
      </x:c>
      <x:c r="AB179" t="str">
        <x:f>IF($Q$14&lt;&gt;"",COUNTIF($Q$2:$Q$14,"&lt;&gt;"),"")</x:f>
      </x:c>
      <x:c r="AC179" t="str">
        <x:f>""</x:f>
      </x:c>
      <x:c r="AD179" t="str">
        <x:f>IF(AB179="","",CHAR(123)&amp;CHAR(34)&amp;"name"&amp;CHAR(34)&amp;":"&amp;CHAR(34)&amp;AA179&amp;CHAR(34)&amp;","&amp;CHAR(34)&amp;"current"&amp;CHAR(34)&amp;":"&amp;CHAR(34)&amp;AB179&amp;""&amp;CHAR(34)&amp;","&amp;CHAR(34)&amp;"max"&amp;CHAR(34)&amp;":"&amp;CHAR(34)&amp;AC179&amp;""&amp;CHAR(34)&amp;CHAR(125))</x:f>
      </x:c>
    </x:row>
    <x:row r="180">
      <x:c r="AA180" t="str">
        <x:v>repeating_actions_MCACT13_actiontitre</x:v>
      </x:c>
      <x:c r="AB180" t="str">
        <x:f>IF($Q$14&lt;&gt;"",$C$14,"")</x:f>
      </x:c>
      <x:c r="AC180" t="str">
        <x:f>""</x:f>
      </x:c>
      <x:c r="AD180" t="str">
        <x:f>IF(AB180="","",CHAR(123)&amp;CHAR(34)&amp;"name"&amp;CHAR(34)&amp;":"&amp;CHAR(34)&amp;AA180&amp;CHAR(34)&amp;","&amp;CHAR(34)&amp;"current"&amp;CHAR(34)&amp;":"&amp;CHAR(34)&amp;SUBSTITUTE(SUBSTITUTE(SUBSTITUTE(SUBSTITUTE(AB180,CHAR(92),CHAR(92)&amp;CHAR(92)),CHAR(34),CHAR(92)&amp;CHAR(34)),CHAR(13),""),CHAR(10),CHAR(92)&amp;"n")&amp;CHAR(34)&amp;","&amp;CHAR(34)&amp;"max"&amp;CHAR(34)&amp;":"&amp;CHAR(34)&amp;AC180&amp;""&amp;CHAR(34)&amp;CHAR(125))</x:f>
      </x:c>
    </x:row>
    <x:row r="181">
      <x:c r="AA181" t="str">
        <x:v>repeating_actions_MCACT13_actiontype</x:v>
      </x:c>
      <x:c r="AB181" t="str">
        <x:f>IF($Q$14&lt;&gt;"","action","")</x:f>
      </x:c>
      <x:c r="AC181" t="str">
        <x:f>""</x:f>
      </x:c>
      <x:c r="AD181" t="str">
        <x:f>IF(AB181="","",CHAR(123)&amp;CHAR(34)&amp;"name"&amp;CHAR(34)&amp;":"&amp;CHAR(34)&amp;AA181&amp;CHAR(34)&amp;","&amp;CHAR(34)&amp;"current"&amp;CHAR(34)&amp;":"&amp;CHAR(34)&amp;SUBSTITUTE(SUBSTITUTE(SUBSTITUTE(SUBSTITUTE(AB181,CHAR(92),CHAR(92)&amp;CHAR(92)),CHAR(34),CHAR(92)&amp;CHAR(34)),CHAR(13),""),CHAR(10),CHAR(92)&amp;"n")&amp;CHAR(34)&amp;","&amp;CHAR(34)&amp;"max"&amp;CHAR(34)&amp;":"&amp;CHAR(34)&amp;AC181&amp;""&amp;CHAR(34)&amp;CHAR(125))</x:f>
      </x:c>
    </x:row>
    <x:row r="182">
      <x:c r="AA182" t="str">
        <x:v>repeating_actions_MCACT13_actionconditions</x:v>
      </x:c>
      <x:c r="AB182" t="str">
        <x:f>""</x:f>
      </x:c>
      <x:c r="AC182" t="str">
        <x:f>""</x:f>
      </x:c>
      <x:c r="AD182" t="str">
        <x:f>IF(AB182="","",CHAR(123)&amp;CHAR(34)&amp;"name"&amp;CHAR(34)&amp;":"&amp;CHAR(34)&amp;AA182&amp;CHAR(34)&amp;","&amp;CHAR(34)&amp;"current"&amp;CHAR(34)&amp;":"&amp;CHAR(34)&amp;SUBSTITUTE(SUBSTITUTE(SUBSTITUTE(SUBSTITUTE(AB182,CHAR(92),CHAR(92)&amp;CHAR(92)),CHAR(34),CHAR(92)&amp;CHAR(34)),CHAR(13),""),CHAR(10),CHAR(92)&amp;"n")&amp;CHAR(34)&amp;","&amp;CHAR(34)&amp;"max"&amp;CHAR(34)&amp;":"&amp;CHAR(34)&amp;AC182&amp;""&amp;CHAR(34)&amp;CHAR(125))</x:f>
      </x:c>
    </x:row>
    <x:row r="183">
      <x:c r="AA183" t="str">
        <x:v>repeating_actions_MCACT13_actioncode</x:v>
      </x:c>
      <x:c r="AB183" t="str">
        <x:f>IF($Q$14&lt;&gt;"",$Q$14,"")</x:f>
      </x:c>
      <x:c r="AC183" t="str">
        <x:f>""</x:f>
      </x:c>
      <x:c r="AD183" t="str">
        <x:f>IF(AB183="","",CHAR(123)&amp;CHAR(34)&amp;"name"&amp;CHAR(34)&amp;":"&amp;CHAR(34)&amp;AA183&amp;CHAR(34)&amp;","&amp;CHAR(34)&amp;"current"&amp;CHAR(34)&amp;":"&amp;CHAR(34)&amp;SUBSTITUTE(SUBSTITUTE(SUBSTITUTE(SUBSTITUTE(AB183,CHAR(92),CHAR(92)&amp;CHAR(92)),CHAR(34),CHAR(92)&amp;CHAR(34)),CHAR(13),""),CHAR(10),CHAR(92)&amp;"n")&amp;CHAR(34)&amp;","&amp;CHAR(34)&amp;"max"&amp;CHAR(34)&amp;":"&amp;CHAR(34)&amp;AC183&amp;""&amp;CHAR(34)&amp;CHAR(125))</x:f>
      </x:c>
    </x:row>
    <x:row r="184">
      <x:c r="AA184" t="str">
        <x:v>repeating_actions_MCACT14_actionmontree</x:v>
      </x:c>
      <x:c r="AB184" t="str">
        <x:f>IF($Q$15&lt;&gt;"",1,"")</x:f>
      </x:c>
      <x:c r="AC184" t="str">
        <x:f>""</x:f>
      </x:c>
      <x:c r="AD184" t="str">
        <x:f>IF(AB184="","",CHAR(123)&amp;CHAR(34)&amp;"name"&amp;CHAR(34)&amp;":"&amp;CHAR(34)&amp;AA184&amp;CHAR(34)&amp;","&amp;CHAR(34)&amp;"current"&amp;CHAR(34)&amp;":"&amp;CHAR(34)&amp;AB184&amp;""&amp;CHAR(34)&amp;","&amp;CHAR(34)&amp;"max"&amp;CHAR(34)&amp;":"&amp;CHAR(34)&amp;AC184&amp;""&amp;CHAR(34)&amp;CHAR(125))</x:f>
      </x:c>
    </x:row>
    <x:row r="185">
      <x:c r="AA185" t="str">
        <x:v>repeating_actions_MCACT14_actionrang</x:v>
      </x:c>
      <x:c r="AB185" t="str">
        <x:f>IF($Q$15&lt;&gt;"",COUNTIF($Q$2:$Q$15,"&lt;&gt;"),"")</x:f>
      </x:c>
      <x:c r="AC185" t="str">
        <x:f>""</x:f>
      </x:c>
      <x:c r="AD185" t="str">
        <x:f>IF(AB185="","",CHAR(123)&amp;CHAR(34)&amp;"name"&amp;CHAR(34)&amp;":"&amp;CHAR(34)&amp;AA185&amp;CHAR(34)&amp;","&amp;CHAR(34)&amp;"current"&amp;CHAR(34)&amp;":"&amp;CHAR(34)&amp;AB185&amp;""&amp;CHAR(34)&amp;","&amp;CHAR(34)&amp;"max"&amp;CHAR(34)&amp;":"&amp;CHAR(34)&amp;AC185&amp;""&amp;CHAR(34)&amp;CHAR(125))</x:f>
      </x:c>
    </x:row>
    <x:row r="186">
      <x:c r="AA186" t="str">
        <x:v>repeating_actions_MCACT14_actiontitre</x:v>
      </x:c>
      <x:c r="AB186" t="str">
        <x:f>IF($Q$15&lt;&gt;"",$C$15,"")</x:f>
      </x:c>
      <x:c r="AC186" t="str">
        <x:f>""</x:f>
      </x:c>
      <x:c r="AD186" t="str">
        <x:f>IF(AB186="","",CHAR(123)&amp;CHAR(34)&amp;"name"&amp;CHAR(34)&amp;":"&amp;CHAR(34)&amp;AA186&amp;CHAR(34)&amp;","&amp;CHAR(34)&amp;"current"&amp;CHAR(34)&amp;":"&amp;CHAR(34)&amp;SUBSTITUTE(SUBSTITUTE(SUBSTITUTE(SUBSTITUTE(AB186,CHAR(92),CHAR(92)&amp;CHAR(92)),CHAR(34),CHAR(92)&amp;CHAR(34)),CHAR(13),""),CHAR(10),CHAR(92)&amp;"n")&amp;CHAR(34)&amp;","&amp;CHAR(34)&amp;"max"&amp;CHAR(34)&amp;":"&amp;CHAR(34)&amp;AC186&amp;""&amp;CHAR(34)&amp;CHAR(125))</x:f>
      </x:c>
    </x:row>
    <x:row r="187">
      <x:c r="AA187" t="str">
        <x:v>repeating_actions_MCACT14_actiontype</x:v>
      </x:c>
      <x:c r="AB187" t="str">
        <x:f>IF($Q$15&lt;&gt;"","action","")</x:f>
      </x:c>
      <x:c r="AC187" t="str">
        <x:f>""</x:f>
      </x:c>
      <x:c r="AD187" t="str">
        <x:f>IF(AB187="","",CHAR(123)&amp;CHAR(34)&amp;"name"&amp;CHAR(34)&amp;":"&amp;CHAR(34)&amp;AA187&amp;CHAR(34)&amp;","&amp;CHAR(34)&amp;"current"&amp;CHAR(34)&amp;":"&amp;CHAR(34)&amp;SUBSTITUTE(SUBSTITUTE(SUBSTITUTE(SUBSTITUTE(AB187,CHAR(92),CHAR(92)&amp;CHAR(92)),CHAR(34),CHAR(92)&amp;CHAR(34)),CHAR(13),""),CHAR(10),CHAR(92)&amp;"n")&amp;CHAR(34)&amp;","&amp;CHAR(34)&amp;"max"&amp;CHAR(34)&amp;":"&amp;CHAR(34)&amp;AC187&amp;""&amp;CHAR(34)&amp;CHAR(125))</x:f>
      </x:c>
    </x:row>
    <x:row r="188">
      <x:c r="AA188" t="str">
        <x:v>repeating_actions_MCACT14_actionconditions</x:v>
      </x:c>
      <x:c r="AB188" t="str">
        <x:f>""</x:f>
      </x:c>
      <x:c r="AC188" t="str">
        <x:f>""</x:f>
      </x:c>
      <x:c r="AD188" t="str">
        <x:f>IF(AB188="","",CHAR(123)&amp;CHAR(34)&amp;"name"&amp;CHAR(34)&amp;":"&amp;CHAR(34)&amp;AA188&amp;CHAR(34)&amp;","&amp;CHAR(34)&amp;"current"&amp;CHAR(34)&amp;":"&amp;CHAR(34)&amp;SUBSTITUTE(SUBSTITUTE(SUBSTITUTE(SUBSTITUTE(AB188,CHAR(92),CHAR(92)&amp;CHAR(92)),CHAR(34),CHAR(92)&amp;CHAR(34)),CHAR(13),""),CHAR(10),CHAR(92)&amp;"n")&amp;CHAR(34)&amp;","&amp;CHAR(34)&amp;"max"&amp;CHAR(34)&amp;":"&amp;CHAR(34)&amp;AC188&amp;""&amp;CHAR(34)&amp;CHAR(125))</x:f>
      </x:c>
    </x:row>
    <x:row r="189">
      <x:c r="AA189" t="str">
        <x:v>repeating_actions_MCACT14_actioncode</x:v>
      </x:c>
      <x:c r="AB189" t="str">
        <x:f>IF($Q$15&lt;&gt;"",$Q$15,"")</x:f>
      </x:c>
      <x:c r="AC189" t="str">
        <x:f>""</x:f>
      </x:c>
      <x:c r="AD189" t="str">
        <x:f>IF(AB189="","",CHAR(123)&amp;CHAR(34)&amp;"name"&amp;CHAR(34)&amp;":"&amp;CHAR(34)&amp;AA189&amp;CHAR(34)&amp;","&amp;CHAR(34)&amp;"current"&amp;CHAR(34)&amp;":"&amp;CHAR(34)&amp;SUBSTITUTE(SUBSTITUTE(SUBSTITUTE(SUBSTITUTE(AB189,CHAR(92),CHAR(92)&amp;CHAR(92)),CHAR(34),CHAR(92)&amp;CHAR(34)),CHAR(13),""),CHAR(10),CHAR(92)&amp;"n")&amp;CHAR(34)&amp;","&amp;CHAR(34)&amp;"max"&amp;CHAR(34)&amp;":"&amp;CHAR(34)&amp;AC189&amp;""&amp;CHAR(34)&amp;CHAR(125))</x:f>
      </x:c>
    </x:row>
    <x:row r="190">
      <x:c r="AA190" t="str">
        <x:v>repeating_actions_MCACT15_actionmontree</x:v>
      </x:c>
      <x:c r="AB190" t="str">
        <x:f>IF($Q$16&lt;&gt;"",1,"")</x:f>
      </x:c>
      <x:c r="AC190" t="str">
        <x:f>""</x:f>
      </x:c>
      <x:c r="AD190" t="str">
        <x:f>IF(AB190="","",CHAR(123)&amp;CHAR(34)&amp;"name"&amp;CHAR(34)&amp;":"&amp;CHAR(34)&amp;AA190&amp;CHAR(34)&amp;","&amp;CHAR(34)&amp;"current"&amp;CHAR(34)&amp;":"&amp;CHAR(34)&amp;AB190&amp;""&amp;CHAR(34)&amp;","&amp;CHAR(34)&amp;"max"&amp;CHAR(34)&amp;":"&amp;CHAR(34)&amp;AC190&amp;""&amp;CHAR(34)&amp;CHAR(125))</x:f>
      </x:c>
    </x:row>
    <x:row r="191">
      <x:c r="AA191" t="str">
        <x:v>repeating_actions_MCACT15_actionrang</x:v>
      </x:c>
      <x:c r="AB191" t="str">
        <x:f>IF($Q$16&lt;&gt;"",COUNTIF($Q$2:$Q$16,"&lt;&gt;"),"")</x:f>
      </x:c>
      <x:c r="AC191" t="str">
        <x:f>""</x:f>
      </x:c>
      <x:c r="AD191" t="str">
        <x:f>IF(AB191="","",CHAR(123)&amp;CHAR(34)&amp;"name"&amp;CHAR(34)&amp;":"&amp;CHAR(34)&amp;AA191&amp;CHAR(34)&amp;","&amp;CHAR(34)&amp;"current"&amp;CHAR(34)&amp;":"&amp;CHAR(34)&amp;AB191&amp;""&amp;CHAR(34)&amp;","&amp;CHAR(34)&amp;"max"&amp;CHAR(34)&amp;":"&amp;CHAR(34)&amp;AC191&amp;""&amp;CHAR(34)&amp;CHAR(125))</x:f>
      </x:c>
    </x:row>
    <x:row r="192">
      <x:c r="AA192" t="str">
        <x:v>repeating_actions_MCACT15_actiontitre</x:v>
      </x:c>
      <x:c r="AB192" t="str">
        <x:f>IF($Q$16&lt;&gt;"",$C$16,"")</x:f>
      </x:c>
      <x:c r="AC192" t="str">
        <x:f>""</x:f>
      </x:c>
      <x:c r="AD192" t="str">
        <x:f>IF(AB192="","",CHAR(123)&amp;CHAR(34)&amp;"name"&amp;CHAR(34)&amp;":"&amp;CHAR(34)&amp;AA192&amp;CHAR(34)&amp;","&amp;CHAR(34)&amp;"current"&amp;CHAR(34)&amp;":"&amp;CHAR(34)&amp;SUBSTITUTE(SUBSTITUTE(SUBSTITUTE(SUBSTITUTE(AB192,CHAR(92),CHAR(92)&amp;CHAR(92)),CHAR(34),CHAR(92)&amp;CHAR(34)),CHAR(13),""),CHAR(10),CHAR(92)&amp;"n")&amp;CHAR(34)&amp;","&amp;CHAR(34)&amp;"max"&amp;CHAR(34)&amp;":"&amp;CHAR(34)&amp;AC192&amp;""&amp;CHAR(34)&amp;CHAR(125))</x:f>
      </x:c>
    </x:row>
    <x:row r="193">
      <x:c r="AA193" t="str">
        <x:v>repeating_actions_MCACT15_actiontype</x:v>
      </x:c>
      <x:c r="AB193" t="str">
        <x:f>IF($Q$16&lt;&gt;"","action","")</x:f>
      </x:c>
      <x:c r="AC193" t="str">
        <x:f>""</x:f>
      </x:c>
      <x:c r="AD193" t="str">
        <x:f>IF(AB193="","",CHAR(123)&amp;CHAR(34)&amp;"name"&amp;CHAR(34)&amp;":"&amp;CHAR(34)&amp;AA193&amp;CHAR(34)&amp;","&amp;CHAR(34)&amp;"current"&amp;CHAR(34)&amp;":"&amp;CHAR(34)&amp;SUBSTITUTE(SUBSTITUTE(SUBSTITUTE(SUBSTITUTE(AB193,CHAR(92),CHAR(92)&amp;CHAR(92)),CHAR(34),CHAR(92)&amp;CHAR(34)),CHAR(13),""),CHAR(10),CHAR(92)&amp;"n")&amp;CHAR(34)&amp;","&amp;CHAR(34)&amp;"max"&amp;CHAR(34)&amp;":"&amp;CHAR(34)&amp;AC193&amp;""&amp;CHAR(34)&amp;CHAR(125))</x:f>
      </x:c>
    </x:row>
    <x:row r="194">
      <x:c r="AA194" t="str">
        <x:v>repeating_actions_MCACT15_actionconditions</x:v>
      </x:c>
      <x:c r="AB194" t="str">
        <x:f>""</x:f>
      </x:c>
      <x:c r="AC194" t="str">
        <x:f>""</x:f>
      </x:c>
      <x:c r="AD194" t="str">
        <x:f>IF(AB194="","",CHAR(123)&amp;CHAR(34)&amp;"name"&amp;CHAR(34)&amp;":"&amp;CHAR(34)&amp;AA194&amp;CHAR(34)&amp;","&amp;CHAR(34)&amp;"current"&amp;CHAR(34)&amp;":"&amp;CHAR(34)&amp;SUBSTITUTE(SUBSTITUTE(SUBSTITUTE(SUBSTITUTE(AB194,CHAR(92),CHAR(92)&amp;CHAR(92)),CHAR(34),CHAR(92)&amp;CHAR(34)),CHAR(13),""),CHAR(10),CHAR(92)&amp;"n")&amp;CHAR(34)&amp;","&amp;CHAR(34)&amp;"max"&amp;CHAR(34)&amp;":"&amp;CHAR(34)&amp;AC194&amp;""&amp;CHAR(34)&amp;CHAR(125))</x:f>
      </x:c>
    </x:row>
    <x:row r="195">
      <x:c r="AA195" t="str">
        <x:v>repeating_actions_MCACT15_actioncode</x:v>
      </x:c>
      <x:c r="AB195" t="str">
        <x:f>IF($Q$16&lt;&gt;"",$Q$16,"")</x:f>
      </x:c>
      <x:c r="AC195" t="str">
        <x:f>""</x:f>
      </x:c>
      <x:c r="AD195" t="str">
        <x:f>IF(AB195="","",CHAR(123)&amp;CHAR(34)&amp;"name"&amp;CHAR(34)&amp;":"&amp;CHAR(34)&amp;AA195&amp;CHAR(34)&amp;","&amp;CHAR(34)&amp;"current"&amp;CHAR(34)&amp;":"&amp;CHAR(34)&amp;SUBSTITUTE(SUBSTITUTE(SUBSTITUTE(SUBSTITUTE(AB195,CHAR(92),CHAR(92)&amp;CHAR(92)),CHAR(34),CHAR(92)&amp;CHAR(34)),CHAR(13),""),CHAR(10),CHAR(92)&amp;"n")&amp;CHAR(34)&amp;","&amp;CHAR(34)&amp;"max"&amp;CHAR(34)&amp;":"&amp;CHAR(34)&amp;AC195&amp;""&amp;CHAR(34)&amp;CHAR(125))</x:f>
      </x:c>
    </x:row>
    <x:row r="196">
      <x:c r="AA196" t="str">
        <x:v>repeating_actions_MCACT16_actionmontree</x:v>
      </x:c>
      <x:c r="AB196" t="str">
        <x:f>IF($Q$17&lt;&gt;"",1,"")</x:f>
      </x:c>
      <x:c r="AC196" t="str">
        <x:f>""</x:f>
      </x:c>
      <x:c r="AD196" t="str">
        <x:f>IF(AB196="","",CHAR(123)&amp;CHAR(34)&amp;"name"&amp;CHAR(34)&amp;":"&amp;CHAR(34)&amp;AA196&amp;CHAR(34)&amp;","&amp;CHAR(34)&amp;"current"&amp;CHAR(34)&amp;":"&amp;CHAR(34)&amp;AB196&amp;""&amp;CHAR(34)&amp;","&amp;CHAR(34)&amp;"max"&amp;CHAR(34)&amp;":"&amp;CHAR(34)&amp;AC196&amp;""&amp;CHAR(34)&amp;CHAR(125))</x:f>
      </x:c>
    </x:row>
    <x:row r="197">
      <x:c r="AA197" t="str">
        <x:v>repeating_actions_MCACT16_actionrang</x:v>
      </x:c>
      <x:c r="AB197" t="str">
        <x:f>IF($Q$17&lt;&gt;"",COUNTIF($Q$2:$Q$17,"&lt;&gt;"),"")</x:f>
      </x:c>
      <x:c r="AC197" t="str">
        <x:f>""</x:f>
      </x:c>
      <x:c r="AD197" t="str">
        <x:f>IF(AB197="","",CHAR(123)&amp;CHAR(34)&amp;"name"&amp;CHAR(34)&amp;":"&amp;CHAR(34)&amp;AA197&amp;CHAR(34)&amp;","&amp;CHAR(34)&amp;"current"&amp;CHAR(34)&amp;":"&amp;CHAR(34)&amp;AB197&amp;""&amp;CHAR(34)&amp;","&amp;CHAR(34)&amp;"max"&amp;CHAR(34)&amp;":"&amp;CHAR(34)&amp;AC197&amp;""&amp;CHAR(34)&amp;CHAR(125))</x:f>
      </x:c>
    </x:row>
    <x:row r="198">
      <x:c r="AA198" t="str">
        <x:v>repeating_actions_MCACT16_actiontitre</x:v>
      </x:c>
      <x:c r="AB198" t="str">
        <x:f>IF($Q$17&lt;&gt;"",$C$17,"")</x:f>
      </x:c>
      <x:c r="AC198" t="str">
        <x:f>""</x:f>
      </x:c>
      <x:c r="AD198" t="str">
        <x:f>IF(AB198="","",CHAR(123)&amp;CHAR(34)&amp;"name"&amp;CHAR(34)&amp;":"&amp;CHAR(34)&amp;AA198&amp;CHAR(34)&amp;","&amp;CHAR(34)&amp;"current"&amp;CHAR(34)&amp;":"&amp;CHAR(34)&amp;SUBSTITUTE(SUBSTITUTE(SUBSTITUTE(SUBSTITUTE(AB198,CHAR(92),CHAR(92)&amp;CHAR(92)),CHAR(34),CHAR(92)&amp;CHAR(34)),CHAR(13),""),CHAR(10),CHAR(92)&amp;"n")&amp;CHAR(34)&amp;","&amp;CHAR(34)&amp;"max"&amp;CHAR(34)&amp;":"&amp;CHAR(34)&amp;AC198&amp;""&amp;CHAR(34)&amp;CHAR(125))</x:f>
      </x:c>
    </x:row>
    <x:row r="199">
      <x:c r="AA199" t="str">
        <x:v>repeating_actions_MCACT16_actiontype</x:v>
      </x:c>
      <x:c r="AB199" t="str">
        <x:f>IF($Q$17&lt;&gt;"","action","")</x:f>
      </x:c>
      <x:c r="AC199" t="str">
        <x:f>""</x:f>
      </x:c>
      <x:c r="AD199" t="str">
        <x:f>IF(AB199="","",CHAR(123)&amp;CHAR(34)&amp;"name"&amp;CHAR(34)&amp;":"&amp;CHAR(34)&amp;AA199&amp;CHAR(34)&amp;","&amp;CHAR(34)&amp;"current"&amp;CHAR(34)&amp;":"&amp;CHAR(34)&amp;SUBSTITUTE(SUBSTITUTE(SUBSTITUTE(SUBSTITUTE(AB199,CHAR(92),CHAR(92)&amp;CHAR(92)),CHAR(34),CHAR(92)&amp;CHAR(34)),CHAR(13),""),CHAR(10),CHAR(92)&amp;"n")&amp;CHAR(34)&amp;","&amp;CHAR(34)&amp;"max"&amp;CHAR(34)&amp;":"&amp;CHAR(34)&amp;AC199&amp;""&amp;CHAR(34)&amp;CHAR(125))</x:f>
      </x:c>
    </x:row>
    <x:row r="200">
      <x:c r="AA200" t="str">
        <x:v>repeating_actions_MCACT16_actionconditions</x:v>
      </x:c>
      <x:c r="AB200" t="str">
        <x:f>""</x:f>
      </x:c>
      <x:c r="AC200" t="str">
        <x:f>""</x:f>
      </x:c>
      <x:c r="AD200" t="str">
        <x:f>IF(AB200="","",CHAR(123)&amp;CHAR(34)&amp;"name"&amp;CHAR(34)&amp;":"&amp;CHAR(34)&amp;AA200&amp;CHAR(34)&amp;","&amp;CHAR(34)&amp;"current"&amp;CHAR(34)&amp;":"&amp;CHAR(34)&amp;SUBSTITUTE(SUBSTITUTE(SUBSTITUTE(SUBSTITUTE(AB200,CHAR(92),CHAR(92)&amp;CHAR(92)),CHAR(34),CHAR(92)&amp;CHAR(34)),CHAR(13),""),CHAR(10),CHAR(92)&amp;"n")&amp;CHAR(34)&amp;","&amp;CHAR(34)&amp;"max"&amp;CHAR(34)&amp;":"&amp;CHAR(34)&amp;AC200&amp;""&amp;CHAR(34)&amp;CHAR(125))</x:f>
      </x:c>
    </x:row>
    <x:row r="201">
      <x:c r="AA201" t="str">
        <x:v>repeating_actions_MCACT16_actioncode</x:v>
      </x:c>
      <x:c r="AB201" t="str">
        <x:f>IF($Q$17&lt;&gt;"",$Q$17,"")</x:f>
      </x:c>
      <x:c r="AC201" t="str">
        <x:f>""</x:f>
      </x:c>
      <x:c r="AD201" t="str">
        <x:f>IF(AB201="","",CHAR(123)&amp;CHAR(34)&amp;"name"&amp;CHAR(34)&amp;":"&amp;CHAR(34)&amp;AA201&amp;CHAR(34)&amp;","&amp;CHAR(34)&amp;"current"&amp;CHAR(34)&amp;":"&amp;CHAR(34)&amp;SUBSTITUTE(SUBSTITUTE(SUBSTITUTE(SUBSTITUTE(AB201,CHAR(92),CHAR(92)&amp;CHAR(92)),CHAR(34),CHAR(92)&amp;CHAR(34)),CHAR(13),""),CHAR(10),CHAR(92)&amp;"n")&amp;CHAR(34)&amp;","&amp;CHAR(34)&amp;"max"&amp;CHAR(34)&amp;":"&amp;CHAR(34)&amp;AC201&amp;""&amp;CHAR(34)&amp;CHAR(125))</x:f>
      </x:c>
    </x:row>
    <x:row r="202">
      <x:c r="AA202" t="str">
        <x:v>repeating_actions_MCACT17_actionmontree</x:v>
      </x:c>
      <x:c r="AB202" t="str">
        <x:f>IF($Q$18&lt;&gt;"",1,"")</x:f>
      </x:c>
      <x:c r="AC202" t="str">
        <x:f>""</x:f>
      </x:c>
      <x:c r="AD202" t="str">
        <x:f>IF(AB202="","",CHAR(123)&amp;CHAR(34)&amp;"name"&amp;CHAR(34)&amp;":"&amp;CHAR(34)&amp;AA202&amp;CHAR(34)&amp;","&amp;CHAR(34)&amp;"current"&amp;CHAR(34)&amp;":"&amp;CHAR(34)&amp;AB202&amp;""&amp;CHAR(34)&amp;","&amp;CHAR(34)&amp;"max"&amp;CHAR(34)&amp;":"&amp;CHAR(34)&amp;AC202&amp;""&amp;CHAR(34)&amp;CHAR(125))</x:f>
      </x:c>
    </x:row>
    <x:row r="203">
      <x:c r="AA203" t="str">
        <x:v>repeating_actions_MCACT17_actionrang</x:v>
      </x:c>
      <x:c r="AB203" t="str">
        <x:f>IF($Q$18&lt;&gt;"",COUNTIF($Q$2:$Q$18,"&lt;&gt;"),"")</x:f>
      </x:c>
      <x:c r="AC203" t="str">
        <x:f>""</x:f>
      </x:c>
      <x:c r="AD203" t="str">
        <x:f>IF(AB203="","",CHAR(123)&amp;CHAR(34)&amp;"name"&amp;CHAR(34)&amp;":"&amp;CHAR(34)&amp;AA203&amp;CHAR(34)&amp;","&amp;CHAR(34)&amp;"current"&amp;CHAR(34)&amp;":"&amp;CHAR(34)&amp;AB203&amp;""&amp;CHAR(34)&amp;","&amp;CHAR(34)&amp;"max"&amp;CHAR(34)&amp;":"&amp;CHAR(34)&amp;AC203&amp;""&amp;CHAR(34)&amp;CHAR(125))</x:f>
      </x:c>
    </x:row>
    <x:row r="204">
      <x:c r="AA204" t="str">
        <x:v>repeating_actions_MCACT17_actiontitre</x:v>
      </x:c>
      <x:c r="AB204" t="str">
        <x:f>IF($Q$18&lt;&gt;"",$C$18,"")</x:f>
      </x:c>
      <x:c r="AC204" t="str">
        <x:f>""</x:f>
      </x:c>
      <x:c r="AD204" t="str">
        <x:f>IF(AB204="","",CHAR(123)&amp;CHAR(34)&amp;"name"&amp;CHAR(34)&amp;":"&amp;CHAR(34)&amp;AA204&amp;CHAR(34)&amp;","&amp;CHAR(34)&amp;"current"&amp;CHAR(34)&amp;":"&amp;CHAR(34)&amp;SUBSTITUTE(SUBSTITUTE(SUBSTITUTE(SUBSTITUTE(AB204,CHAR(92),CHAR(92)&amp;CHAR(92)),CHAR(34),CHAR(92)&amp;CHAR(34)),CHAR(13),""),CHAR(10),CHAR(92)&amp;"n")&amp;CHAR(34)&amp;","&amp;CHAR(34)&amp;"max"&amp;CHAR(34)&amp;":"&amp;CHAR(34)&amp;AC204&amp;""&amp;CHAR(34)&amp;CHAR(125))</x:f>
      </x:c>
    </x:row>
    <x:row r="205">
      <x:c r="AA205" t="str">
        <x:v>repeating_actions_MCACT17_actiontype</x:v>
      </x:c>
      <x:c r="AB205" t="str">
        <x:f>IF($Q$18&lt;&gt;"","action","")</x:f>
      </x:c>
      <x:c r="AC205" t="str">
        <x:f>""</x:f>
      </x:c>
      <x:c r="AD205" t="str">
        <x:f>IF(AB205="","",CHAR(123)&amp;CHAR(34)&amp;"name"&amp;CHAR(34)&amp;":"&amp;CHAR(34)&amp;AA205&amp;CHAR(34)&amp;","&amp;CHAR(34)&amp;"current"&amp;CHAR(34)&amp;":"&amp;CHAR(34)&amp;SUBSTITUTE(SUBSTITUTE(SUBSTITUTE(SUBSTITUTE(AB205,CHAR(92),CHAR(92)&amp;CHAR(92)),CHAR(34),CHAR(92)&amp;CHAR(34)),CHAR(13),""),CHAR(10),CHAR(92)&amp;"n")&amp;CHAR(34)&amp;","&amp;CHAR(34)&amp;"max"&amp;CHAR(34)&amp;":"&amp;CHAR(34)&amp;AC205&amp;""&amp;CHAR(34)&amp;CHAR(125))</x:f>
      </x:c>
    </x:row>
    <x:row r="206">
      <x:c r="AA206" t="str">
        <x:v>repeating_actions_MCACT17_actionconditions</x:v>
      </x:c>
      <x:c r="AB206" t="str">
        <x:f>""</x:f>
      </x:c>
      <x:c r="AC206" t="str">
        <x:f>""</x:f>
      </x:c>
      <x:c r="AD206" t="str">
        <x:f>IF(AB206="","",CHAR(123)&amp;CHAR(34)&amp;"name"&amp;CHAR(34)&amp;":"&amp;CHAR(34)&amp;AA206&amp;CHAR(34)&amp;","&amp;CHAR(34)&amp;"current"&amp;CHAR(34)&amp;":"&amp;CHAR(34)&amp;SUBSTITUTE(SUBSTITUTE(SUBSTITUTE(SUBSTITUTE(AB206,CHAR(92),CHAR(92)&amp;CHAR(92)),CHAR(34),CHAR(92)&amp;CHAR(34)),CHAR(13),""),CHAR(10),CHAR(92)&amp;"n")&amp;CHAR(34)&amp;","&amp;CHAR(34)&amp;"max"&amp;CHAR(34)&amp;":"&amp;CHAR(34)&amp;AC206&amp;""&amp;CHAR(34)&amp;CHAR(125))</x:f>
      </x:c>
    </x:row>
    <x:row r="207">
      <x:c r="AA207" t="str">
        <x:v>repeating_actions_MCACT17_actioncode</x:v>
      </x:c>
      <x:c r="AB207" t="str">
        <x:f>IF($Q$18&lt;&gt;"",$Q$18,"")</x:f>
      </x:c>
      <x:c r="AC207" t="str">
        <x:f>""</x:f>
      </x:c>
      <x:c r="AD207" t="str">
        <x:f>IF(AB207="","",CHAR(123)&amp;CHAR(34)&amp;"name"&amp;CHAR(34)&amp;":"&amp;CHAR(34)&amp;AA207&amp;CHAR(34)&amp;","&amp;CHAR(34)&amp;"current"&amp;CHAR(34)&amp;":"&amp;CHAR(34)&amp;SUBSTITUTE(SUBSTITUTE(SUBSTITUTE(SUBSTITUTE(AB207,CHAR(92),CHAR(92)&amp;CHAR(92)),CHAR(34),CHAR(92)&amp;CHAR(34)),CHAR(13),""),CHAR(10),CHAR(92)&amp;"n")&amp;CHAR(34)&amp;","&amp;CHAR(34)&amp;"max"&amp;CHAR(34)&amp;":"&amp;CHAR(34)&amp;AC207&amp;""&amp;CHAR(34)&amp;CHAR(125))</x:f>
      </x:c>
    </x:row>
    <x:row r="208">
      <x:c r="AA208" t="str">
        <x:v>repeating_actions_MCACT18_actionmontree</x:v>
      </x:c>
      <x:c r="AB208" t="str">
        <x:f>IF($Q$19&lt;&gt;"",1,"")</x:f>
      </x:c>
      <x:c r="AC208" t="str">
        <x:f>""</x:f>
      </x:c>
      <x:c r="AD208" t="str">
        <x:f>IF(AB208="","",CHAR(123)&amp;CHAR(34)&amp;"name"&amp;CHAR(34)&amp;":"&amp;CHAR(34)&amp;AA208&amp;CHAR(34)&amp;","&amp;CHAR(34)&amp;"current"&amp;CHAR(34)&amp;":"&amp;CHAR(34)&amp;AB208&amp;""&amp;CHAR(34)&amp;","&amp;CHAR(34)&amp;"max"&amp;CHAR(34)&amp;":"&amp;CHAR(34)&amp;AC208&amp;""&amp;CHAR(34)&amp;CHAR(125))</x:f>
      </x:c>
    </x:row>
    <x:row r="209">
      <x:c r="AA209" t="str">
        <x:v>repeating_actions_MCACT18_actionrang</x:v>
      </x:c>
      <x:c r="AB209" t="str">
        <x:f>IF($Q$19&lt;&gt;"",COUNTIF($Q$2:$Q$19,"&lt;&gt;"),"")</x:f>
      </x:c>
      <x:c r="AC209" t="str">
        <x:f>""</x:f>
      </x:c>
      <x:c r="AD209" t="str">
        <x:f>IF(AB209="","",CHAR(123)&amp;CHAR(34)&amp;"name"&amp;CHAR(34)&amp;":"&amp;CHAR(34)&amp;AA209&amp;CHAR(34)&amp;","&amp;CHAR(34)&amp;"current"&amp;CHAR(34)&amp;":"&amp;CHAR(34)&amp;AB209&amp;""&amp;CHAR(34)&amp;","&amp;CHAR(34)&amp;"max"&amp;CHAR(34)&amp;":"&amp;CHAR(34)&amp;AC209&amp;""&amp;CHAR(34)&amp;CHAR(125))</x:f>
      </x:c>
    </x:row>
    <x:row r="210">
      <x:c r="AA210" t="str">
        <x:v>repeating_actions_MCACT18_actiontitre</x:v>
      </x:c>
      <x:c r="AB210" t="str">
        <x:f>IF($Q$19&lt;&gt;"",$C$19,"")</x:f>
      </x:c>
      <x:c r="AC210" t="str">
        <x:f>""</x:f>
      </x:c>
      <x:c r="AD210" t="str">
        <x:f>IF(AB210="","",CHAR(123)&amp;CHAR(34)&amp;"name"&amp;CHAR(34)&amp;":"&amp;CHAR(34)&amp;AA210&amp;CHAR(34)&amp;","&amp;CHAR(34)&amp;"current"&amp;CHAR(34)&amp;":"&amp;CHAR(34)&amp;SUBSTITUTE(SUBSTITUTE(SUBSTITUTE(SUBSTITUTE(AB210,CHAR(92),CHAR(92)&amp;CHAR(92)),CHAR(34),CHAR(92)&amp;CHAR(34)),CHAR(13),""),CHAR(10),CHAR(92)&amp;"n")&amp;CHAR(34)&amp;","&amp;CHAR(34)&amp;"max"&amp;CHAR(34)&amp;":"&amp;CHAR(34)&amp;AC210&amp;""&amp;CHAR(34)&amp;CHAR(125))</x:f>
      </x:c>
    </x:row>
    <x:row r="211">
      <x:c r="AA211" t="str">
        <x:v>repeating_actions_MCACT18_actiontype</x:v>
      </x:c>
      <x:c r="AB211" t="str">
        <x:f>IF($Q$19&lt;&gt;"","action","")</x:f>
      </x:c>
      <x:c r="AC211" t="str">
        <x:f>""</x:f>
      </x:c>
      <x:c r="AD211" t="str">
        <x:f>IF(AB211="","",CHAR(123)&amp;CHAR(34)&amp;"name"&amp;CHAR(34)&amp;":"&amp;CHAR(34)&amp;AA211&amp;CHAR(34)&amp;","&amp;CHAR(34)&amp;"current"&amp;CHAR(34)&amp;":"&amp;CHAR(34)&amp;SUBSTITUTE(SUBSTITUTE(SUBSTITUTE(SUBSTITUTE(AB211,CHAR(92),CHAR(92)&amp;CHAR(92)),CHAR(34),CHAR(92)&amp;CHAR(34)),CHAR(13),""),CHAR(10),CHAR(92)&amp;"n")&amp;CHAR(34)&amp;","&amp;CHAR(34)&amp;"max"&amp;CHAR(34)&amp;":"&amp;CHAR(34)&amp;AC211&amp;""&amp;CHAR(34)&amp;CHAR(125))</x:f>
      </x:c>
    </x:row>
    <x:row r="212">
      <x:c r="AA212" t="str">
        <x:v>repeating_actions_MCACT18_actionconditions</x:v>
      </x:c>
      <x:c r="AB212" t="str">
        <x:f>""</x:f>
      </x:c>
      <x:c r="AC212" t="str">
        <x:f>""</x:f>
      </x:c>
      <x:c r="AD212" t="str">
        <x:f>IF(AB212="","",CHAR(123)&amp;CHAR(34)&amp;"name"&amp;CHAR(34)&amp;":"&amp;CHAR(34)&amp;AA212&amp;CHAR(34)&amp;","&amp;CHAR(34)&amp;"current"&amp;CHAR(34)&amp;":"&amp;CHAR(34)&amp;SUBSTITUTE(SUBSTITUTE(SUBSTITUTE(SUBSTITUTE(AB212,CHAR(92),CHAR(92)&amp;CHAR(92)),CHAR(34),CHAR(92)&amp;CHAR(34)),CHAR(13),""),CHAR(10),CHAR(92)&amp;"n")&amp;CHAR(34)&amp;","&amp;CHAR(34)&amp;"max"&amp;CHAR(34)&amp;":"&amp;CHAR(34)&amp;AC212&amp;""&amp;CHAR(34)&amp;CHAR(125))</x:f>
      </x:c>
    </x:row>
    <x:row r="213">
      <x:c r="AA213" t="str">
        <x:v>repeating_actions_MCACT18_actioncode</x:v>
      </x:c>
      <x:c r="AB213" t="str">
        <x:f>IF($Q$19&lt;&gt;"",$Q$19,"")</x:f>
      </x:c>
      <x:c r="AC213" t="str">
        <x:f>""</x:f>
      </x:c>
      <x:c r="AD213" t="str">
        <x:f>IF(AB213="","",CHAR(123)&amp;CHAR(34)&amp;"name"&amp;CHAR(34)&amp;":"&amp;CHAR(34)&amp;AA213&amp;CHAR(34)&amp;","&amp;CHAR(34)&amp;"current"&amp;CHAR(34)&amp;":"&amp;CHAR(34)&amp;SUBSTITUTE(SUBSTITUTE(SUBSTITUTE(SUBSTITUTE(AB213,CHAR(92),CHAR(92)&amp;CHAR(92)),CHAR(34),CHAR(92)&amp;CHAR(34)),CHAR(13),""),CHAR(10),CHAR(92)&amp;"n")&amp;CHAR(34)&amp;","&amp;CHAR(34)&amp;"max"&amp;CHAR(34)&amp;":"&amp;CHAR(34)&amp;AC213&amp;""&amp;CHAR(34)&amp;CHAR(125))</x:f>
      </x:c>
    </x:row>
  </x:sheetData>
  <x:pageMargins left="0.7" right="0.7" top="0.75" bottom="0.75" header="0.3" footer="0.3"/>
</x:worksheet>
</file>