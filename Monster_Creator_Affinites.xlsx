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a7c0084b2a242b0" /></Relationships>
</file>

<file path=xl/workbook.xml><?xml version="1.0" encoding="utf-8"?>
<x:workbook xmlns:x="http://schemas.openxmlformats.org/spreadsheetml/2006/main">
  <x:sheets>
    <x:sheet xmlns:r="http://schemas.openxmlformats.org/officeDocument/2006/relationships" name="Createur" sheetId="1" r:id="R8c2726822e454466"/>
    <x:sheet xmlns:r="http://schemas.openxmlformats.org/officeDocument/2006/relationships" name="Calculs" sheetId="2" r:id="R049796f27e6846fc"/>
    <x:sheet xmlns:r="http://schemas.openxmlformats.org/officeDocument/2006/relationships" name="Export" sheetId="3" r:id="R1ad662f9f0574264"/>
    <x:sheet xmlns:r="http://schemas.openxmlformats.org/officeDocument/2006/relationships" name="Archetypes_Mineurs" sheetId="4" r:id="Rdfe6316ef9414292"/>
    <x:sheet xmlns:r="http://schemas.openxmlformats.org/officeDocument/2006/relationships" name="Profils" sheetId="5" r:id="R41a13e00dfa94f2c"/>
    <x:sheet xmlns:r="http://schemas.openxmlformats.org/officeDocument/2006/relationships" name="Familles" sheetId="6" r:id="R274deb439e8e4a36"/>
    <x:sheet xmlns:r="http://schemas.openxmlformats.org/officeDocument/2006/relationships" name="Tailles" sheetId="7" r:id="R62dbdee237404e7b"/>
    <x:sheet xmlns:r="http://schemas.openxmlformats.org/officeDocument/2006/relationships" name="Capacites" sheetId="8" r:id="Re2d056891ecb4b35"/>
    <x:sheet xmlns:r="http://schemas.openxmlformats.org/officeDocument/2006/relationships" name="Armures" sheetId="9" r:id="R5f8d4e094b6b4606"/>
    <x:sheet xmlns:r="http://schemas.openxmlformats.org/officeDocument/2006/relationships" name="Passifs" sheetId="10" r:id="R96ded2ba07934b7e"/>
    <x:sheet xmlns:r="http://schemas.openxmlformats.org/officeDocument/2006/relationships" name="Sorts" sheetId="11" r:id="R4a765438b4274c53"/>
    <x:sheet xmlns:r="http://schemas.openxmlformats.org/officeDocument/2006/relationships" name="Sources" sheetId="12" r:id="R38ee3a092ec94cce"/>
    <x:sheet xmlns:r="http://schemas.openxmlformats.org/officeDocument/2006/relationships" name="Qualite_Equipement" sheetId="13" r:id="Rc7fa05b25c6749f7"/>
    <x:sheet xmlns:r="http://schemas.openxmlformats.org/officeDocument/2006/relationships" name="Butin_NC" sheetId="14" r:id="R46a70199899742e1"/>
    <x:sheet xmlns:r="http://schemas.openxmlformats.org/officeDocument/2006/relationships" name="Niveaux_NC" sheetId="15" r:id="R8e1884f0f76b4aa1"/>
    <x:sheet xmlns:r="http://schemas.openxmlformats.org/officeDocument/2006/relationships" name="Archetypes_Physiques_Majeurs" sheetId="16" r:id="R2945feecd8084cb5"/>
    <x:sheet xmlns:r="http://schemas.openxmlformats.org/officeDocument/2006/relationships" name="Archetypes_Mentaux_Majeurs" sheetId="17" r:id="R64352519bf844a3f"/>
    <x:sheet xmlns:r="http://schemas.openxmlformats.org/officeDocument/2006/relationships" name="Listes_Familles" sheetId="18" r:id="R717d3719fc954c13"/>
    <x:sheet xmlns:r="http://schemas.openxmlformats.org/officeDocument/2006/relationships" name="Guide_Affinites" sheetId="19" r:id="R9d0654b6c7e84943"/>
    <x:sheet xmlns:r="http://schemas.openxmlformats.org/officeDocument/2006/relationships" name="Référentiel" sheetId="20" r:id="R8a6c2526742c40a0"/>
  </x:sheets>
</x:workbook>
</file>

<file path=xl/sharedStrings.xml><?xml version="1.0" encoding="utf-8"?>
<x:sst xmlns:x="http://schemas.openxmlformats.org/spreadsheetml/2006/main">
  <x:si>
    <x:t xml:space="preserve">Monster Creator V4</x:t>
  </x:si>
  <x:si>
    <x:t xml:space="preserve">Champ</x:t>
  </x:si>
  <x:si>
    <x:t xml:space="preserve">Valeur</x:t>
  </x:si>
  <x:si>
    <x:t xml:space="preserve">Résultat</x:t>
  </x:si>
  <x:si>
    <x:t xml:space="preserve">Synthèse</x:t>
  </x:si>
  <x:si>
    <x:t xml:space="preserve">Nom</x:t>
  </x:si>
  <x:si>
    <x:t xml:space="preserve">Cultiste Rabatteur</x:t>
  </x:si>
  <x:si>
    <x:t xml:space="preserve">FOR</x:t>
  </x:si>
  <x:si>
    <x:t xml:space="preserve">Danger réel</x:t>
  </x:si>
  <x:si>
    <x:t xml:space="preserve">NC</x:t>
  </x:si>
  <x:si>
    <x:t xml:space="preserve">DEX</x:t>
  </x:si>
  <x:si>
    <x:t xml:space="preserve">Lecture</x:t>
  </x:si>
  <x:si>
    <x:t xml:space="preserve">Famille</x:t>
  </x:si>
  <x:si>
    <x:t xml:space="preserve">Démon</x:t>
  </x:si>
  <x:si>
    <x:t xml:space="preserve">CON</x:t>
  </x:si>
  <x:si>
    <x:t xml:space="preserve">Valeur récupérée</x:t>
  </x:si>
  <x:si>
    <x:t xml:space="preserve">Sous-famille</x:t>
  </x:si>
  <x:si>
    <x:t xml:space="preserve">INT</x:t>
  </x:si>
  <x:si>
    <x:t xml:space="preserve">Famille utilisée</x:t>
  </x:si>
  <x:si>
    <x:t xml:space="preserve">Taille</x:t>
  </x:si>
  <x:si>
    <x:t xml:space="preserve">Moyen</x:t>
  </x:si>
  <x:si>
    <x:t xml:space="preserve">SAG</x:t>
  </x:si>
  <x:si>
    <x:t xml:space="preserve">Ressources</x:t>
  </x:si>
  <x:si>
    <x:t xml:space="preserve">Archétype physique majeur</x:t>
  </x:si>
  <x:si>
    <x:t xml:space="preserve">Ravageur - Simple B = FOR +2, DEX +1</x:t>
  </x:si>
  <x:si>
    <x:t xml:space="preserve">CHA</x:t>
  </x:si>
  <x:si>
    <x:t xml:space="preserve">JSON</x:t>
  </x:si>
  <x:si>
    <x:t xml:space="preserve">Voir Export!A2</x:t>
  </x:si>
  <x:si>
    <x:t xml:space="preserve">Archétype mental majeur</x:t>
  </x:si>
  <x:si>
    <x:t xml:space="preserve">Vigilant - Simple B = SAG +2, CON +1</x:t>
  </x:si>
  <x:si>
    <x:t xml:space="preserve">DEF</x:t>
  </x:si>
  <x:si>
    <x:t xml:space="preserve">Parent / catégorie</x:t>
  </x:si>
  <x:si>
    <x:t xml:space="preserve">Archétype mineur</x:t>
  </x:si>
  <x:si>
    <x:t xml:space="preserve">Bousculeur - Simple = FOR +1</x:t>
  </x:si>
  <x:si>
    <x:t xml:space="preserve">PV</x:t>
  </x:si>
  <x:si>
    <x:t xml:space="preserve">Profil</x:t>
  </x:si>
  <x:si>
    <x:t xml:space="preserve">Standard</x:t>
  </x:si>
  <x:si>
    <x:t xml:space="preserve">Init</x:t>
  </x:si>
  <x:si>
    <x:t xml:space="preserve">Armure</x:t>
  </x:si>
  <x:si>
    <x:t xml:space="preserve">Légère</x:t>
  </x:si>
  <x:si>
    <x:t xml:space="preserve">Qualité équipement</x:t>
  </x:si>
  <x:si>
    <x:t xml:space="preserve">Correct</x:t>
  </x:si>
  <x:si>
    <x:t xml:space="preserve">Description RP</x:t>
  </x:si>
  <x:si>
    <x:t xml:space="preserve">Attaques</x:t>
  </x:si>
  <x:si>
    <x:t xml:space="preserve">Type</x:t>
  </x:si>
  <x:si>
    <x:t xml:space="preserve">Dé</x:t>
  </x:si>
  <x:si>
    <x:t xml:space="preserve">Portée m</x:t>
  </x:si>
  <x:si>
    <x:t xml:space="preserve">Spécial</x:t>
  </x:si>
  <x:si>
    <x:t xml:space="preserve">Stat utilisée</x:t>
  </x:si>
  <x:si>
    <x:t xml:space="preserve">Test final</x:t>
  </x:si>
  <x:si>
    <x:t xml:space="preserve">DM final</x:t>
  </x:si>
  <x:si>
    <x:t xml:space="preserve">Note</x:t>
  </x:si>
  <x:si>
    <x:t xml:space="preserve">Crochet</x:t>
  </x:si>
  <x:si>
    <x:t xml:space="preserve">CAC</x:t>
  </x:si>
  <x:si>
    <x:t xml:space="preserve">d4</x:t>
  </x:si>
  <x:si>
    <x:t xml:space="preserve">Crochet a distance</x:t>
  </x:si>
  <x:si>
    <x:t xml:space="preserve">Distance</x:t>
  </x:si>
  <x:si>
    <x:t xml:space="preserve">Capacités activables</x:t>
  </x:si>
  <x:si>
    <x:t xml:space="preserve">Catégorie</x:t>
  </x:si>
  <x:si>
    <x:t xml:space="preserve">Description</x:t>
  </x:si>
  <x:si>
    <x:t xml:space="preserve">Script</x:t>
  </x:si>
  <x:si>
    <x:t xml:space="preserve">Sorts</x:t>
  </x:si>
  <x:si>
    <x:t xml:space="preserve">École</x:t>
  </x:si>
  <x:si>
    <x:t xml:space="preserve">Passifs</x:t>
  </x:si>
  <x:si>
    <x:t xml:space="preserve">RD famille</x:t>
  </x:si>
  <x:si>
    <x:t xml:space="preserve">Imm. famille</x:t>
  </x:si>
  <x:si>
    <x:t xml:space="preserve">RD ajout</x:t>
  </x:si>
  <x:si>
    <x:t xml:space="preserve">Imm. manuelle</x:t>
  </x:si>
  <x:si>
    <x:t xml:space="preserve">RD finale</x:t>
  </x:si>
  <x:si>
    <x:t xml:space="preserve">Immunité finale</x:t>
  </x:si>
  <x:si>
    <x:t xml:space="preserve">Domaine</x:t>
  </x:si>
  <x:si>
    <x:t xml:space="preserve">Affinité auto</x:t>
  </x:si>
  <x:si>
    <x:t xml:space="preserve">Prédicat auto</x:t>
  </x:si>
  <x:si>
    <x:t xml:space="preserve">Tranchant</x:t>
  </x:si>
  <x:si>
    <x:t xml:space="preserve">Contondant</x:t>
  </x:si>
  <x:si>
    <x:t xml:space="preserve">Perçant</x:t>
  </x:si>
  <x:si>
    <x:t xml:space="preserve">Feu</x:t>
  </x:si>
  <x:si>
    <x:t xml:space="preserve">Froid</x:t>
  </x:si>
  <x:si>
    <x:t xml:space="preserve">Électrique</x:t>
  </x:si>
  <x:si>
    <x:t xml:space="preserve">Acide</x:t>
  </x:si>
  <x:si>
    <x:t xml:space="preserve">Sonique</x:t>
  </x:si>
  <x:si>
    <x:t xml:space="preserve">Maladie</x:t>
  </x:si>
  <x:si>
    <x:t xml:space="preserve">Prédicats auto complets</x:t>
  </x:si>
  <x:si>
    <x:t xml:space="preserve">Poison</x:t>
  </x:si>
  <x:si>
    <x:t xml:space="preserve">→ predicats_script</x:t>
  </x:si>
  <x:si>
    <x:t xml:space="preserve">Magique</x:t>
  </x:si>
  <x:si>
    <x:t xml:space="preserve">RÉSISTANCES PHYSIQUES AUTOMATIQUES</x:t>
  </x:si>
  <x:si>
    <x:t xml:space="preserve">Non-magique</x:t>
  </x:si>
  <x:si>
    <x:t xml:space="preserve">Logique RP</x:t>
  </x:si>
  <x:si>
    <x:t xml:space="preserve">Calculs internes</x:t>
  </x:si>
  <x:si>
    <x:t xml:space="preserve">Formule / valeur</x:t>
  </x:si>
  <x:si>
    <x:t xml:space="preserve">Nom sûr</x:t>
  </x:si>
  <x:si>
    <x:t xml:space="preserve">Famille target_id</x:t>
  </x:si>
  <x:si>
    <x:t xml:space="preserve">Catégorie value</x:t>
  </x:si>
  <x:si>
    <x:t xml:space="preserve">Catégorie label</x:t>
  </x:si>
  <x:si>
    <x:t xml:space="preserve">Taille value</x:t>
  </x:si>
  <x:si>
    <x:t xml:space="preserve">Taille label</x:t>
  </x:si>
  <x:si>
    <x:t xml:space="preserve">Profil value</x:t>
  </x:si>
  <x:si>
    <x:t xml:space="preserve">Profil label</x:t>
  </x:si>
  <x:si>
    <x:t xml:space="preserve">Défense</x:t>
  </x:si>
  <x:si>
    <x:t xml:space="preserve">Initiative</x:t>
  </x:si>
  <x:si>
    <x:t xml:space="preserve">Bonus ATK total</x:t>
  </x:si>
  <x:si>
    <x:t xml:space="preserve">Bonus DM total</x:t>
  </x:si>
  <x:si>
    <x:t xml:space="preserve">Multiplicateur DM profil</x:t>
  </x:si>
  <x:si>
    <x:t xml:space="preserve">Ratio dés</x:t>
  </x:si>
  <x:si>
    <x:t xml:space="preserve">Bonus RD profil</x:t>
  </x:si>
  <x:si>
    <x:t xml:space="preserve">Multiplicateur butin famille</x:t>
  </x:si>
  <x:si>
    <x:t xml:space="preserve">Base PC</x:t>
  </x:si>
  <x:si>
    <x:t xml:space="preserve">Danger capacités</x:t>
  </x:si>
  <x:si>
    <x:t xml:space="preserve">Mult arch. physique majeur</x:t>
  </x:si>
  <x:si>
    <x:t xml:space="preserve">Danger passifs</x:t>
  </x:si>
  <x:si>
    <x:t xml:space="preserve">Mult mental majeur × mineur</x:t>
  </x:si>
  <x:si>
    <x:t xml:space="preserve">Danger sorts</x:t>
  </x:si>
  <x:si>
    <x:t xml:space="preserve">Mult profil</x:t>
  </x:si>
  <x:si>
    <x:t xml:space="preserve">Mult équipement</x:t>
  </x:si>
  <x:si>
    <x:t xml:space="preserve">Lecture danger</x:t>
  </x:si>
  <x:si>
    <x:t xml:space="preserve">Valeur finale PC</x:t>
  </x:si>
  <x:si>
    <x:t xml:space="preserve">Unité</x:t>
  </x:si>
  <x:si>
    <x:t xml:space="preserve">Montant unité</x:t>
  </x:si>
  <x:si>
    <x:t xml:space="preserve">Nb dés</x:t>
  </x:si>
  <x:si>
    <x:t xml:space="preserve">Loot HTML</x:t>
  </x:si>
  <x:si>
    <x:t xml:space="preserve">Valeur fixe</x:t>
  </x:si>
  <x:si>
    <x:t xml:space="preserve">Ressources NC</x:t>
  </x:si>
  <x:si>
    <x:t xml:space="preserve">Stat</x:t>
  </x:si>
  <x:si>
    <x:t xml:space="preserve">Mod stat</x:t>
  </x:si>
  <x:si>
    <x:t xml:space="preserve">Test</x:t>
  </x:si>
  <x:si>
    <x:t xml:space="preserve">Moy DM</x:t>
  </x:si>
  <x:si>
    <x:t xml:space="preserve">Moy dé</x:t>
  </x:si>
  <x:si>
    <x:t xml:space="preserve">Ratio</x:t>
  </x:si>
  <x:si>
    <x:t xml:space="preserve">Bonus</x:t>
  </x:si>
  <x:si>
    <x:t xml:space="preserve">Test txt</x:t>
  </x:si>
  <x:si>
    <x:t xml:space="preserve">DM txt</x:t>
  </x:si>
  <x:si>
    <x:t xml:space="preserve">HTML</x:t>
  </x:si>
  <x:si>
    <x:t xml:space="preserve">Data JSON</x:t>
  </x:si>
  <x:si>
    <x:t xml:space="preserve">Action RP</x:t>
  </x:si>
  <x:si>
    <x:t xml:space="preserve">Rareté NC</x:t>
  </x:si>
  <x:si>
    <x:t xml:space="preserve">Palier butin</x:t>
  </x:si>
  <x:si>
    <x:t xml:space="preserve">GM Notes Loot V4</x:t>
  </x:si>
  <x:si>
    <x:t xml:space="preserve">Attacks HTML</x:t>
  </x:si>
  <x:si>
    <x:t xml:space="preserve">Attacks data JSON</x:t>
  </x:si>
  <x:si>
    <x:t xml:space="preserve">Attacks JSON block</x:t>
  </x:si>
  <x:si>
    <x:t xml:space="preserve">Capacités JSON</x:t>
  </x:si>
  <x:si>
    <x:t xml:space="preserve">Passifs JSON</x:t>
  </x:si>
  <x:si>
    <x:t xml:space="preserve">Sorts JSON</x:t>
  </x:si>
  <x:si>
    <x:t xml:space="preserve">Structured JSON</x:t>
  </x:si>
  <x:si>
    <x:t xml:space="preserve">Special HTML</x:t>
  </x:si>
  <x:si>
    <x:t xml:space="preserve">Names JSON</x:t>
  </x:si>
  <x:si>
    <x:t xml:space="preserve">HTML prédicats Roll20</x:t>
  </x:si>
  <x:si>
    <x:t xml:space="preserve">Type code</x:t>
  </x:si>
  <x:si>
    <x:t xml:space="preserve">Label</x:t>
  </x:si>
  <x:si>
    <x:t xml:space="preserve">Dmg reduction JSON</x:t>
  </x:si>
  <x:si>
    <x:t xml:space="preserve">tranchant</x:t>
  </x:si>
  <x:si>
    <x:t xml:space="preserve">contondant</x:t>
  </x:si>
  <x:si>
    <x:t xml:space="preserve">percant</x:t>
  </x:si>
  <x:si>
    <x:t xml:space="preserve">feu</x:t>
  </x:si>
  <x:si>
    <x:t xml:space="preserve">froid</x:t>
  </x:si>
  <x:si>
    <x:t xml:space="preserve">electrique</x:t>
  </x:si>
  <x:si>
    <x:t xml:space="preserve">acide</x:t>
  </x:si>
  <x:si>
    <x:t xml:space="preserve">sonique</x:t>
  </x:si>
  <x:si>
    <x:t xml:space="preserve">maladie</x:t>
  </x:si>
  <x:si>
    <x:t xml:space="preserve">poison</x:t>
  </x:si>
  <x:si>
    <x:t xml:space="preserve">magique</x:t>
  </x:si>
  <x:si>
    <x:t xml:space="preserve">Dmg reduction combined</x:t>
  </x:si>
  <x:si>
    <x:t xml:space="preserve">JSON chunk 1</x:t>
  </x:si>
  <x:si>
    <x:t xml:space="preserve">JSON chunk 2</x:t>
  </x:si>
  <x:si>
    <x:t xml:space="preserve">JSON chunk 3</x:t>
  </x:si>
  <x:si>
    <x:t xml:space="preserve">JSON chunk 4</x:t>
  </x:si>
  <x:si>
    <x:t xml:space="preserve">JSON chunk 5</x:t>
  </x:si>
  <x:si>
    <x:t xml:space="preserve">JSON chunk 6</x:t>
  </x:si>
  <x:si>
    <x:t xml:space="preserve">JSON chunk 7</x:t>
  </x:si>
  <x:si>
    <x:t xml:space="preserve">JSON complet</x:t>
  </x:si>
  <x:si>
    <x:t xml:space="preserve">JSON export V4 - copie la cellule A2</x:t>
  </x:si>
  <x:si>
    <x:t xml:space="preserve">Prédicats Roll20 - copie vers predicats_script</x:t>
  </x:si>
  <x:si>
    <x:t xml:space="preserve">GM Notes Loot V4 - copie la cellule A6</x:t>
  </x:si>
  <x:si>
    <x:t xml:space="preserve">Caractéristiques</x:t>
  </x:si>
  <x:si>
    <x:t xml:space="preserve">PV_mult</x:t>
  </x:si>
  <x:si>
    <x:t xml:space="preserve">ATK</x:t>
  </x:si>
  <x:si>
    <x:t xml:space="preserve">DM</x:t>
  </x:si>
  <x:si>
    <x:t xml:space="preserve">Ratio_dés</x:t>
  </x:si>
  <x:si>
    <x:t xml:space="preserve">Loot_mult</x:t>
  </x:si>
  <x:si>
    <x:t xml:space="preserve">FOR +1</x:t>
  </x:si>
  <x:si>
    <x:t xml:space="preserve">FOR / Simple — Attaque frontale, intimidation</x:t>
  </x:si>
  <x:si>
    <x:t xml:space="preserve">Agressif - Simple</x:t>
  </x:si>
  <x:si>
    <x:t xml:space="preserve">FOR +1, CHA +1</x:t>
  </x:si>
  <x:si>
    <x:t xml:space="preserve">FOR / Avancé — Attaque frontale, intimidation</x:t>
  </x:si>
  <x:si>
    <x:t xml:space="preserve">Agressif - Avancé</x:t>
  </x:si>
  <x:si>
    <x:t xml:space="preserve">FOR +2, CHA +1</x:t>
  </x:si>
  <x:si>
    <x:t xml:space="preserve">FOR / Expert — Attaque frontale, intimidation</x:t>
  </x:si>
  <x:si>
    <x:t xml:space="preserve">Agressif - Expert</x:t>
  </x:si>
  <x:si>
    <x:t xml:space="preserve">FOR / Simple — Violence physique, coups lourds</x:t>
  </x:si>
  <x:si>
    <x:t xml:space="preserve">Féroce - Simple</x:t>
  </x:si>
  <x:si>
    <x:t xml:space="preserve">FOR +1, CON +1</x:t>
  </x:si>
  <x:si>
    <x:t xml:space="preserve">FOR / Avancé — Violence physique, coups lourds</x:t>
  </x:si>
  <x:si>
    <x:t xml:space="preserve">Féroce - Avancé</x:t>
  </x:si>
  <x:si>
    <x:t xml:space="preserve">FOR +2, CON +1</x:t>
  </x:si>
  <x:si>
    <x:t xml:space="preserve">FOR / Expert — Violence physique, coups lourds</x:t>
  </x:si>
  <x:si>
    <x:t xml:space="preserve">Féroce - Expert</x:t>
  </x:si>
  <x:si>
    <x:t xml:space="preserve">FOR / Simple — Charge, repousse, déséquilibre</x:t>
  </x:si>
  <x:si>
    <x:t xml:space="preserve">Bousculeur - Simple</x:t>
  </x:si>
  <x:si>
    <x:t xml:space="preserve">FOR +1, DEX +1</x:t>
  </x:si>
  <x:si>
    <x:t xml:space="preserve">FOR / Avancé — Charge, repousse, déséquilibre</x:t>
  </x:si>
  <x:si>
    <x:t xml:space="preserve">Bousculeur - Avancé</x:t>
  </x:si>
  <x:si>
    <x:t xml:space="preserve">FOR +2, DEX +1</x:t>
  </x:si>
  <x:si>
    <x:t xml:space="preserve">FOR / Expert — Charge, repousse, déséquilibre</x:t>
  </x:si>
  <x:si>
    <x:t xml:space="preserve">Bousculeur - Expert</x:t>
  </x:si>
  <x:si>
    <x:t xml:space="preserve">DEX +1</x:t>
  </x:si>
  <x:si>
    <x:t xml:space="preserve">DEX / Simple — Initiative, réaction, vitesse</x:t>
  </x:si>
  <x:si>
    <x:t xml:space="preserve">Rapide - Simple</x:t>
  </x:si>
  <x:si>
    <x:t xml:space="preserve">DEX +1, SAG +1</x:t>
  </x:si>
  <x:si>
    <x:t xml:space="preserve">DEX / Avancé — Initiative, réaction, vitesse</x:t>
  </x:si>
  <x:si>
    <x:t xml:space="preserve">Rapide - Avancé</x:t>
  </x:si>
  <x:si>
    <x:t xml:space="preserve">DEX +2, SAG +1</x:t>
  </x:si>
  <x:si>
    <x:t xml:space="preserve">DEX / Expert — Initiative, réaction, vitesse</x:t>
  </x:si>
  <x:si>
    <x:t xml:space="preserve">Rapide - Expert</x:t>
  </x:si>
  <x:si>
    <x:t xml:space="preserve">DEX / Simple — Esquive, mobilité, résistance légère</x:t>
  </x:si>
  <x:si>
    <x:t xml:space="preserve">Souple - Simple</x:t>
  </x:si>
  <x:si>
    <x:t xml:space="preserve">DEX +1, CON +1</x:t>
  </x:si>
  <x:si>
    <x:t xml:space="preserve">DEX / Avancé — Esquive, mobilité, résistance légère</x:t>
  </x:si>
  <x:si>
    <x:t xml:space="preserve">Souple - Avancé</x:t>
  </x:si>
  <x:si>
    <x:t xml:space="preserve">DEX +2, CON +1</x:t>
  </x:si>
  <x:si>
    <x:t xml:space="preserve">DEX / Expert — Esquive, mobilité, résistance légère</x:t>
  </x:si>
  <x:si>
    <x:t xml:space="preserve">Souple - Expert</x:t>
  </x:si>
  <x:si>
    <x:t xml:space="preserve">DEX / Simple — Attaque fiable, frappe ciblée</x:t>
  </x:si>
  <x:si>
    <x:t xml:space="preserve">Précis - Simple</x:t>
  </x:si>
  <x:si>
    <x:t xml:space="preserve">DEX +1, INT +1</x:t>
  </x:si>
  <x:si>
    <x:t xml:space="preserve">DEX / Avancé — Attaque fiable, frappe ciblée</x:t>
  </x:si>
  <x:si>
    <x:t xml:space="preserve">Précis - Avancé</x:t>
  </x:si>
  <x:si>
    <x:t xml:space="preserve">DEX +2, INT +1</x:t>
  </x:si>
  <x:si>
    <x:t xml:space="preserve">DEX / Expert — Attaque fiable, frappe ciblée</x:t>
  </x:si>
  <x:si>
    <x:t xml:space="preserve">Précis - Expert</x:t>
  </x:si>
  <x:si>
    <x:t xml:space="preserve">CON +1</x:t>
  </x:si>
  <x:si>
    <x:t xml:space="preserve">CON / Simple — Solide au contact</x:t>
  </x:si>
  <x:si>
    <x:t xml:space="preserve">Résistant - Simple</x:t>
  </x:si>
  <x:si>
    <x:t xml:space="preserve">CON +1, FOR +1</x:t>
  </x:si>
  <x:si>
    <x:t xml:space="preserve">CON / Avancé — Solide au contact</x:t>
  </x:si>
  <x:si>
    <x:t xml:space="preserve">Résistant - Avancé</x:t>
  </x:si>
  <x:si>
    <x:t xml:space="preserve">CON +2, FOR +1</x:t>
  </x:si>
  <x:si>
    <x:t xml:space="preserve">CON / Expert — Solide au contact</x:t>
  </x:si>
  <x:si>
    <x:t xml:space="preserve">Résistant - Expert</x:t>
  </x:si>
  <x:si>
    <x:t xml:space="preserve">CON / Simple — Tient sur la durée</x:t>
  </x:si>
  <x:si>
    <x:t xml:space="preserve">Endurant - Simple</x:t>
  </x:si>
  <x:si>
    <x:t xml:space="preserve">CON +1, SAG +1</x:t>
  </x:si>
  <x:si>
    <x:t xml:space="preserve">CON / Avancé — Tient sur la durée</x:t>
  </x:si>
  <x:si>
    <x:t xml:space="preserve">Endurant - Avancé</x:t>
  </x:si>
  <x:si>
    <x:t xml:space="preserve">CON +2, SAG +1</x:t>
  </x:si>
  <x:si>
    <x:t xml:space="preserve">CON / Expert — Tient sur la durée</x:t>
  </x:si>
  <x:si>
    <x:t xml:space="preserve">Endurant - Expert</x:t>
  </x:si>
  <x:si>
    <x:t xml:space="preserve">CON / Simple — Présence massive, difficile à faire reculer</x:t>
  </x:si>
  <x:si>
    <x:t xml:space="preserve">Stable - Simple</x:t>
  </x:si>
  <x:si>
    <x:t xml:space="preserve">CON +1, CHA +1</x:t>
  </x:si>
  <x:si>
    <x:t xml:space="preserve">CON / Avancé — Présence massive, difficile à faire reculer</x:t>
  </x:si>
  <x:si>
    <x:t xml:space="preserve">Stable - Avancé</x:t>
  </x:si>
  <x:si>
    <x:t xml:space="preserve">CON +2, CHA +1</x:t>
  </x:si>
  <x:si>
    <x:t xml:space="preserve">CON / Expert — Présence massive, difficile à faire reculer</x:t>
  </x:si>
  <x:si>
    <x:t xml:space="preserve">Stable - Expert</x:t>
  </x:si>
  <x:si>
    <x:t xml:space="preserve">INT +1</x:t>
  </x:si>
  <x:si>
    <x:t xml:space="preserve">INT / Simple — Technique, précision, efficacité</x:t>
  </x:si>
  <x:si>
    <x:t xml:space="preserve">Méthodique - Simple</x:t>
  </x:si>
  <x:si>
    <x:t xml:space="preserve">INT +1, DEX +1</x:t>
  </x:si>
  <x:si>
    <x:t xml:space="preserve">INT / Avancé — Technique, précision, efficacité</x:t>
  </x:si>
  <x:si>
    <x:t xml:space="preserve">Méthodique - Avancé</x:t>
  </x:si>
  <x:si>
    <x:t xml:space="preserve">INT +2, DEX +1</x:t>
  </x:si>
  <x:si>
    <x:t xml:space="preserve">INT / Expert — Technique, précision, efficacité</x:t>
  </x:si>
  <x:si>
    <x:t xml:space="preserve">Méthodique - Expert</x:t>
  </x:si>
  <x:si>
    <x:t xml:space="preserve">INT / Simple — Feinte, mensonge, manœuvre</x:t>
  </x:si>
  <x:si>
    <x:t xml:space="preserve">Rusé - Simple</x:t>
  </x:si>
  <x:si>
    <x:t xml:space="preserve">INT +1, CHA +1</x:t>
  </x:si>
  <x:si>
    <x:t xml:space="preserve">INT / Avancé — Feinte, mensonge, manœuvre</x:t>
  </x:si>
  <x:si>
    <x:t xml:space="preserve">Rusé - Avancé</x:t>
  </x:si>
  <x:si>
    <x:t xml:space="preserve">INT +2, CHA +1</x:t>
  </x:si>
  <x:si>
    <x:t xml:space="preserve">INT / Expert — Feinte, mensonge, manœuvre</x:t>
  </x:si>
  <x:si>
    <x:t xml:space="preserve">Rusé - Expert</x:t>
  </x:si>
  <x:si>
    <x:t xml:space="preserve">INT / Simple — Analyse, anticipation, tactique</x:t>
  </x:si>
  <x:si>
    <x:t xml:space="preserve">Calculateur - Simple</x:t>
  </x:si>
  <x:si>
    <x:t xml:space="preserve">INT +1, SAG +1</x:t>
  </x:si>
  <x:si>
    <x:t xml:space="preserve">INT / Avancé — Analyse, anticipation, tactique</x:t>
  </x:si>
  <x:si>
    <x:t xml:space="preserve">Calculateur - Avancé</x:t>
  </x:si>
  <x:si>
    <x:t xml:space="preserve">INT +2, SAG +1</x:t>
  </x:si>
  <x:si>
    <x:t xml:space="preserve">INT / Expert — Analyse, anticipation, tactique</x:t>
  </x:si>
  <x:si>
    <x:t xml:space="preserve">Calculateur - Expert</x:t>
  </x:si>
  <x:si>
    <x:t xml:space="preserve">SAG +1</x:t>
  </x:si>
  <x:si>
    <x:t xml:space="preserve">SAG / Simple — Réaction, perception, initiative</x:t>
  </x:si>
  <x:si>
    <x:t xml:space="preserve">Vigilant - Simple</x:t>
  </x:si>
  <x:si>
    <x:t xml:space="preserve">SAG +1, DEX +1</x:t>
  </x:si>
  <x:si>
    <x:t xml:space="preserve">SAG / Avancé — Réaction, perception, initiative</x:t>
  </x:si>
  <x:si>
    <x:t xml:space="preserve">Vigilant - Avancé</x:t>
  </x:si>
  <x:si>
    <x:t xml:space="preserve">SAG +2, DEX +1</x:t>
  </x:si>
  <x:si>
    <x:t xml:space="preserve">SAG / Expert — Réaction, perception, initiative</x:t>
  </x:si>
  <x:si>
    <x:t xml:space="preserve">Vigilant - Expert</x:t>
  </x:si>
  <x:si>
    <x:t xml:space="preserve">SAG / Simple — Défense, survie, méfiance</x:t>
  </x:si>
  <x:si>
    <x:t xml:space="preserve">Prudent - Simple</x:t>
  </x:si>
  <x:si>
    <x:t xml:space="preserve">SAG +1, CON +1</x:t>
  </x:si>
  <x:si>
    <x:t xml:space="preserve">SAG / Avancé — Défense, survie, méfiance</x:t>
  </x:si>
  <x:si>
    <x:t xml:space="preserve">Prudent - Avancé</x:t>
  </x:si>
  <x:si>
    <x:t xml:space="preserve">SAG +2, CON +1</x:t>
  </x:si>
  <x:si>
    <x:t xml:space="preserve">SAG / Expert — Défense, survie, méfiance</x:t>
  </x:si>
  <x:si>
    <x:t xml:space="preserve">Prudent - Expert</x:t>
  </x:si>
  <x:si>
    <x:t xml:space="preserve">SAG / Simple — Repérage, analyse, lecture du terrain</x:t>
  </x:si>
  <x:si>
    <x:t xml:space="preserve">Observateur - Simple</x:t>
  </x:si>
  <x:si>
    <x:t xml:space="preserve">SAG +1, INT +1</x:t>
  </x:si>
  <x:si>
    <x:t xml:space="preserve">SAG / Avancé — Repérage, analyse, lecture du terrain</x:t>
  </x:si>
  <x:si>
    <x:t xml:space="preserve">Observateur - Avancé</x:t>
  </x:si>
  <x:si>
    <x:t xml:space="preserve">SAG +2, INT +1</x:t>
  </x:si>
  <x:si>
    <x:t xml:space="preserve">SAG / Expert — Repérage, analyse, lecture du terrain</x:t>
  </x:si>
  <x:si>
    <x:t xml:space="preserve">Observateur - Expert</x:t>
  </x:si>
  <x:si>
    <x:t xml:space="preserve">CHA +1</x:t>
  </x:si>
  <x:si>
    <x:t xml:space="preserve">CHA / Simple — Présence menaçante</x:t>
  </x:si>
  <x:si>
    <x:t xml:space="preserve">Marquant - Simple</x:t>
  </x:si>
  <x:si>
    <x:t xml:space="preserve">CHA +1, FOR +1</x:t>
  </x:si>
  <x:si>
    <x:t xml:space="preserve">CHA / Avancé — Présence menaçante</x:t>
  </x:si>
  <x:si>
    <x:t xml:space="preserve">Marquant - Avancé</x:t>
  </x:si>
  <x:si>
    <x:t xml:space="preserve">CHA +2, FOR +1</x:t>
  </x:si>
  <x:si>
    <x:t xml:space="preserve">CHA / Expert — Présence menaçante</x:t>
  </x:si>
  <x:si>
    <x:t xml:space="preserve">Marquant - Expert</x:t>
  </x:si>
  <x:si>
    <x:t xml:space="preserve">CHA / Simple — Aura physique, intimidation passive</x:t>
  </x:si>
  <x:si>
    <x:t xml:space="preserve">Imposant - Simple</x:t>
  </x:si>
  <x:si>
    <x:t xml:space="preserve">CHA +1, CON +1</x:t>
  </x:si>
  <x:si>
    <x:t xml:space="preserve">CHA / Avancé — Aura physique, intimidation passive</x:t>
  </x:si>
  <x:si>
    <x:t xml:space="preserve">Imposant - Avancé</x:t>
  </x:si>
  <x:si>
    <x:t xml:space="preserve">CHA +2, CON +1</x:t>
  </x:si>
  <x:si>
    <x:t xml:space="preserve">CHA / Expert — Aura physique, intimidation passive</x:t>
  </x:si>
  <x:si>
    <x:t xml:space="preserve">Imposant - Expert</x:t>
  </x:si>
  <x:si>
    <x:t xml:space="preserve">CHA / Simple — Harcèlement, défi, diversion</x:t>
  </x:si>
  <x:si>
    <x:t xml:space="preserve">Provocateur - Simple</x:t>
  </x:si>
  <x:si>
    <x:t xml:space="preserve">CHA +1, DEX +1</x:t>
  </x:si>
  <x:si>
    <x:t xml:space="preserve">CHA / Avancé — Harcèlement, défi, diversion</x:t>
  </x:si>
  <x:si>
    <x:t xml:space="preserve">Provocateur - Avancé</x:t>
  </x:si>
  <x:si>
    <x:t xml:space="preserve">CHA +2, DEX +1</x:t>
  </x:si>
  <x:si>
    <x:t xml:space="preserve">CHA / Expert — Harcèlement, défi, diversion</x:t>
  </x:si>
  <x:si>
    <x:t xml:space="preserve">Provocateur - Expert</x:t>
  </x:si>
  <x:si>
    <x:t xml:space="preserve">Value</x:t>
  </x:si>
  <x:si>
    <x:t xml:space="preserve">DM_mult</x:t>
  </x:si>
  <x:si>
    <x:t xml:space="preserve">Danger_bonus</x:t>
  </x:si>
  <x:si>
    <x:t xml:space="preserve">RD_bonus</x:t>
  </x:si>
  <x:si>
    <x:t xml:space="preserve">standard</x:t>
  </x:si>
  <x:si>
    <x:t xml:space="preserve">Référence</x:t>
  </x:si>
  <x:si>
    <x:t xml:space="preserve">Sbire</x:t>
  </x:si>
  <x:si>
    <x:t xml:space="preserve">minion</x:t>
  </x:si>
  <x:si>
    <x:t xml:space="preserve">Créature faible en groupe</x:t>
  </x:si>
  <x:si>
    <x:t xml:space="preserve">Élite</x:t>
  </x:si>
  <x:si>
    <x:t xml:space="preserve">elite</x:t>
  </x:si>
  <x:si>
    <x:t xml:space="preserve">Plus solide et fiable</x:t>
  </x:si>
  <x:si>
    <x:t xml:space="preserve">Boss</x:t>
  </x:si>
  <x:si>
    <x:t xml:space="preserve">boss</x:t>
  </x:si>
  <x:si>
    <x:t xml:space="preserve">Monstre de scène / danger élevé</x:t>
  </x:si>
  <x:si>
    <x:t xml:space="preserve">value</x:t>
  </x:si>
  <x:si>
    <x:t xml:space="preserve">label</x:t>
  </x:si>
  <x:si>
    <x:t xml:space="preserve">Minuscule</x:t>
  </x:si>
  <x:si>
    <x:t xml:space="preserve">tiny</x:t>
  </x:si>
  <x:si>
    <x:t xml:space="preserve">Petit</x:t>
  </x:si>
  <x:si>
    <x:t xml:space="preserve">small</x:t>
  </x:si>
  <x:si>
    <x:t xml:space="preserve">medium</x:t>
  </x:si>
  <x:si>
    <x:t xml:space="preserve">Grand</x:t>
  </x:si>
  <x:si>
    <x:t xml:space="preserve">large</x:t>
  </x:si>
  <x:si>
    <x:t xml:space="preserve">Très grand</x:t>
  </x:si>
  <x:si>
    <x:t xml:space="preserve">huge</x:t>
  </x:si>
  <x:si>
    <x:t xml:space="preserve">Gigantesque</x:t>
  </x:si>
  <x:si>
    <x:t xml:space="preserve">gargantuan</x:t>
  </x:si>
  <x:si>
    <x:t xml:space="preserve">Ce que ça fait vraiment</x:t>
  </x:si>
  <x:si>
    <x:t xml:space="preserve">Roll20 commande</x:t>
  </x:si>
  <x:si>
    <x:t xml:space="preserve">Attaque - Bonus toucher</x:t>
  </x:si>
  <x:si>
    <x:t xml:space="preserve">Dégâts</x:t>
  </x:si>
  <x:si>
    <x:t xml:space="preserve">Général</x:t>
  </x:si>
  <x:si>
    <x:t xml:space="preserve">Le PNJ fait son attaque équipée actuelle contre une cible avec +3 au jet d’attaque. Les dégâts restent ceux de l’attaque équipée. Recharge : 2 tours.</x:t>
  </x:si>
  <x:si>
    <x:t xml:space="preserve">Actif - Attaque</x:t>
  </x:si>
  <x:si>
    <x:t xml:space="preserve">Attaque précise, ouverture, coup calculé.</x:t>
  </x:si>
  <x:si>
    <x:t xml:space="preserve">#Attaque -1 --bonusAttaque 3 --tempsRecharge rechargeGen(attBonusToucher) 2</x:t>
  </x:si>
  <x:si>
    <x:t xml:space="preserve">Attaque - Bonus dégâts</x:t>
  </x:si>
  <x:si>
    <x:t xml:space="preserve">Le PNJ fait son attaque équipée actuelle. Si l’attaque touche, elle inflige les dégâts normaux de l’arme ou attaque naturelle, plus 1d6 dégâts supplémentaires. Recharge : 2 tours.</x:t>
  </x:si>
  <x:si>
    <x:t xml:space="preserve">Coup appuyé, frappe lourde, attaque brutale.</x:t>
  </x:si>
  <x:si>
    <x:t xml:space="preserve">#Attaque -1 --plus 1d6 --tempsRecharge rechargeGen(attBonusDegats) 2</x:t>
  </x:si>
  <x:si>
    <x:t xml:space="preserve">Attaque - Risque pour dégâts</x:t>
  </x:si>
  <x:si>
    <x:t xml:space="preserve">Le PNJ fait son attaque équipée actuelle avec -2 au toucher. Si l’attaque touche, elle inflige les dégâts normaux plus 2d6 dégâts supplémentaires. Recharge : 4 tours.</x:t>
  </x:si>
  <x:si>
    <x:t xml:space="preserve">Coup très puissant mais moins précis.</x:t>
  </x:si>
  <x:si>
    <x:t xml:space="preserve">#Attaque -1 --bonusAttaque -2 --plus 2d6 --tempsRecharge rechargeGen(attRisqueDegats) 4</x:t>
  </x:si>
  <x:si>
    <x:t xml:space="preserve">Attaque - Charge offensive</x:t>
  </x:si>
  <x:si>
    <x:t xml:space="preserve">Mobilité</x:t>
  </x:si>
  <x:si>
    <x:t xml:space="preserve">Le PNJ se déplace de 5 à 20 m avant de frapper. Il fait son attaque équipée avec +2 au toucher et +1d6 dégâts. Recharge : 3 tours.</x:t>
  </x:si>
  <x:si>
    <x:t xml:space="preserve">Charge agressive pour engager ou finir une cible.</x:t>
  </x:si>
  <x:si>
    <x:t xml:space="preserve">#Attaque -1 --deplaceDe 5 20 --bonusAttaque 2 --plus 1d6 --tempsRecharge rechargeGen(attChargeOffensive) 3</x:t>
  </x:si>
  <x:si>
    <x:t xml:space="preserve">Attaque - Charge + renversement</x:t>
  </x:si>
  <x:si>
    <x:t xml:space="preserve">Mobilité / contrôle</x:t>
  </x:si>
  <x:si>
    <x:t xml:space="preserve">Le PNJ se déplace de 5 à 20 m puis fait son attaque équipée. Si l’attaque touche, la cible fait un jet de FOR difficulté 13 : en cas d’échec, elle tombe renversée. Recharge : 4 tours.</x:t>
  </x:si>
  <x:si>
    <x:t xml:space="preserve">Charge qui casse une ligne défensive.</x:t>
  </x:si>
  <x:si>
    <x:t xml:space="preserve">#Attaque -1 --deplaceDe 5 20 --etat renverse --save FOR 13 --tempsRecharge rechargeGen(attChargeRenversement) 4</x:t>
  </x:si>
  <x:si>
    <x:t xml:space="preserve">Attaque - Renversement</x:t>
  </x:si>
  <x:si>
    <x:t xml:space="preserve">Contrôle</x:t>
  </x:si>
  <x:si>
    <x:t xml:space="preserve">Le PNJ fait son attaque équipée actuelle. Si elle touche, la cible subit les dégâts normaux puis fait un jet de FOR difficulté 13 : en cas d’échec, elle tombe renversée. Recharge : 3 tours.</x:t>
  </x:si>
  <x:si>
    <x:t xml:space="preserve">Balayage, croche-patte, coup d’épaule ou impact.</x:t>
  </x:si>
  <x:si>
    <x:t xml:space="preserve">#Attaque -1 --etat renverse --save FOR 13 --tempsRecharge rechargeGen(attRenversement) 3</x:t>
  </x:si>
  <x:si>
    <x:t xml:space="preserve">Attaque - Ralentissement</x:t>
  </x:si>
  <x:si>
    <x:t xml:space="preserve">Le PNJ fait son attaque équipée actuelle. Si elle touche, la cible subit les dégâts normaux puis fait un jet de CON difficulté 13 : en cas d’échec, elle devient ralentie. Recharge : 3 tours.</x:t>
  </x:si>
  <x:si>
    <x:t xml:space="preserve">Coup qui gêne les jambes ou casse le rythme.</x:t>
  </x:si>
  <x:si>
    <x:t xml:space="preserve">#Attaque -1 --etat ralenti --save CON 13 --tempsRecharge rechargeGen(attRalentissement) 3</x:t>
  </x:si>
  <x:si>
    <x:t xml:space="preserve">Attaque - Immobilisation</x:t>
  </x:si>
  <x:si>
    <x:t xml:space="preserve">Le PNJ fait son attaque équipée actuelle. Si elle touche, la cible subit les dégâts normaux puis fait un jet de DEX difficulté 13 : en cas d’échec, elle devient immobilisée. Recharge : 4 tours.</x:t>
  </x:si>
  <x:si>
    <x:t xml:space="preserve">Entrave, crochet, prise de jambe, arme coincée.</x:t>
  </x:si>
  <x:si>
    <x:t xml:space="preserve">#Attaque -1 --etat immobilise --save DEX 13 --tempsRecharge rechargeGen(attImmobilisation) 4</x:t>
  </x:si>
  <x:si>
    <x:t xml:space="preserve">Attaque - Affaiblissement</x:t>
  </x:si>
  <x:si>
    <x:t xml:space="preserve">Debuff</x:t>
  </x:si>
  <x:si>
    <x:t xml:space="preserve">Le PNJ fait son attaque équipée actuelle. Si elle touche, la cible subit les dégâts normaux puis fait un jet de CON difficulté 13 : en cas d’échec, elle devient affaiblie. Recharge : 4 tours.</x:t>
  </x:si>
  <x:si>
    <x:t xml:space="preserve">Coup handicapant, blessure profonde, choc physique.</x:t>
  </x:si>
  <x:si>
    <x:t xml:space="preserve">#Attaque -1 --etat affaibli --save CON 13 --tempsRecharge rechargeGen(attAffaiblissement) 4</x:t>
  </x:si>
  <x:si>
    <x:t xml:space="preserve">Attaque - Étourdissement</x:t>
  </x:si>
  <x:si>
    <x:t xml:space="preserve">Contrôle fort</x:t>
  </x:si>
  <x:si>
    <x:t xml:space="preserve">Le PNJ fait son attaque équipée actuelle. Si elle touche, la cible subit les dégâts normaux puis fait un jet de CON difficulté 14 : en cas d’échec, elle devient étourdie. Recharge : 5 tours.</x:t>
  </x:si>
  <x:si>
    <x:t xml:space="preserve">Coup au crâne, au plexus, impact violent.</x:t>
  </x:si>
  <x:si>
    <x:t xml:space="preserve">#Attaque -1 --etat etourdi --save CON 14 --tempsRecharge rechargeGen(attEtourdissement) 5</x:t>
  </x:si>
  <x:si>
    <x:t xml:space="preserve">Attaque - Peur</x:t>
  </x:si>
  <x:si>
    <x:t xml:space="preserve">Moral</x:t>
  </x:si>
  <x:si>
    <x:t xml:space="preserve">Le PNJ fait son attaque équipée actuelle. Si l’effet s’applique, la cible doit résister à une peur difficulté 13 pendant 2 tours. Recharge : 4 tours.</x:t>
  </x:si>
  <x:si>
    <x:t xml:space="preserve">Frappe intimidante, menace brutale, rugissement au contact.</x:t>
  </x:si>
  <x:si>
    <x:t xml:space="preserve">#Attaque -1 --peur 13 2 --tempsRecharge rechargeGen(attPeur) 4</x:t>
  </x:si>
  <x:si>
    <x:t xml:space="preserve">Attaque - Drain</x:t>
  </x:si>
  <x:si>
    <x:t xml:space="preserve">Soin offensif</x:t>
  </x:si>
  <x:si>
    <x:t xml:space="preserve">Le PNJ fait son attaque équipée actuelle. Si l’attaque inflige des dégâts, le PNJ récupère 50% des dégâts infligés en PV. Recharge : 5 tours.</x:t>
  </x:si>
  <x:si>
    <x:t xml:space="preserve">Vol de vitalité, morsure nourricière, absorption.</x:t>
  </x:si>
  <x:si>
    <x:t xml:space="preserve">#Attaque -1 --vampirise 50 --tempsRecharge rechargeGen(attDrain) 5</x:t>
  </x:si>
  <x:si>
    <x:t xml:space="preserve">Attaque - Agrippement</x:t>
  </x:si>
  <x:si>
    <x:t xml:space="preserve">Le PNJ fait son attaque équipée actuelle. Si l’attaque touche au contact, elle peut agripper la cible. L’effet sert à maintenir la cible proche ou l’empêcher de se replacer librement. Recharge : 4 tours.</x:t>
  </x:si>
  <x:si>
    <x:t xml:space="preserve">Saisie, morsure maintenue, crochet, tentacule simple.</x:t>
  </x:si>
  <x:si>
    <x:t xml:space="preserve">#Attaque -1 --peutAgripper --tempsRecharge rechargeGen(attAgrippement) 4</x:t>
  </x:si>
  <x:si>
    <x:t xml:space="preserve">Attaque - Étreinte</x:t>
  </x:si>
  <x:si>
    <x:t xml:space="preserve">Le PNJ fait son attaque équipée actuelle. Si l’attaque touche, le script propose une étreinte difficulté 14. Une cible étreinte est maintenue par la créature et doit se libérer pour retrouver sa mobilité. Recharge : 5 tours.</x:t>
  </x:si>
  <x:si>
    <x:t xml:space="preserve">Constriction, pince, tentacule, bras massif.</x:t>
  </x:si>
  <x:si>
    <x:t xml:space="preserve">#Attaque -1 --etreinte 14 --tempsRecharge rechargeGen(attEtreinte) 5</x:t>
  </x:si>
  <x:si>
    <x:t xml:space="preserve">Multicible - Deux cibles</x:t>
  </x:si>
  <x:si>
    <x:t xml:space="preserve">Multicible</x:t>
  </x:si>
  <x:si>
    <x:t xml:space="preserve">Le PNJ fait son attaque équipée actuelle contre une cible principale et une deuxième cible choisie. L’attaque se fait avec -2 au toucher. Recharge : 4 tours.</x:t>
  </x:si>
  <x:si>
    <x:t xml:space="preserve">Actif - Multicible</x:t>
  </x:si>
  <x:si>
    <x:t xml:space="preserve">Frappe large ou enchaînement rapide.</x:t>
  </x:si>
  <x:si>
    <x:t xml:space="preserve">#Attaque -1 --target @{target|Cible 2|token_id} --bonusAttaque -2 --tempsRecharge rechargeGen(multiDeuxCibles) 4</x:t>
  </x:si>
  <x:si>
    <x:t xml:space="preserve">Multicible - Trois cibles</x:t>
  </x:si>
  <x:si>
    <x:t xml:space="preserve">Le PNJ fait son attaque équipée actuelle contre trois cibles au total. L’attaque se fait avec -3 au toucher. Recharge : 6 tours.</x:t>
  </x:si>
  <x:si>
    <x:t xml:space="preserve">Déluge de coups, membres multiples, attaque dispersée.</x:t>
  </x:si>
  <x:si>
    <x:t xml:space="preserve">#Attaque -1 --target @{target|Cible 2|token_id} --target @{target|Cible 3|token_id} --bonusAttaque -3 --tempsRecharge rechargeGen(multiTroisCibles) 6</x:t>
  </x:si>
  <x:si>
    <x:t xml:space="preserve">Ligne - Attaque équipée</x:t>
  </x:si>
  <x:si>
    <x:t xml:space="preserve">AOE ligne</x:t>
  </x:si>
  <x:si>
    <x:t xml:space="preserve">Le PNJ utilise son attaque équipée actuelle sur une ligne jusqu’à 10 m. Toutes les cibles valides sur la ligne peuvent être affectées selon le ciblage du script. Recharge : 4 tours.</x:t>
  </x:si>
  <x:si>
    <x:t xml:space="preserve">Actif - Ligne</x:t>
  </x:si>
  <x:si>
    <x:t xml:space="preserve">Percée, charge traversante, frappe d’allonge.</x:t>
  </x:si>
  <x:si>
    <x:t xml:space="preserve">!cof-attack-line @{selected|token_id} -1 --distanceMax 10 --tempsRecharge rechargeGen(ligneAttaqueEquipee) 4</x:t>
  </x:si>
  <x:si>
    <x:t xml:space="preserve">Zone - Attaque équipée</x:t>
  </x:si>
  <x:si>
    <x:t xml:space="preserve">AOE proche</x:t>
  </x:si>
  <x:si>
    <x:t xml:space="preserve">Le PNJ utilise son attaque équipée actuelle dans un disque de 5 m autour de la zone ciblée. Les alliés sont exclus avec --saufAllies. Recharge : 5 tours.</x:t>
  </x:si>
  <x:si>
    <x:t xml:space="preserve">Actif - Zone</x:t>
  </x:si>
  <x:si>
    <x:t xml:space="preserve">Balayage, attaque tournoyante, attaque de masse.</x:t>
  </x:si>
  <x:si>
    <x:t xml:space="preserve">!cof-explosion -1 --auto --disque 5 --saufAllies --tempsRecharge rechargeGen(zoneAttaqueEquipee) 5 zoneAttaqueEquipee</x:t>
  </x:si>
  <x:si>
    <x:t xml:space="preserve">Zone - Terrain difficile</x:t>
  </x:si>
  <x:si>
    <x:t xml:space="preserve">Terrain</x:t>
  </x:si>
  <x:si>
    <x:t xml:space="preserve">Le PNJ crée une zone en disque de 6 m qui ne fait pas de dégâts. La zone devient un terrain difficile pendant 3 tours, ce qui gêne les déplacements. Recharge : 5 tours.</x:t>
  </x:si>
  <x:si>
    <x:t xml:space="preserve">Boue, gravats, racines, foule, débris, vase.</x:t>
  </x:si>
  <x:si>
    <x:t xml:space="preserve">!cof-explosion -1 --auto --pasDeDmg --disque 6 --terrainDifficile 3 Terrain_difficile --tempsRecharge rechargeGen(zoneTerrainDifficile) 5 zoneTerrainDifficile</x:t>
  </x:si>
  <x:si>
    <x:t xml:space="preserve">Soin - Personnel</x:t>
  </x:si>
  <x:si>
    <x:t xml:space="preserve">Soin</x:t>
  </x:si>
  <x:si>
    <x:t xml:space="preserve">Le PNJ récupère 1d6 PV. Cette capacité ne cible que le lanceur ou les tokens sélectionnés selon l’usage de !cof-soin. Recharge : 5 tours.</x:t>
  </x:si>
  <x:si>
    <x:t xml:space="preserve">Actif - Soin</x:t>
  </x:si>
  <x:si>
    <x:t xml:space="preserve">Reprise de souffle, régénération mineure, résistance.</x:t>
  </x:si>
  <x:si>
    <x:t xml:space="preserve">!cof-soin 1d6 --tempsRecharge rechargeGen(soinPersonnel) 5</x:t>
  </x:si>
  <x:si>
    <x:t xml:space="preserve">Boost - Alliés proches</x:t>
  </x:si>
  <x:si>
    <x:t xml:space="preserve">Support</x:t>
  </x:si>
  <x:si>
    <x:t xml:space="preserve">Humanoïde</x:t>
  </x:si>
  <x:si>
    <x:t xml:space="preserve">Le PNJ applique un effet de soutien de type benediction pendant 3 tours aux alliés proches dans un rayon de 10 m, lui-même inclus. Recharge : 5 tours.</x:t>
  </x:si>
  <x:si>
    <x:t xml:space="preserve">Actif - Boost</x:t>
  </x:si>
  <x:si>
    <x:t xml:space="preserve">Ordre tactique, cri de commandement, coordination.</x:t>
  </x:si>
  <x:si>
    <x:t xml:space="preserve">!cof-effet-temp benediction 3 --allies 10 --self --tempsRecharge rechargeGen(humBoostAllies) 5</x:t>
  </x:si>
  <x:si>
    <x:t xml:space="preserve">Contrôle - Désarmer</x:t>
  </x:si>
  <x:si>
    <x:t xml:space="preserve">Le PNJ tente une manœuvre de désarmement contre la cible. L’effet ne sert pas à infliger des dégâts, mais à retirer ou gêner l’arme adverse. Recharge : 4 tours.</x:t>
  </x:si>
  <x:si>
    <x:t xml:space="preserve">Actif - Manœuvre</x:t>
  </x:si>
  <x:si>
    <x:t xml:space="preserve">Coup sur l’arme, crochet, technique martiale.</x:t>
  </x:si>
  <x:si>
    <x:t xml:space="preserve">!cof-manoeuvre @{selected|token_id} @{target|token_id} desarmer --tempsRecharge rechargeGen(humDesarmer) 4</x:t>
  </x:si>
  <x:si>
    <x:t xml:space="preserve">Contrôle - Faire diversion</x:t>
  </x:si>
  <x:si>
    <x:t xml:space="preserve">Le PNJ tente une manœuvre de diversion contre la cible. L’objectif est de créer une ouverture tactique pour lui-même ou ses alliés. Recharge : 3 tours.</x:t>
  </x:si>
  <x:si>
    <x:t xml:space="preserve">Feinte, provocation, distraction.</x:t>
  </x:si>
  <x:si>
    <x:t xml:space="preserve">!cof-manoeuvre @{selected|token_id} @{target|token_id} faireDiversion --tempsRecharge rechargeGen(humDiversion) 3</x:t>
  </x:si>
  <x:si>
    <x:t xml:space="preserve">Attaque - Tenaille</x:t>
  </x:si>
  <x:si>
    <x:t xml:space="preserve">Le PNJ fait son attaque équipée actuelle contre une cible principale et une seconde cible. L’attaque bénéficie de +1 au toucher, représentant une coordination ou une prise en tenaille. Recharge : 4 tours.</x:t>
  </x:si>
  <x:si>
    <x:t xml:space="preserve">Attaque coordonnée entre combattants.</x:t>
  </x:si>
  <x:si>
    <x:t xml:space="preserve">#Attaque -1 --target @{target|Cible 2|token_id} --bonusAttaque 1 --tempsRecharge rechargeGen(humTenaille) 4</x:t>
  </x:si>
  <x:si>
    <x:t xml:space="preserve">Défense - Couvert</x:t>
  </x:si>
  <x:si>
    <x:t xml:space="preserve">Le PNJ utilise une action défensive pour se protéger avec le décor, un bouclier, un obstacle ou une position avantageuse. Recharge : 3 tours.</x:t>
  </x:si>
  <x:si>
    <x:t xml:space="preserve">Actif - Défense</x:t>
  </x:si>
  <x:si>
    <x:t xml:space="preserve">Se met à couvert ou exploite le terrain.</x:t>
  </x:si>
  <x:si>
    <x:t xml:space="preserve">!cof-a-couvert @{selected|token_id} @{target|token_id} --tempsRecharge rechargeGen(humCouvert) 3</x:t>
  </x:si>
  <x:si>
    <x:t xml:space="preserve">Attaque - Drain vivant</x:t>
  </x:si>
  <x:si>
    <x:t xml:space="preserve">Mort-vivant</x:t>
  </x:si>
  <x:si>
    <x:t xml:space="preserve">Le PNJ fait son attaque équipée actuelle contre une cible vivante uniquement. Si l’attaque inflige des dégâts, le PNJ récupère 50% des dégâts infligés en PV. Recharge : 4 tours.</x:t>
  </x:si>
  <x:si>
    <x:t xml:space="preserve">Morsure vampirique, contact nécrotique, absorption.</x:t>
  </x:si>
  <x:si>
    <x:t xml:space="preserve">#Attaque -1 --vampirise 50 --seulementVivant --tempsRecharge rechargeGen(mvDrainVivant) 4</x:t>
  </x:si>
  <x:si>
    <x:t xml:space="preserve">Attaque - Ralentissement vivant</x:t>
  </x:si>
  <x:si>
    <x:t xml:space="preserve">Le PNJ fait son attaque équipée actuelle contre une cible vivante. Si l’attaque touche, la cible fait un jet de CON difficulté 13 : en cas d’échec, elle devient ralentie. Recharge : 3 tours.</x:t>
  </x:si>
  <x:si>
    <x:t xml:space="preserve">Froid de la tombe, raideur mortuaire.</x:t>
  </x:si>
  <x:si>
    <x:t xml:space="preserve">#Attaque -1 --seulementVivant --etat ralenti --save CON 13 --tempsRecharge rechargeGen(mvRalentissement) 3</x:t>
  </x:si>
  <x:si>
    <x:t xml:space="preserve">Zone - Peur proche</x:t>
  </x:si>
  <x:si>
    <x:t xml:space="preserve">Moral / AOE</x:t>
  </x:si>
  <x:si>
    <x:t xml:space="preserve">Le PNJ déclenche une peur de zone dans un disque de 8 m. Les alliés sont exclus. Les cibles affectées subissent une peur difficulté 13 pendant 2 tours. Recharge : 6 tours.</x:t>
  </x:si>
  <x:si>
    <x:t xml:space="preserve">Présence morbide, aura terrifiante.</x:t>
  </x:si>
  <x:si>
    <x:t xml:space="preserve">!cof-peur 13 2 --titre Peur proche --disque 8 --saufAllies --tempsRecharge rechargeGen(mvPeurProche) 6</x:t>
  </x:si>
  <x:si>
    <x:t xml:space="preserve">Zone - Terrain de mort</x:t>
  </x:si>
  <x:si>
    <x:t xml:space="preserve">Le PNJ crée une zone en disque de 6 m sans dégâts. La zone devient un terrain difficile pendant 3 tours, représentant tombes, ossements, brume ou énergie morbide. Recharge : 5 tours.</x:t>
  </x:si>
  <x:si>
    <x:t xml:space="preserve">Zone morbide gênante.</x:t>
  </x:si>
  <x:si>
    <x:t xml:space="preserve">!cof-explosion -1 --auto --pasDeDmg --disque 6 --terrainDifficile 3 Terrain_de_mort --tempsRecharge rechargeGen(mvTerrainMort) 5 terrainMort</x:t>
  </x:si>
  <x:si>
    <x:t xml:space="preserve">Soin - Corps tenace</x:t>
  </x:si>
  <x:si>
    <x:t xml:space="preserve">Le PNJ récupère 1d6 PV. Cela représente un corps qui se recompose, qui ignore la douleur ou qui continue d’avancer malgré les blessures. Recharge : 5 tours.</x:t>
  </x:si>
  <x:si>
    <x:t xml:space="preserve">Résilience morte-vivante.</x:t>
  </x:si>
  <x:si>
    <x:t xml:space="preserve">!cof-soin 1d6 --tempsRecharge rechargeGen(mvCorpsTenace) 5</x:t>
  </x:si>
  <x:si>
    <x:t xml:space="preserve">Attaque - Bond</x:t>
  </x:si>
  <x:si>
    <x:t xml:space="preserve">Bête</x:t>
  </x:si>
  <x:si>
    <x:t xml:space="preserve">Le PNJ se déplace de 5 à 30 m en saut puis fait son attaque équipée actuelle avec +2 au toucher. Recharge : 3 tours.</x:t>
  </x:si>
  <x:si>
    <x:t xml:space="preserve">Bond de prédateur, saut sur une proie.</x:t>
  </x:si>
  <x:si>
    <x:t xml:space="preserve">#Attaque -1 --deplaceDe 5 30 saut --bonusAttaque 2 --tempsRecharge rechargeGen(beteBond) 3</x:t>
  </x:si>
  <x:si>
    <x:t xml:space="preserve">Attaque - Agrippement par morsure</x:t>
  </x:si>
  <x:si>
    <x:t xml:space="preserve">Le PNJ fait son attaque équipée actuelle. Si l’attaque touche, la bête peut agripper la cible avec ses crocs, griffes ou mâchoires. Recharge : 4 tours.</x:t>
  </x:si>
  <x:si>
    <x:t xml:space="preserve">Mord et maintient la proie.</x:t>
  </x:si>
  <x:si>
    <x:t xml:space="preserve">#Attaque -1 --peutAgripper --tempsRecharge rechargeGen(beteAgripper) 4</x:t>
  </x:si>
  <x:si>
    <x:t xml:space="preserve">Attaque - Dévorer</x:t>
  </x:si>
  <x:si>
    <x:t xml:space="preserve">Le PNJ fait son attaque équipée actuelle. Si l’attaque touche, l’effet devorer est appliqué : la cible est saisie comme une proie, avec les effets spécifiques gérés par le script. Recharge : 5 tours.</x:t>
  </x:si>
  <x:si>
    <x:t xml:space="preserve">Grande gueule, prédateur, morsure de capture.</x:t>
  </x:si>
  <x:si>
    <x:t xml:space="preserve">#Attaque -1 --devorer --tempsRecharge rechargeGen(beteDevorer) 5</x:t>
  </x:si>
  <x:si>
    <x:t xml:space="preserve">Multicible - Griffes multiples</x:t>
  </x:si>
  <x:si>
    <x:t xml:space="preserve">Le PNJ fait son attaque équipée actuelle contre une cible principale et une deuxième cible. Si l’attaque touche, elle ajoute +1d6 dégâts. Recharge : 4 tours.</x:t>
  </x:si>
  <x:si>
    <x:t xml:space="preserve">Griffes, crocs, pattes ou attaques rapides.</x:t>
  </x:si>
  <x:si>
    <x:t xml:space="preserve">#Attaque -1 --target @{target|Cible 2|token_id} --plus 1d6 --tempsRecharge rechargeGen(beteGriffesMultiples) 4</x:t>
  </x:si>
  <x:si>
    <x:t xml:space="preserve">Zone - Balayage naturel</x:t>
  </x:si>
  <x:si>
    <x:t xml:space="preserve">AOE</x:t>
  </x:si>
  <x:si>
    <x:t xml:space="preserve">Le PNJ utilise son attaque équipée actuelle dans un disque de 5 m autour de lui ou de la zone ciblée. Les alliés sont exclus. Recharge : 4 tours.</x:t>
  </x:si>
  <x:si>
    <x:t xml:space="preserve">Queue, pattes, cornes ou corps massif.</x:t>
  </x:si>
  <x:si>
    <x:t xml:space="preserve">!cof-explosion -1 --auto --disque 5 --saufAllies --tempsRecharge rechargeGen(beteBalayage) 4 beteBalayage</x:t>
  </x:si>
  <x:si>
    <x:t xml:space="preserve">Zone - Grouillement</x:t>
  </x:si>
  <x:si>
    <x:t xml:space="preserve">Vermine</x:t>
  </x:si>
  <x:si>
    <x:t xml:space="preserve">Le PNJ crée une zone en disque de 6 m sans dégâts. Cette zone devient un terrain difficile pendant 3 tours, représentant un grouillement qui gêne les déplacements. Recharge : 5 tours.</x:t>
  </x:si>
  <x:si>
    <x:t xml:space="preserve">Insectes, rats, araignées, parasites.</x:t>
  </x:si>
  <x:si>
    <x:t xml:space="preserve">!cof-explosion -1 --auto --pasDeDmg --disque 6 --terrainDifficile 3 Grouillement --tempsRecharge rechargeGen(verGrouillement) 5 grouillement</x:t>
  </x:si>
  <x:si>
    <x:t xml:space="preserve">Multicible - Piqûres dispersées</x:t>
  </x:si>
  <x:si>
    <x:t xml:space="preserve">Le PNJ fait son attaque équipée actuelle contre trois cibles au total. L’attaque subit -3 au toucher, mais permet de harceler plusieurs ennemis. Recharge : 5 tours.</x:t>
  </x:si>
  <x:si>
    <x:t xml:space="preserve">Morsures, piqûres, petites attaques multiples.</x:t>
  </x:si>
  <x:si>
    <x:t xml:space="preserve">#Attaque -1 --target @{target|Cible 2|token_id} --target @{target|Cible 3|token_id} --bonusAttaque -3 --tempsRecharge rechargeGen(verPiqures) 5</x:t>
  </x:si>
  <x:si>
    <x:t xml:space="preserve">Contrôle - Immobiliser les jambes</x:t>
  </x:si>
  <x:si>
    <x:t xml:space="preserve">Le PNJ effectue une action sans dégâts. La cible fait un jet de DEX difficulté 13 : en cas d’échec, elle devient immobilisée. Recharge : 4 tours.</x:t>
  </x:si>
  <x:si>
    <x:t xml:space="preserve">Actif - Contrôle</x:t>
  </x:si>
  <x:si>
    <x:t xml:space="preserve">Nuée dans les jambes, toile, morsures gênantes.</x:t>
  </x:si>
  <x:si>
    <x:t xml:space="preserve">#Attaque -1 --pasDeDmg --etat immobilise --save DEX 13 --tempsRecharge rechargeGen(verImmobiliser) 4</x:t>
  </x:si>
  <x:si>
    <x:t xml:space="preserve">Attaque - Agrippement mandibules</x:t>
  </x:si>
  <x:si>
    <x:t xml:space="preserve">Le PNJ fait son attaque équipée actuelle. Si elle touche, il peut agripper la cible avec mandibules, pattes ou pinces. Recharge : 4 tours.</x:t>
  </x:si>
  <x:si>
    <x:t xml:space="preserve">Mandibules verrouillées ou pinces.</x:t>
  </x:si>
  <x:si>
    <x:t xml:space="preserve">#Attaque -1 --peutAgripper --tempsRecharge rechargeGen(verMandibules) 4</x:t>
  </x:si>
  <x:si>
    <x:t xml:space="preserve">Zone - Peur rampante</x:t>
  </x:si>
  <x:si>
    <x:t xml:space="preserve">Le PNJ déclenche une peur dans un disque de 6 m, sauf alliés. Les cibles affectées subissent une peur difficulté 12 pendant 2 tours. Recharge : 5 tours.</x:t>
  </x:si>
  <x:si>
    <x:t xml:space="preserve">Répulsion, panique, invasion grouillante.</x:t>
  </x:si>
  <x:si>
    <x:t xml:space="preserve">!cof-peur 12 2 --titre Peur rampante --disque 6 --saufAllies --tempsRecharge rechargeGen(verPeurRampante) 5</x:t>
  </x:si>
  <x:si>
    <x:t xml:space="preserve">Attaque - Traction</x:t>
  </x:si>
  <x:si>
    <x:t xml:space="preserve">Aquatique</x:t>
  </x:si>
  <x:si>
    <x:t xml:space="preserve">Le PNJ fait son attaque équipée actuelle. Si elle touche, la cible fait un jet de FOR difficulté 13 : en cas d’échec, elle devient immobilisée, comme tirée ou maintenue. Recharge : 4 tours.</x:t>
  </x:si>
  <x:si>
    <x:t xml:space="preserve">Tire vers l’eau, vers le fond ou vers la gueule.</x:t>
  </x:si>
  <x:si>
    <x:t xml:space="preserve">#Attaque -1 --etat immobilise --save FOR 13 --tempsRecharge rechargeGen(aquaTraction) 4</x:t>
  </x:si>
  <x:si>
    <x:t xml:space="preserve">Attaque - Suffocation</x:t>
  </x:si>
  <x:si>
    <x:t xml:space="preserve">Contrôle durée</x:t>
  </x:si>
  <x:si>
    <x:t xml:space="preserve">Le PNJ fait son attaque équipée actuelle. Si l’effet passe, la cible subit l’effet asphyxie pendant 2 tours. Recharge : 5 tours.</x:t>
  </x:si>
  <x:si>
    <x:t xml:space="preserve">Noyade, prise à la gorge, pression aquatique.</x:t>
  </x:si>
  <x:si>
    <x:t xml:space="preserve">#Attaque -1 --effet asphyxie 2 --tempsRecharge rechargeGen(aquaSuffocation) 5</x:t>
  </x:si>
  <x:si>
    <x:t xml:space="preserve">Zone - Recul</x:t>
  </x:si>
  <x:si>
    <x:t xml:space="preserve">AOE contrôle</x:t>
  </x:si>
  <x:si>
    <x:t xml:space="preserve">Le PNJ crée un disque de 6 m sans dégâts. Les cibles non alliées font un jet de FOR difficulté 13 : en cas d’échec, elles tombent renversées. Recharge : 5 tours.</x:t>
  </x:si>
  <x:si>
    <x:t xml:space="preserve">Vague, choc liquide, poussée d’eau.</x:t>
  </x:si>
  <x:si>
    <x:t xml:space="preserve">!cof-explosion -1 --auto --pasDeDmg --disque 6 --saufAllies --etat renverse --save FOR 13 --tempsRecharge rechargeGen(aquaRecul) 5 aquaRecul</x:t>
  </x:si>
  <x:si>
    <x:t xml:space="preserve">Cône - Aveuglement</x:t>
  </x:si>
  <x:si>
    <x:t xml:space="preserve">Cône contrôle</x:t>
  </x:si>
  <x:si>
    <x:t xml:space="preserve">Le PNJ projette un cône sans dégâts. Les cibles non alliées font un jet de DEX difficulté 13 : en cas d’échec, elles deviennent aveugles. Recharge : 4 tours.</x:t>
  </x:si>
  <x:si>
    <x:t xml:space="preserve">Actif - Cône</x:t>
  </x:si>
  <x:si>
    <x:t xml:space="preserve">Éclaboussures, encre, eau sale.</x:t>
  </x:si>
  <x:si>
    <x:t xml:space="preserve">#Attaque -1 --pasDeDmg --cone --saufAllies --etat aveugle --save DEX 13 --tempsRecharge rechargeGen(aquaAveuglement) 4</x:t>
  </x:si>
  <x:si>
    <x:t xml:space="preserve">Attaque - Agrippement aquatique</x:t>
  </x:si>
  <x:si>
    <x:t xml:space="preserve">Le PNJ fait son attaque équipée actuelle. Si elle touche, il peut agripper la cible pour l’empêcher de s’éloigner. Recharge : 4 tours.</x:t>
  </x:si>
  <x:si>
    <x:t xml:space="preserve">Tentacule, mâchoire, pince, traction sous l’eau.</x:t>
  </x:si>
  <x:si>
    <x:t xml:space="preserve">#Attaque -1 --peutAgripper --tempsRecharge rechargeGen(aquaAgripper) 4</x:t>
  </x:si>
  <x:si>
    <x:t xml:space="preserve">Multicible - Angles multiples</x:t>
  </x:si>
  <x:si>
    <x:t xml:space="preserve">Aberration</x:t>
  </x:si>
  <x:si>
    <x:t xml:space="preserve">Le PNJ fait son attaque équipée actuelle contre une cible principale et une deuxième cible. L’attaque ignore les obstacles selon l’option utilisée. Recharge : 4 tours.</x:t>
  </x:si>
  <x:si>
    <x:t xml:space="preserve">Membres anormaux, angles impossibles, attaque distordue.</x:t>
  </x:si>
  <x:si>
    <x:t xml:space="preserve">#Attaque -1 --target @{target|Cible 2|token_id} --ignoreObstacles --tempsRecharge rechargeGen(abAnglesMultiples) 4</x:t>
  </x:si>
  <x:si>
    <x:t xml:space="preserve">Contrôle - Étourdir l’esprit</x:t>
  </x:si>
  <x:si>
    <x:t xml:space="preserve">Le PNJ effectue une action sans dégâts. La cible fait un jet de SAG difficulté 13 : en cas d’échec, elle devient étourdie. Recharge : 5 tours.</x:t>
  </x:si>
  <x:si>
    <x:t xml:space="preserve">Forme incompréhensible, choc mental non magique.</x:t>
  </x:si>
  <x:si>
    <x:t xml:space="preserve">#Attaque -1 --pasDeDmg --etat etourdi --save SAG 13 --tempsRecharge rechargeGen(abEtourdirEsprit) 5</x:t>
  </x:si>
  <x:si>
    <x:t xml:space="preserve">Zone - Espace instable</x:t>
  </x:si>
  <x:si>
    <x:t xml:space="preserve">Le PNJ crée un disque de 6 m sans dégâts. La zone devient terrain difficile pendant 3 tours, représentant un espace déformé ou difficile à lire. Recharge : 5 tours.</x:t>
  </x:si>
  <x:si>
    <x:t xml:space="preserve">Sol qui se plie, angles faux, perception troublée.</x:t>
  </x:si>
  <x:si>
    <x:t xml:space="preserve">!cof-explosion -1 --auto --pasDeDmg --disque 6 --terrainDifficile 3 Espace_instable --tempsRecharge rechargeGen(abEspaceInstable) 5 espaceInstable</x:t>
  </x:si>
  <x:si>
    <x:t xml:space="preserve">Attaque - Étreinte anormale</x:t>
  </x:si>
  <x:si>
    <x:t xml:space="preserve">Le PNJ fait son attaque équipée actuelle. Si l’attaque touche, le script propose une étreinte difficulté 14. Recharge : 5 tours.</x:t>
  </x:si>
  <x:si>
    <x:t xml:space="preserve">Tentacules, membres multiples, prise impossible.</x:t>
  </x:si>
  <x:si>
    <x:t xml:space="preserve">#Attaque -1 --etreinte 14 --tempsRecharge rechargeGen(abEtreinte) 5</x:t>
  </x:si>
  <x:si>
    <x:t xml:space="preserve">Zone - Confusion physique</x:t>
  </x:si>
  <x:si>
    <x:t xml:space="preserve">Le PNJ crée un disque de 5 m sans dégâts. Les cibles non alliées font un jet de SAG difficulté 13 : en cas d’échec, elles deviennent ralenties. Recharge : 5 tours.</x:t>
  </x:si>
  <x:si>
    <x:t xml:space="preserve">Trouble de perception et déplacements hésitants.</x:t>
  </x:si>
  <x:si>
    <x:t xml:space="preserve">!cof-explosion -1 --auto --pasDeDmg --disque 5 --saufAllies --etat ralenti --save SAG 13 --tempsRecharge rechargeGen(abConfusionPhysique) 5 confusionPhysique</x:t>
  </x:si>
  <x:si>
    <x:t xml:space="preserve">Zone - Racines immobilisantes</x:t>
  </x:si>
  <x:si>
    <x:t xml:space="preserve">Plante</x:t>
  </x:si>
  <x:si>
    <x:t xml:space="preserve">Le PNJ crée un disque de 6 m sans dégâts. Les cibles non alliées font un jet de FOR difficulté 13 : en cas d’échec, elles deviennent immobilisées. Recharge : 6 tours.</x:t>
  </x:si>
  <x:si>
    <x:t xml:space="preserve">Racines, lianes, ronces au sol.</x:t>
  </x:si>
  <x:si>
    <x:t xml:space="preserve">!cof-explosion -1 --auto --pasDeDmg --disque 6 --saufAllies --etat immobilise --save FOR 13 --tempsRecharge rechargeGen(plRacines) 6 racines</x:t>
  </x:si>
  <x:si>
    <x:t xml:space="preserve">Zone - Racines + terrain difficile</x:t>
  </x:si>
  <x:si>
    <x:t xml:space="preserve">Terrain / contrôle</x:t>
  </x:si>
  <x:si>
    <x:t xml:space="preserve">Le PNJ crée un disque de 8 m sans dégâts. La zone devient terrain difficile pendant 4 tours, limitant les déplacements. Recharge : 5 tours.</x:t>
  </x:si>
  <x:si>
    <x:t xml:space="preserve">Végétation dense, ronces, racines mouvantes.</x:t>
  </x:si>
  <x:si>
    <x:t xml:space="preserve">!cof-explosion -1 --auto --pasDeDmg --disque 8 --terrainDifficile 4 Racines --tempsRecharge rechargeGen(plTerrainRacines) 5 terrainRacines</x:t>
  </x:si>
  <x:si>
    <x:t xml:space="preserve">Attaque - Liane agrippante</x:t>
  </x:si>
  <x:si>
    <x:t xml:space="preserve">Le PNJ fait son attaque équipée actuelle. Si elle touche, il peut agripper la cible avec une liane, racine ou branche. Recharge : 4 tours.</x:t>
  </x:si>
  <x:si>
    <x:t xml:space="preserve">Liane qui saisit, branche qui bloque.</x:t>
  </x:si>
  <x:si>
    <x:t xml:space="preserve">#Attaque -1 --peutAgripper --tempsRecharge rechargeGen(plLianeAgrippante) 4</x:t>
  </x:si>
  <x:si>
    <x:t xml:space="preserve">Multicible - Lianes croisées</x:t>
  </x:si>
  <x:si>
    <x:t xml:space="preserve">Multicible contrôle</x:t>
  </x:si>
  <x:si>
    <x:t xml:space="preserve">Le PNJ fait son attaque équipée actuelle contre une cible principale et une deuxième cible. Si l’effet passe, les cibles font un jet de DEX difficulté 13 : en cas d’échec, elles deviennent ralenties. Recharge : 5 tours.</x:t>
  </x:si>
  <x:si>
    <x:t xml:space="preserve">Lianes qui frappent et gênent plusieurs adversaires.</x:t>
  </x:si>
  <x:si>
    <x:t xml:space="preserve">#Attaque -1 --target @{target|Cible 2|token_id} --etat ralenti --save DEX 13 --tempsRecharge rechargeGen(plLianesCroisees) 5</x:t>
  </x:si>
  <x:si>
    <x:t xml:space="preserve">Soin - Régénération végétale</x:t>
  </x:si>
  <x:si>
    <x:t xml:space="preserve">Le PNJ récupère 1d6 PV. Cela représente la sève, la repousse ou la régénération naturelle. Recharge : 4 tours.</x:t>
  </x:si>
  <x:si>
    <x:t xml:space="preserve">La plante se régénère.</x:t>
  </x:si>
  <x:si>
    <x:t xml:space="preserve">!cof-soin 1d6 --tempsRecharge rechargeGen(plRegeneration) 4</x:t>
  </x:si>
  <x:si>
    <x:t xml:space="preserve">Attaque - Frappe + disparition</x:t>
  </x:si>
  <x:si>
    <x:t xml:space="preserve">Fée</x:t>
  </x:si>
  <x:si>
    <x:t xml:space="preserve">Le PNJ fait son attaque équipée actuelle. Après l’attaque, il utilise l’effet de disparition sur 6 m pour se replacer ou devenir plus difficile à poursuivre. Recharge : 4 tours.</x:t>
  </x:si>
  <x:si>
    <x:t xml:space="preserve">Frappe fugace, esquive féerique.</x:t>
  </x:si>
  <x:si>
    <x:t xml:space="preserve">#Attaque -1 --disparition 6 --tempsRecharge rechargeGen(feeFrappeDisparition) 4</x:t>
  </x:si>
  <x:si>
    <x:t xml:space="preserve">Zone - Aveuglement</x:t>
  </x:si>
  <x:si>
    <x:t xml:space="preserve">Le PNJ crée un disque de 5 m sans dégâts. Les cibles non alliées font un jet de DEX difficulté 13 : en cas d’échec, elles deviennent aveugles. Recharge : 5 tours.</x:t>
  </x:si>
  <x:si>
    <x:t xml:space="preserve">Poudre, éclats, poussière, illusion visuelle.</x:t>
  </x:si>
  <x:si>
    <x:t xml:space="preserve">!cof-explosion -1 --auto --pasDeDmg --disque 5 --saufAllies --etat aveugle --save DEX 13 --tempsRecharge rechargeGen(feeAveuglement) 5 aveuglement</x:t>
  </x:si>
  <x:si>
    <x:t xml:space="preserve">Attaque - Peur moqueuse</x:t>
  </x:si>
  <x:si>
    <x:t xml:space="preserve">Le PNJ effectue une action sans dégâts. La cible subit une peur difficulté 13 pendant 2 tours si l’effet passe. Recharge : 4 tours.</x:t>
  </x:si>
  <x:si>
    <x:t xml:space="preserve">Moquerie cruelle, rire surnaturel, intimidation étrange.</x:t>
  </x:si>
  <x:si>
    <x:t xml:space="preserve">#Attaque -1 --pasDeDmg --peur 13 2 --tempsRecharge rechargeGen(feePeurMoqueuse) 4</x:t>
  </x:si>
  <x:si>
    <x:t xml:space="preserve">Défense - Clignotement</x:t>
  </x:si>
  <x:si>
    <x:t xml:space="preserve">Le PNJ s’applique l’effet clignotement pendant 2 tours, ce qui représente une défense par déplacement rapide ou disparition intermittente. Recharge : 5 tours.</x:t>
  </x:si>
  <x:si>
    <x:t xml:space="preserve">Esquive féerique ou présence intermittente.</x:t>
  </x:si>
  <x:si>
    <x:t xml:space="preserve">!cof-effet-temp clignotement 2 --target @{selected|token_id} --tempsRecharge rechargeGen(feeClignotement) 5</x:t>
  </x:si>
  <x:si>
    <x:t xml:space="preserve">Zone - Terrain trompeur</x:t>
  </x:si>
  <x:si>
    <x:t xml:space="preserve">Le PNJ crée un disque de 5 m sans dégâts. La zone devient terrain difficile pendant 2 tours, représentant une gêne par illusions, farces ou désorientation. Recharge : 4 tours.</x:t>
  </x:si>
  <x:si>
    <x:t xml:space="preserve">Sol trompeur, mirage, fausses pistes.</x:t>
  </x:si>
  <x:si>
    <x:t xml:space="preserve">!cof-explosion -1 --auto --pasDeDmg --disque 5 --terrainDifficile 2 Terrain_trompeur --tempsRecharge rechargeGen(feeTerrainTrompeur) 4 terrainTrompeur</x:t>
  </x:si>
  <x:si>
    <x:t xml:space="preserve">Monstre</x:t>
  </x:si>
  <x:si>
    <x:t xml:space="preserve">Le PNJ fait son attaque équipée actuelle. Si l’attaque touche, l’effet devorer est appliqué, permettant une saisie brutale de type prédateur ou gueule monstrueuse. Recharge : 5 tours.</x:t>
  </x:si>
  <x:si>
    <x:t xml:space="preserve">Mâchoires, gueule, absorption brutale.</x:t>
  </x:si>
  <x:si>
    <x:t xml:space="preserve">#Attaque -1 --devorer --tempsRecharge rechargeGen(monDevorer) 5</x:t>
  </x:si>
  <x:si>
    <x:t xml:space="preserve">Attaque - Projection</x:t>
  </x:si>
  <x:si>
    <x:t xml:space="preserve">Le PNJ fait son attaque équipée actuelle. Si elle touche, l’option attaqueViolente déclenche la gestion de projection par le script, souvent via opposition de force. Recharge : 4 tours.</x:t>
  </x:si>
  <x:si>
    <x:t xml:space="preserve">Coup massif qui envoie voler la cible.</x:t>
  </x:si>
  <x:si>
    <x:t xml:space="preserve">#Attaque -1 --attaqueViolente --tempsRecharge rechargeGen(monProjection) 4</x:t>
  </x:si>
  <x:si>
    <x:t xml:space="preserve">Zone - Masse renversante</x:t>
  </x:si>
  <x:si>
    <x:t xml:space="preserve">Le PNJ crée un disque de 5 m sans dégâts. Les cibles non alliées font un jet de FOR difficulté 14 : en cas d’échec, elles tombent renversées. Recharge : 5 tours.</x:t>
  </x:si>
  <x:si>
    <x:t xml:space="preserve">Le corps du monstre bouscule tout autour.</x:t>
  </x:si>
  <x:si>
    <x:t xml:space="preserve">!cof-explosion -1 --auto --pasDeDmg --disque 5 --saufAllies --etat renverse --save FOR 14 --tempsRecharge rechargeGen(monMasseRenversante) 5 masseRenversante</x:t>
  </x:si>
  <x:si>
    <x:t xml:space="preserve">Multicible - Membres multiples</x:t>
  </x:si>
  <x:si>
    <x:t xml:space="preserve">Le PNJ fait son attaque équipée actuelle contre trois cibles au total. L’attaque subit -2 au toucher, mais permet d’exploiter plusieurs bras, têtes, queues ou tentacules. Recharge : 5 tours.</x:t>
  </x:si>
  <x:si>
    <x:t xml:space="preserve">Plusieurs membres frappent en même temps.</x:t>
  </x:si>
  <x:si>
    <x:t xml:space="preserve">#Attaque -1 --target @{target|Cible 2|token_id} --target @{target|Cible 3|token_id} --bonusAttaque -2 --tempsRecharge rechargeGen(monMembresMultiples) 5</x:t>
  </x:si>
  <x:si>
    <x:t xml:space="preserve">Attaque - Étreinte massive</x:t>
  </x:si>
  <x:si>
    <x:t xml:space="preserve">Le PNJ fait son attaque équipée actuelle. Si elle touche, le script propose une étreinte difficulté 15. Recharge : 5 tours.</x:t>
  </x:si>
  <x:si>
    <x:t xml:space="preserve">Prise énorme, corps massif, mâchoires ou pinces.</x:t>
  </x:si>
  <x:si>
    <x:t xml:space="preserve">#Attaque -1 --etreinte 15 --tempsRecharge rechargeGen(monEtreinteMassive) 5</x:t>
  </x:si>
  <x:si>
    <x:t xml:space="preserve">Attaque - Enveloppement</x:t>
  </x:si>
  <x:si>
    <x:t xml:space="preserve">Vase</x:t>
  </x:si>
  <x:si>
    <x:t xml:space="preserve">Le PNJ fait son attaque équipée actuelle. Si elle touche, l’option enveloppe permet d’envelopper la cible, typique des vases ou gelées. Recharge : 5 tours.</x:t>
  </x:si>
  <x:si>
    <x:t xml:space="preserve">La cible est prise dans la masse du corps.</x:t>
  </x:si>
  <x:si>
    <x:t xml:space="preserve">#Attaque -1 --enveloppe --tempsRecharge rechargeGen(vaseEnveloppement) 5</x:t>
  </x:si>
  <x:si>
    <x:t xml:space="preserve">Zone - Sol collant</x:t>
  </x:si>
  <x:si>
    <x:t xml:space="preserve">Le PNJ crée un disque de 6 m sans dégâts. La zone devient terrain difficile pendant 4 tours. Les cibles non alliées font aussi un jet de DEX difficulté 12 : en cas d’échec, elles sont immobilisées. Recharge : 6 tours.</x:t>
  </x:si>
  <x:si>
    <x:t xml:space="preserve">Sol gluant, vase collante, surface adhésive.</x:t>
  </x:si>
  <x:si>
    <x:t xml:space="preserve">!cof-explosion -1 --auto --pasDeDmg --disque 6 --saufAllies --terrainDifficile 4 Sol_collant --etat immobilise --save DEX 12 --tempsRecharge rechargeGen(vaseSolCollant) 6 solCollant</x:t>
  </x:si>
  <x:si>
    <x:t xml:space="preserve">Multicible - Pseudopodes</x:t>
  </x:si>
  <x:si>
    <x:t xml:space="preserve">Le PNJ fait son attaque équipée actuelle contre une cible principale et une deuxième cible. Si l’attaque touche, elle peut agripper grâce à ses pseudopodes. Recharge : 5 tours.</x:t>
  </x:si>
  <x:si>
    <x:t xml:space="preserve">Plusieurs extensions visqueuses saisissent les cibles.</x:t>
  </x:si>
  <x:si>
    <x:t xml:space="preserve">#Attaque -1 --target @{target|Cible 2|token_id} --peutAgripper --tempsRecharge rechargeGen(vasePseudopodes) 5</x:t>
  </x:si>
  <x:si>
    <x:t xml:space="preserve">Zone - Expansion</x:t>
  </x:si>
  <x:si>
    <x:t xml:space="preserve">Le PNJ utilise son attaque équipée actuelle dans un disque de 5 m. Les alliés sont exclus. Recharge : 4 tours.</x:t>
  </x:si>
  <x:si>
    <x:t xml:space="preserve">Le corps de la vase s’étale et frappe autour.</x:t>
  </x:si>
  <x:si>
    <x:t xml:space="preserve">!cof-explosion -1 --auto --disque 5 --saufAllies --tempsRecharge rechargeGen(vaseExpansion) 4 expansion</x:t>
  </x:si>
  <x:si>
    <x:t xml:space="preserve">Soin - Reconstitution</x:t>
  </x:si>
  <x:si>
    <x:t xml:space="preserve">Le PNJ récupère 1d6 PV, représentant une reconstitution de sa masse. Recharge : 4 tours.</x:t>
  </x:si>
  <x:si>
    <x:t xml:space="preserve">La vase se reforme.</x:t>
  </x:si>
  <x:si>
    <x:t xml:space="preserve">!cof-soin 1d6 --tempsRecharge rechargeGen(vaseReconstitution) 4</x:t>
  </x:si>
  <x:si>
    <x:t xml:space="preserve">Le PNJ fait son attaque équipée actuelle. Si elle touche, la cible fait un jet de CON difficulté 14 : en cas d’échec, elle devient affaiblie. Recharge : 4 tours.</x:t>
  </x:si>
  <x:si>
    <x:t xml:space="preserve">Coup corrupteur, douleur infernale, attaque vicieuse.</x:t>
  </x:si>
  <x:si>
    <x:t xml:space="preserve">#Attaque -1 --etat affaibli --save CON 14 --tempsRecharge rechargeGen(demAffaiblissement) 4</x:t>
  </x:si>
  <x:si>
    <x:t xml:space="preserve">Zone - Peur forte</x:t>
  </x:si>
  <x:si>
    <x:t xml:space="preserve">Le PNJ déclenche une peur dans un disque de 10 m, sauf alliés. Les cibles affectées subissent une peur difficulté 14 pendant 2 tours. Recharge : 6 tours.</x:t>
  </x:si>
  <x:si>
    <x:t xml:space="preserve">Présence infernale ou hurlement démoniaque.</x:t>
  </x:si>
  <x:si>
    <x:t xml:space="preserve">!cof-peur 14 2 --titre Peur forte --disque 10 --saufAllies --tempsRecharge rechargeGen(demPeurForte) 6</x:t>
  </x:si>
  <x:si>
    <x:t xml:space="preserve">Le PNJ fait son attaque équipée actuelle contre une cible vivante. Si l’attaque inflige des dégâts, il récupère 50% des dégâts infligés en PV. Recharge : 5 tours.</x:t>
  </x:si>
  <x:si>
    <x:t xml:space="preserve">Festin de douleur, absorption par violence.</x:t>
  </x:si>
  <x:si>
    <x:t xml:space="preserve">#Attaque -1 --vampirise 50 --seulementVivant --tempsRecharge rechargeGen(demDrainVivant) 5</x:t>
  </x:si>
  <x:si>
    <x:t xml:space="preserve">Zone - Étourdissement</x:t>
  </x:si>
  <x:si>
    <x:t xml:space="preserve">Le PNJ utilise son attaque équipée actuelle dans un disque de 5 m. Les cibles non alliées qui sont affectées font un jet de CON difficulté 13 : en cas d’échec, elles deviennent étourdies. Recharge : 6 tours.</x:t>
  </x:si>
  <x:si>
    <x:t xml:space="preserve">Onde de cruauté, choc infernal, pression brutale.</x:t>
  </x:si>
  <x:si>
    <x:t xml:space="preserve">!cof-explosion -1 --auto --disque 5 --saufAllies --etat etourdi --save CON 13 --tempsRecharge rechargeGen(demEtourdissement) 6 etourdissement</x:t>
  </x:si>
  <x:si>
    <x:t xml:space="preserve">Multicible - Peur sur deux cibles</x:t>
  </x:si>
  <x:si>
    <x:t xml:space="preserve">Multicible moral</x:t>
  </x:si>
  <x:si>
    <x:t xml:space="preserve">Le PNJ fait son attaque équipée actuelle contre une cible principale et une deuxième cible. Les cibles affectées subissent une peur difficulté 13 pendant 2 tours. Recharge : 5 tours.</x:t>
  </x:si>
  <x:si>
    <x:t xml:space="preserve">Attaque vicieuse qui brise le moral.</x:t>
  </x:si>
  <x:si>
    <x:t xml:space="preserve">#Attaque -1 --target @{target|Cible 2|token_id} --peur 13 2 --tempsRecharge rechargeGen(demPeurDeuxCibles) 5</x:t>
  </x:si>
  <x:si>
    <x:t xml:space="preserve">Zone - Renversement large</x:t>
  </x:si>
  <x:si>
    <x:t xml:space="preserve">Géant</x:t>
  </x:si>
  <x:si>
    <x:t xml:space="preserve">Le PNJ crée un disque de 8 m sans dégâts. Les cibles non alliées font un jet de FOR difficulté 14 : en cas d’échec, elles tombent renversées. Recharge : 5 tours.</x:t>
  </x:si>
  <x:si>
    <x:t xml:space="preserve">Pas sismique, choc au sol, impact massif.</x:t>
  </x:si>
  <x:si>
    <x:t xml:space="preserve">!cof-explosion -1 --auto --pasDeDmg --disque 8 --saufAllies --etat renverse --save FOR 14 --tempsRecharge rechargeGen(geaRenversementLarge) 5 renversementLarge</x:t>
  </x:si>
  <x:si>
    <x:t xml:space="preserve">Attaque - Projection forte</x:t>
  </x:si>
  <x:si>
    <x:t xml:space="preserve">Le PNJ fait son attaque équipée actuelle. Si elle touche, l’option attaqueViolente déclenche la gestion de projection. Recharge : 4 tours.</x:t>
  </x:si>
  <x:si>
    <x:t xml:space="preserve">Coup qui envoie voler la cible.</x:t>
  </x:si>
  <x:si>
    <x:t xml:space="preserve">#Attaque -1 --attaqueViolente --tempsRecharge rechargeGen(geaProjectionForte) 4</x:t>
  </x:si>
  <x:si>
    <x:t xml:space="preserve">Zone - Attaque large</x:t>
  </x:si>
  <x:si>
    <x:t xml:space="preserve">AOE dégâts</x:t>
  </x:si>
  <x:si>
    <x:t xml:space="preserve">Le PNJ utilise son attaque équipée actuelle dans un disque de 8 m. Les alliés sont exclus. Recharge : 5 tours.</x:t>
  </x:si>
  <x:si>
    <x:t xml:space="preserve">Tronc, massue, bras gigantesque, balayage large.</x:t>
  </x:si>
  <x:si>
    <x:t xml:space="preserve">!cof-explosion -1 --auto --disque 8 --saufAllies --tempsRecharge rechargeGen(geaAttaqueLarge) 5 attaqueLarge</x:t>
  </x:si>
  <x:si>
    <x:t xml:space="preserve">Attaque - Étreinte forte</x:t>
  </x:si>
  <x:si>
    <x:t xml:space="preserve">Le PNJ fait son attaque équipée actuelle. Si l’attaque touche, le script propose une étreinte difficulté 15. Recharge : 5 tours.</x:t>
  </x:si>
  <x:si>
    <x:t xml:space="preserve">Main géante, poigne écrasante, saisie massive.</x:t>
  </x:si>
  <x:si>
    <x:t xml:space="preserve">#Attaque -1 --etreinte 15 --tempsRecharge rechargeGen(geaEtreinteForte) 5</x:t>
  </x:si>
  <x:si>
    <x:t xml:space="preserve">Cône - Peur physique</x:t>
  </x:si>
  <x:si>
    <x:t xml:space="preserve">Moral / cône</x:t>
  </x:si>
  <x:si>
    <x:t xml:space="preserve">Le PNJ projette un cône sans dégâts. Les cibles non alliées subissent une peur difficulté 14 pendant 2 tours si l’effet passe. Recharge : 6 tours.</x:t>
  </x:si>
  <x:si>
    <x:t xml:space="preserve">Cri, intimidation physique, domination par la taille.</x:t>
  </x:si>
  <x:si>
    <x:t xml:space="preserve">#Attaque -1 --pasDeDmg --cone --saufAllies --peur 14 2 --tempsRecharge rechargeGen(geaPeurPhysique) 6</x:t>
  </x:si>
  <x:si>
    <x:t xml:space="preserve">Ligne - Traversée</x:t>
  </x:si>
  <x:si>
    <x:t xml:space="preserve">Ligne</x:t>
  </x:si>
  <x:si>
    <x:t xml:space="preserve">Élémentaire</x:t>
  </x:si>
  <x:si>
    <x:t xml:space="preserve">Le PNJ utilise son attaque équipée actuelle en ligne jusqu’à 10 m. Cela représente une traversée ou une vague de matière. Recharge : 4 tours.</x:t>
  </x:si>
  <x:si>
    <x:t xml:space="preserve">Traversée élémentaire, corps qui passe à travers.</x:t>
  </x:si>
  <x:si>
    <x:t xml:space="preserve">!cof-attack-line @{selected|token_id} -1 --distanceMax 10 --tempsRecharge rechargeGen(eleTraversee) 4</x:t>
  </x:si>
  <x:si>
    <x:t xml:space="preserve">Zone - Terrain instable</x:t>
  </x:si>
  <x:si>
    <x:t xml:space="preserve">Le PNJ crée un disque de 6 m sans dégâts. La zone devient terrain difficile pendant 3 tours. Recharge : 5 tours.</x:t>
  </x:si>
  <x:si>
    <x:t xml:space="preserve">Sol instable, vent violent, roches mouvantes, courant.</x:t>
  </x:si>
  <x:si>
    <x:t xml:space="preserve">!cof-explosion -1 --auto --pasDeDmg --disque 6 --terrainDifficile 3 Terrain_instable --tempsRecharge rechargeGen(eleTerrainInstable) 5 terrainInstable</x:t>
  </x:si>
  <x:si>
    <x:t xml:space="preserve">Zone - Corps déferlant</x:t>
  </x:si>
  <x:si>
    <x:t xml:space="preserve">Le corps élémentaire se répand ou déferle.</x:t>
  </x:si>
  <x:si>
    <x:t xml:space="preserve">!cof-explosion -1 --auto --disque 5 --saufAllies --tempsRecharge rechargeGen(eleCorpsDeferlant) 4 corpsDeferlant</x:t>
  </x:si>
  <x:si>
    <x:t xml:space="preserve">Attaque - Renversement par impact</x:t>
  </x:si>
  <x:si>
    <x:t xml:space="preserve">Le PNJ fait son attaque équipée actuelle. Si elle touche, la cible fait un jet de FOR difficulté 13 : en cas d’échec, elle tombe renversée. Recharge : 3 tours.</x:t>
  </x:si>
  <x:si>
    <x:t xml:space="preserve">Impact de masse, poussée élémentaire.</x:t>
  </x:si>
  <x:si>
    <x:t xml:space="preserve">#Attaque -1 --etat renverse --save FOR 13 --tempsRecharge rechargeGen(eleImpact) 3</x:t>
  </x:si>
  <x:si>
    <x:t xml:space="preserve">Défense - Forme instable</x:t>
  </x:si>
  <x:si>
    <x:t xml:space="preserve">Le PNJ active une parade temporaire pendant 1 tour, valeur 2. Recharge : 4 tours.</x:t>
  </x:si>
  <x:si>
    <x:t xml:space="preserve">Corps fluctuant, forme difficile à toucher.</x:t>
  </x:si>
  <x:si>
    <x:t xml:space="preserve">!cof-effet-temp paradeCroisee 1 --valeur 2 --target @{selected|token_id} --tempsRecharge rechargeGen(eleFormeInstable) 4</x:t>
  </x:si>
  <x:si>
    <x:t xml:space="preserve">Défense - Protection alliés</x:t>
  </x:si>
  <x:si>
    <x:t xml:space="preserve">Défense groupe</x:t>
  </x:si>
  <x:si>
    <x:t xml:space="preserve">Céleste</x:t>
  </x:si>
  <x:si>
    <x:t xml:space="preserve">Le PNJ applique sanctuaire aux alliés proches dans un rayon de 5 m et à lui-même pendant 2 tours. Recharge : 6 tours.</x:t>
  </x:si>
  <x:si>
    <x:t xml:space="preserve">Protection de groupe, aile protectrice, aura défensive.</x:t>
  </x:si>
  <x:si>
    <x:t xml:space="preserve">!cof-effet-temp sanctuaire 2 --allies 5 --self --tempsRecharge rechargeGen(celProtectionAllies) 6</x:t>
  </x:si>
  <x:si>
    <x:t xml:space="preserve">Le PNJ fait son attaque équipée actuelle avec +2 au toucher. Les dégâts restent ceux de l’attaque équipée. Recharge : 3 tours.</x:t>
  </x:si>
  <x:si>
    <x:t xml:space="preserve">Frappe juste, jugement martial, précision.</x:t>
  </x:si>
  <x:si>
    <x:t xml:space="preserve">#Attaque -1 --bonusAttaque 2 --tempsRecharge rechargeGen(celBonusToucher) 3</x:t>
  </x:si>
  <x:si>
    <x:t xml:space="preserve">Le PNJ applique un effet de type benediction aux alliés proches dans un rayon de 10 m, lui-même inclus, pendant 3 tours. Recharge : 5 tours.</x:t>
  </x:si>
  <x:si>
    <x:t xml:space="preserve">Commandement protecteur ou encouragement sacré.</x:t>
  </x:si>
  <x:si>
    <x:t xml:space="preserve">!cof-effet-temp benediction 3 --allies 10 --self --tempsRecharge rechargeGen(celBoostAllies) 5</x:t>
  </x:si>
  <x:si>
    <x:t xml:space="preserve">Contrôle - Peur ciblée</x:t>
  </x:si>
  <x:si>
    <x:t xml:space="preserve">Le PNJ effectue une action sans dégâts. La cible subit une peur difficulté 13 pendant 2 tours si l’effet passe. Recharge : 5 tours.</x:t>
  </x:si>
  <x:si>
    <x:t xml:space="preserve">Autorité écrasante, jugement intimidant.</x:t>
  </x:si>
  <x:si>
    <x:t xml:space="preserve">#Attaque -1 --pasDeDmg --peur 13 2 --tempsRecharge rechargeGen(celPeurCiblee) 5</x:t>
  </x:si>
  <x:si>
    <x:t xml:space="preserve">Défense - Protéger allié</x:t>
  </x:si>
  <x:si>
    <x:t xml:space="preserve">Défense alliée</x:t>
  </x:si>
  <x:si>
    <x:t xml:space="preserve">Le PNJ protège un allié ciblé. Cela sert à interposer une créature défensive entre une menace et un allié important. Recharge : 3 tours.</x:t>
  </x:si>
  <x:si>
    <x:t xml:space="preserve">Interposition, garde du corps, protection héroïque.</x:t>
  </x:si>
  <x:si>
    <x:t xml:space="preserve">!cof-proteger-un-allie @{selected|token_id} @{target|token_id} --tempsRecharge rechargeGen(celProtegerAllie) 3</x:t>
  </x:si>
  <x:si>
    <x:t xml:space="preserve">Attaque - Agrippement à distance</x:t>
  </x:si>
  <x:si>
    <x:t xml:space="preserve">Artificiel</x:t>
  </x:si>
  <x:si>
    <x:t xml:space="preserve">Le PNJ fait son attaque équipée actuelle avec une allonge de 6 m. Si elle touche, il peut agripper la cible à distance. Recharge : 4 tours.</x:t>
  </x:si>
  <x:si>
    <x:t xml:space="preserve">Grappin, câble, bras mécanique, pince télescopique.</x:t>
  </x:si>
  <x:si>
    <x:t xml:space="preserve">#Attaque -1 --allonge 6 --peutAgripper --tempsRecharge rechargeGen(artAgrippementDistance) 4</x:t>
  </x:si>
  <x:si>
    <x:t xml:space="preserve">Attaque - Verrouillage</x:t>
  </x:si>
  <x:si>
    <x:t xml:space="preserve">Le PNJ fait son attaque équipée actuelle. Si elle touche, la cible fait un jet de FOR difficulté 13 : en cas d’échec, elle devient immobilisée. Recharge : 4 tours.</x:t>
  </x:si>
  <x:si>
    <x:t xml:space="preserve">Pince, mécanisme de blocage, verrouillage hydraulique.</x:t>
  </x:si>
  <x:si>
    <x:t xml:space="preserve">#Attaque -1 --etat immobilise --save FOR 13 --tempsRecharge rechargeGen(artVerrouillage) 4</x:t>
  </x:si>
  <x:si>
    <x:t xml:space="preserve">Défense - Mode sentinelle</x:t>
  </x:si>
  <x:si>
    <x:t xml:space="preserve">Le PNJ active absorberUnCoup pendant 1 tour, ce qui le prépare à encaisser une attaque. Recharge : 4 tours.</x:t>
  </x:si>
  <x:si>
    <x:t xml:space="preserve">Mode garde, plaques renforcées, posture défensive.</x:t>
  </x:si>
  <x:si>
    <x:t xml:space="preserve">!cof-effet-temp absorberUnCoup 1 --target @{selected|token_id} --tempsRecharge rechargeGen(artModeSentinelle) 4</x:t>
  </x:si>
  <x:si>
    <x:t xml:space="preserve">Zone - Balayage rotatif</x:t>
  </x:si>
  <x:si>
    <x:t xml:space="preserve">Rotation mécanique, lames, bras articulés.</x:t>
  </x:si>
  <x:si>
    <x:t xml:space="preserve">!cof-explosion -1 --auto --disque 5 --saufAllies --tempsRecharge rechargeGen(artBalayageRotatif) 4 balayageRotatif</x:t>
  </x:si>
  <x:si>
    <x:t xml:space="preserve">Soin - Réparation</x:t>
  </x:si>
  <x:si>
    <x:t xml:space="preserve">Le PNJ récupère 8 PV, représentant une réparation rapide ou un protocole interne. Recharge : 6 tours.</x:t>
  </x:si>
  <x:si>
    <x:t xml:space="preserve">Réparation d’urgence, auto-maintenance.</x:t>
  </x:si>
  <x:si>
    <x:t xml:space="preserve">!cof-soin 8 --tempsRecharge rechargeGen(artReparation) 6</x:t>
  </x:si>
  <x:si>
    <x:t xml:space="preserve">Attaque - Drain + disparition</x:t>
  </x:si>
  <x:si>
    <x:t xml:space="preserve">Mobilité / drain</x:t>
  </x:si>
  <x:si>
    <x:t xml:space="preserve">Esprit</x:t>
  </x:si>
  <x:si>
    <x:t xml:space="preserve">Le PNJ fait son attaque équipée actuelle contre une cible vivante. S’il inflige des dégâts, il récupère 50% des dégâts en PV, puis utilise une disparition de 8 m. Recharge : 5 tours.</x:t>
  </x:si>
  <x:si>
    <x:t xml:space="preserve">Traverse la cible puis se repositionne.</x:t>
  </x:si>
  <x:si>
    <x:t xml:space="preserve">#Attaque -1 --disparition 8 --vampirise 50 --seulementVivant --tempsRecharge rechargeGen(espDrainDisparition) 5</x:t>
  </x:si>
  <x:si>
    <x:t xml:space="preserve">Murmure spectral, apparition terrifiante.</x:t>
  </x:si>
  <x:si>
    <x:t xml:space="preserve">#Attaque -1 --pasDeDmg --peur 13 2 --tempsRecharge rechargeGen(espPeurCiblee) 5</x:t>
  </x:si>
  <x:si>
    <x:t xml:space="preserve">Attaque - Affaiblissement vivant</x:t>
  </x:si>
  <x:si>
    <x:t xml:space="preserve">Le PNJ fait son attaque équipée actuelle contre une cible vivante. Si elle touche, la cible fait un jet de CON difficulté 13 : en cas d’échec, elle devient affaiblie. Recharge : 4 tours.</x:t>
  </x:si>
  <x:si>
    <x:t xml:space="preserve">Contact qui vide les forces.</x:t>
  </x:si>
  <x:si>
    <x:t xml:space="preserve">#Attaque -1 --seulementVivant --etat affaibli --save CON 13 --tempsRecharge rechargeGen(espAffaiblir) 4</x:t>
  </x:si>
  <x:si>
    <x:t xml:space="preserve">Zone - Peur large</x:t>
  </x:si>
  <x:si>
    <x:t xml:space="preserve">Le PNJ déclenche une peur dans un disque de 10 m, sauf alliés. Les cibles affectées subissent une peur difficulté 12 pendant 2 tours. Recharge : 5 tours.</x:t>
  </x:si>
  <x:si>
    <x:t xml:space="preserve">Présence invisible, murmures, hantise.</x:t>
  </x:si>
  <x:si>
    <x:t xml:space="preserve">!cof-peur 12 2 --titre Peur large --disque 10 --saufAllies --tempsRecharge rechargeGen(espPeurLarge) 5</x:t>
  </x:si>
  <x:si>
    <x:t xml:space="preserve">Le PNJ s’applique clignotement pendant 2 tours, représentant une présence instable ou semi-intangible. Recharge : 5 tours.</x:t>
  </x:si>
  <x:si>
    <x:t xml:space="preserve">Disparition partielle, forme floue.</x:t>
  </x:si>
  <x:si>
    <x:t xml:space="preserve">!cof-effet-temp clignotement 2 --target @{selected|token_id} --tempsRecharge rechargeGen(espClignotement) 5</x:t>
  </x:si>
  <x:si>
    <x:t xml:space="preserve">Zone - Ralentissement large</x:t>
  </x:si>
  <x:si>
    <x:t xml:space="preserve">Dragon</x:t>
  </x:si>
  <x:si>
    <x:t xml:space="preserve">Le PNJ crée un disque de 8 m sans dégâts. Les cibles non alliées font un jet de CON difficulté 14 : en cas d’échec, elles deviennent ralenties. Recharge : 6 tours.</x:t>
  </x:si>
  <x:si>
    <x:t xml:space="preserve">Pression des ailes, souffle d’air, domination physique.</x:t>
  </x:si>
  <x:si>
    <x:t xml:space="preserve">!cof-explosion -1 --auto --pasDeDmg --disque 8 --saufAllies --etat ralenti --save CON 14 --tempsRecharge rechargeGen(drgRalentissementLarge) 6 ralentissementLarge</x:t>
  </x:si>
  <x:si>
    <x:t xml:space="preserve">Ligne - Renversement</x:t>
  </x:si>
  <x:si>
    <x:t xml:space="preserve">Ligne contrôle</x:t>
  </x:si>
  <x:si>
    <x:t xml:space="preserve">Le PNJ utilise son attaque équipée actuelle en ligne jusqu’à 10 m. Les cibles affectées font un jet de FOR difficulté 14 : en cas d’échec, elles tombent renversées. Recharge : 5 tours.</x:t>
  </x:si>
  <x:si>
    <x:t xml:space="preserve">Queue, aile, charge, balayage directionnel.</x:t>
  </x:si>
  <x:si>
    <x:t xml:space="preserve">!cof-attack-line @{selected|token_id} -1 --distanceMax 10 --etat renverse --save FOR 14 --tempsRecharge rechargeGen(drgLigneRenversement) 5</x:t>
  </x:si>
  <x:si>
    <x:t xml:space="preserve">Cône - Peur forte</x:t>
  </x:si>
  <x:si>
    <x:t xml:space="preserve">Le PNJ projette un cône sans dégâts. Les cibles non alliées subissent une peur difficulté 15 pendant 2 tours si l’effet passe. Recharge : 6 tours.</x:t>
  </x:si>
  <x:si>
    <x:t xml:space="preserve">Regard de domination, rugissement, présence draconique.</x:t>
  </x:si>
  <x:si>
    <x:t xml:space="preserve">#Attaque -1 --pasDeDmg --cone --saufAllies --peur 15 2 --tempsRecharge rechargeGen(drgConePeur) 6</x:t>
  </x:si>
  <x:si>
    <x:t xml:space="preserve">Multicible - Deux attaques naturelles</x:t>
  </x:si>
  <x:si>
    <x:t xml:space="preserve">Le PNJ fait son attaque équipée actuelle contre une cible principale et une seconde cible. Si l’attaque touche, elle ajoute +1d6 dégâts. Recharge : 4 tours.</x:t>
  </x:si>
  <x:si>
    <x:t xml:space="preserve">Griffes et morsure, queue et crocs.</x:t>
  </x:si>
  <x:si>
    <x:t xml:space="preserve">#Attaque -1 --target @{target|Cible 2|token_id} --plus 1d6 --tempsRecharge rechargeGen(drgDeuxAttaques) 4</x:t>
  </x:si>
  <x:si>
    <x:t xml:space="preserve">Zone - Peur + terrain difficile</x:t>
  </x:si>
  <x:si>
    <x:t xml:space="preserve">AOE terrain</x:t>
  </x:si>
  <x:si>
    <x:t xml:space="preserve">Le PNJ crée un disque de 10 m sans dégâts. La zone devient terrain difficile pendant 2 tours et les cibles non alliées subissent une peur difficulté 14 pendant 2 tours si l’effet passe. Recharge : 6 tours.</x:t>
  </x:si>
  <x:si>
    <x:t xml:space="preserve">Présence écrasante, panique et désorganisation.</x:t>
  </x:si>
  <x:si>
    <x:t xml:space="preserve">!cof-explosion -1 --auto --pasDeDmg --disque 10 --saufAllies --terrainDifficile 2 Presence_ecrasante --peur 14 2 --tempsRecharge rechargeGen(drgPeurTerrain) 6 peurTerrain</x:t>
  </x:si>
  <x:si>
    <x:t xml:space="preserve">DEF_bonus</x:t>
  </x:si>
  <x:si>
    <x:t xml:space="preserve">Aucune</x:t>
  </x:si>
  <x:si>
    <x:t xml:space="preserve">Sans armure</x:t>
  </x:si>
  <x:si>
    <x:t xml:space="preserve">Protection légère</x:t>
  </x:si>
  <x:si>
    <x:t xml:space="preserve">Moyenne</x:t>
  </x:si>
  <x:si>
    <x:t xml:space="preserve">Protection standard</x:t>
  </x:si>
  <x:si>
    <x:t xml:space="preserve">Lourde</x:t>
  </x:si>
  <x:si>
    <x:t xml:space="preserve">Forte protection</x:t>
  </x:si>
  <x:si>
    <x:t xml:space="preserve">Naturelle</x:t>
  </x:si>
  <x:si>
    <x:t xml:space="preserve">Peau, écailles, carapace</x:t>
  </x:si>
  <x:si>
    <x:t xml:space="preserve">Protection surnaturelle</x:t>
  </x:si>
  <x:si>
    <x:t xml:space="preserve">Vulnérabilité - Feu</x:t>
  </x:si>
  <x:si>
    <x:t xml:space="preserve">Vulnérabilité</x:t>
  </x:si>
  <x:si>
    <x:t xml:space="preserve">Quand le PNJ reçoit des dégâts de type feu, le script augmente les dégâts reçus via la vulnérabilité.</x:t>
  </x:si>
  <x:si>
    <x:t xml:space="preserve">Passif - Faiblesse</x:t>
  </x:si>
  <x:si>
    <x:t xml:space="preserve">Faiblesse au feu.</x:t>
  </x:si>
  <x:si>
    <x:t xml:space="preserve">vulnerableA_feu</x:t>
  </x:si>
  <x:si>
    <x:t xml:space="preserve">Vulnérabilité - Froid</x:t>
  </x:si>
  <x:si>
    <x:t xml:space="preserve">Quand le PNJ reçoit des dégâts de type froid, le script augmente les dégâts reçus via la vulnérabilité.</x:t>
  </x:si>
  <x:si>
    <x:t xml:space="preserve">Faiblesse au froid.</x:t>
  </x:si>
  <x:si>
    <x:t xml:space="preserve">vulnerableA_froid</x:t>
  </x:si>
  <x:si>
    <x:t xml:space="preserve">Vulnérabilité - Acide</x:t>
  </x:si>
  <x:si>
    <x:t xml:space="preserve">Quand le PNJ reçoit des dégâts de type acide, le script augmente les dégâts reçus via la vulnérabilité.</x:t>
  </x:si>
  <x:si>
    <x:t xml:space="preserve">Faiblesse à l’acide.</x:t>
  </x:si>
  <x:si>
    <x:t xml:space="preserve">vulnerableA_acide</x:t>
  </x:si>
  <x:si>
    <x:t xml:space="preserve">Vulnérabilité - Électrique</x:t>
  </x:si>
  <x:si>
    <x:t xml:space="preserve">Quand le PNJ reçoit des dégâts électriques, le script augmente les dégâts reçus via la vulnérabilité.</x:t>
  </x:si>
  <x:si>
    <x:t xml:space="preserve">Faiblesse à la foudre.</x:t>
  </x:si>
  <x:si>
    <x:t xml:space="preserve">vulnerableA_electrique</x:t>
  </x:si>
  <x:si>
    <x:t xml:space="preserve">Vulnérabilité - Poison</x:t>
  </x:si>
  <x:si>
    <x:t xml:space="preserve">Quand le PNJ reçoit des dégâts ou effets de type poison, le script les aggrave via la vulnérabilité.</x:t>
  </x:si>
  <x:si>
    <x:t xml:space="preserve">Faiblesse aux poisons.</x:t>
  </x:si>
  <x:si>
    <x:t xml:space="preserve">vulnerableA_poison</x:t>
  </x:si>
  <x:si>
    <x:t xml:space="preserve">Vulnérabilité - Maladie</x:t>
  </x:si>
  <x:si>
    <x:t xml:space="preserve">Quand le PNJ reçoit des dégâts ou effets de type maladie, le script les aggrave via la vulnérabilité.</x:t>
  </x:si>
  <x:si>
    <x:t xml:space="preserve">Faiblesse aux maladies.</x:t>
  </x:si>
  <x:si>
    <x:t xml:space="preserve">vulnerableA_maladie</x:t>
  </x:si>
  <x:si>
    <x:t xml:space="preserve">Vulnérabilité - Fer froid</x:t>
  </x:si>
  <x:si>
    <x:t xml:space="preserve">Vulnérabilité conditionnelle</x:t>
  </x:si>
  <x:si>
    <x:t xml:space="preserve">Une attaque avec l’option --ferFroid double les dégâts contre les créatures reconnues comme fées ou démons.</x:t>
  </x:si>
  <x:si>
    <x:t xml:space="preserve">Passif - Faiblesse conditionnelle</x:t>
  </x:si>
  <x:si>
    <x:t xml:space="preserve">Faiblesse classique des fées et démons.</x:t>
  </x:si>
  <x:si>
    <x:t xml:space="preserve">Cible avec fée ou démon, attaque avec --ferFroid</x:t>
  </x:si>
  <x:si>
    <x:t xml:space="preserve">Vulnérabilité - Tueur de catégorie</x:t>
  </x:si>
  <x:si>
    <x:t xml:space="preserve">Une attaque avec --tueurDe catégorie gagne ses bonus contre les créatures de cette catégorie.</x:t>
  </x:si>
  <x:si>
    <x:t xml:space="preserve">Sert aux chasseurs spécialisés.</x:t>
  </x:si>
  <x:si>
    <x:t xml:space="preserve">Cible avec catégorie, attaque avec --tueurDe &lt;categorie&gt;</x:t>
  </x:si>
  <x:si>
    <x:t xml:space="preserve">Vulnérabilité - Grande taille</x:t>
  </x:si>
  <x:si>
    <x:t xml:space="preserve">Une attaque avec --tueurDeGrands inflige plus de dégâts aux créatures grandes, énormes ou plus.</x:t>
  </x:si>
  <x:si>
    <x:t xml:space="preserve">Faiblesse des grandes créatures.</x:t>
  </x:si>
  <x:si>
    <x:t xml:space="preserve">Attaque avec --tueurDeGrands</x:t>
  </x:si>
  <x:si>
    <x:t xml:space="preserve">Buff - Défense</x:t>
  </x:si>
  <x:si>
    <x:t xml:space="preserve">Buff</x:t>
  </x:si>
  <x:si>
    <x:t xml:space="preserve">Ajoute directement +2 à la DEF du PNJ.</x:t>
  </x:si>
  <x:si>
    <x:t xml:space="preserve">Passif - Défense</x:t>
  </x:si>
  <x:si>
    <x:t xml:space="preserve">Défense naturelle, garde, carapace légère.</x:t>
  </x:si>
  <x:si>
    <x:t xml:space="preserve">bonus_DEF:2</x:t>
  </x:si>
  <x:si>
    <x:t xml:space="preserve">Buff - Réduction dégâts</x:t>
  </x:si>
  <x:si>
    <x:t xml:space="preserve">Ajoute une RD générique de 3 qui se cumule avec la RD de la fiche.</x:t>
  </x:si>
  <x:si>
    <x:t xml:space="preserve">Peau épaisse, armure naturelle, résistance.</x:t>
  </x:si>
  <x:si>
    <x:t xml:space="preserve">bonus_RD:: 3</x:t>
  </x:si>
  <x:si>
    <x:t xml:space="preserve">Buff - Sauvegardes</x:t>
  </x:si>
  <x:si>
    <x:t xml:space="preserve">Ajoute +2 aux jets de sauvegarde du PNJ.</x:t>
  </x:si>
  <x:si>
    <x:t xml:space="preserve">Résistance générale aux effets.</x:t>
  </x:si>
  <x:si>
    <x:t xml:space="preserve">bonusSave:2</x:t>
  </x:si>
  <x:si>
    <x:t xml:space="preserve">Buff - Force</x:t>
  </x:si>
  <x:si>
    <x:t xml:space="preserve">Ajoute +2 au modificateur de FOR du PNJ.</x:t>
  </x:si>
  <x:si>
    <x:t xml:space="preserve">Passif - Caractéristique</x:t>
  </x:si>
  <x:si>
    <x:t xml:space="preserve">Créature plus puissante physiquement.</x:t>
  </x:si>
  <x:si>
    <x:t xml:space="preserve">bonus_FOR:2</x:t>
  </x:si>
  <x:si>
    <x:t xml:space="preserve">Buff - Dextérité</x:t>
  </x:si>
  <x:si>
    <x:t xml:space="preserve">Ajoute +2 au modificateur de DEX du PNJ.</x:t>
  </x:si>
  <x:si>
    <x:t xml:space="preserve">Créature plus agile.</x:t>
  </x:si>
  <x:si>
    <x:t xml:space="preserve">bonus_DEX:2</x:t>
  </x:si>
  <x:si>
    <x:t xml:space="preserve">Buff - Constitution</x:t>
  </x:si>
  <x:si>
    <x:t xml:space="preserve">Ajoute +2 au modificateur de CON du PNJ.</x:t>
  </x:si>
  <x:si>
    <x:t xml:space="preserve">Créature plus robuste.</x:t>
  </x:si>
  <x:si>
    <x:t xml:space="preserve">bonus_CON:2</x:t>
  </x:si>
  <x:si>
    <x:t xml:space="preserve">Buff - Test spécialisé</x:t>
  </x:si>
  <x:si>
    <x:t xml:space="preserve">Ajoute +5 à un type de test précis, selon le nom choisi après bonusTests_.</x:t>
  </x:si>
  <x:si>
    <x:t xml:space="preserve">Passif - Compétence</x:t>
  </x:si>
  <x:si>
    <x:t xml:space="preserve">À adapter : perception, discrétion, nage, etc.</x:t>
  </x:si>
  <x:si>
    <x:t xml:space="preserve">bonusTests_perception:5</x:t>
  </x:si>
  <x:si>
    <x:t xml:space="preserve">Buff - Immunité critique</x:t>
  </x:si>
  <x:si>
    <x:t xml:space="preserve">Les coups critiques n’ont pas d’effet spécial contre le PNJ.</x:t>
  </x:si>
  <x:si>
    <x:t xml:space="preserve">Passif - Immunité</x:t>
  </x:si>
  <x:si>
    <x:t xml:space="preserve">Pas de point vital exploitable.</x:t>
  </x:si>
  <x:si>
    <x:t xml:space="preserve">immuniteAuxCritiques</x:t>
  </x:si>
  <x:si>
    <x:t xml:space="preserve">Buff - Immunité saignement</x:t>
  </x:si>
  <x:si>
    <x:t xml:space="preserve">Le PNJ ne subit pas les effets de saignement.</x:t>
  </x:si>
  <x:si>
    <x:t xml:space="preserve">Créature sans sang, nuée, esprit, construct.</x:t>
  </x:si>
  <x:si>
    <x:t xml:space="preserve">immuniteSaignement</x:t>
  </x:si>
  <x:si>
    <x:t xml:space="preserve">Buff - Sans peur</x:t>
  </x:si>
  <x:si>
    <x:t xml:space="preserve">Défense morale</x:t>
  </x:si>
  <x:si>
    <x:t xml:space="preserve">Le PNJ ne subit pas les effets de peur.</x:t>
  </x:si>
  <x:si>
    <x:t xml:space="preserve">Créature fanatique, sans instinct de survie ou terrifiante.</x:t>
  </x:si>
  <x:si>
    <x:t xml:space="preserve">sansPeur</x:t>
  </x:si>
  <x:si>
    <x:t xml:space="preserve">Buff - Sans esprit</x:t>
  </x:si>
  <x:si>
    <x:t xml:space="preserve">Défense mentale</x:t>
  </x:si>
  <x:si>
    <x:t xml:space="preserve">Le PNJ ignore les effets mentaux gérés par le script.</x:t>
  </x:si>
  <x:si>
    <x:t xml:space="preserve">Passif - Immunité mentale</x:t>
  </x:si>
  <x:si>
    <x:t xml:space="preserve">Créature sans pensée exploitable.</x:t>
  </x:si>
  <x:si>
    <x:t xml:space="preserve">sansEsprit</x:t>
  </x:si>
  <x:si>
    <x:t xml:space="preserve">Buff - Vitalité surnaturelle</x:t>
  </x:si>
  <x:si>
    <x:t xml:space="preserve">Le PNJ récupère automatiquement 3 PV selon la logique de vitalité surnaturelle du script.</x:t>
  </x:si>
  <x:si>
    <x:t xml:space="preserve">Passif - Régénération</x:t>
  </x:si>
  <x:si>
    <x:t xml:space="preserve">Régénération lente.</x:t>
  </x:si>
  <x:si>
    <x:t xml:space="preserve">vitaliteSurnaturelle:3</x:t>
  </x:si>
  <x:si>
    <x:t xml:space="preserve">Debuff - Blessure sanglante</x:t>
  </x:si>
  <x:si>
    <x:t xml:space="preserve">Quand le PNJ blesse une cible vivante avec une attaque, la blessure saigne pendant 3 tours.</x:t>
  </x:si>
  <x:si>
    <x:t xml:space="preserve">Passif - Dégâts durée</x:t>
  </x:si>
  <x:si>
    <x:t xml:space="preserve">Crocs, griffes, lame crantée.</x:t>
  </x:si>
  <x:si>
    <x:t xml:space="preserve">blessureSanglante:3</x:t>
  </x:si>
  <x:si>
    <x:t xml:space="preserve">Debuff - Agrippement sur bon jet</x:t>
  </x:si>
  <x:si>
    <x:t xml:space="preserve">Le PNJ peut agripper une cible si son jet d’attaque atteint le seuil prévu par le script.</x:t>
  </x:si>
  <x:si>
    <x:t xml:space="preserve">Passif - Contrôle</x:t>
  </x:si>
  <x:si>
    <x:t xml:space="preserve">Saisie passive sur attaque réussie.</x:t>
  </x:si>
  <x:si>
    <x:t xml:space="preserve">agripper</x:t>
  </x:si>
  <x:si>
    <x:t xml:space="preserve">Debuff - Attaque de meute</x:t>
  </x:si>
  <x:si>
    <x:t xml:space="preserve">Le PNJ gagne un bonus d’attaque quand il attaque une cible déjà attaquée par un allié.</x:t>
  </x:si>
  <x:si>
    <x:t xml:space="preserve">Passif - Coordination</x:t>
  </x:si>
  <x:si>
    <x:t xml:space="preserve">Rend les groupes dangereux.</x:t>
  </x:si>
  <x:si>
    <x:t xml:space="preserve">attaqueEnMeute:2</x:t>
  </x:si>
  <x:si>
    <x:t xml:space="preserve">Riposte - Dégâts au contact</x:t>
  </x:si>
  <x:si>
    <x:t xml:space="preserve">Une créature qui touche le PNJ au contact subit les dégâts indiqués.</x:t>
  </x:si>
  <x:si>
    <x:t xml:space="preserve">Passif - Riposte</x:t>
  </x:si>
  <x:si>
    <x:t xml:space="preserve">Corps brûlant, épines, acide, aura nocive.</x:t>
  </x:si>
  <x:si>
    <x:t xml:space="preserve">dmSiToucheContact:: 1d4 --normal</x:t>
  </x:si>
  <x:si>
    <x:t xml:space="preserve">Tactique - Attaque en traître</x:t>
  </x:si>
  <x:si>
    <x:t xml:space="preserve">Debuff offensif</x:t>
  </x:si>
  <x:si>
    <x:t xml:space="preserve">Quand un allié touche une cible au contact, le script peut proposer une attaque opportuniste au PNJ.</x:t>
  </x:si>
  <x:si>
    <x:t xml:space="preserve">Passif - Réaction</x:t>
  </x:si>
  <x:si>
    <x:t xml:space="preserve">Pour bandits, gobelins, assassins, soldats fourbes.</x:t>
  </x:si>
  <x:si>
    <x:t xml:space="preserve">attaqueEnTraitre</x:t>
  </x:si>
  <x:si>
    <x:t xml:space="preserve">Tactique - Attaque sournoise</x:t>
  </x:si>
  <x:si>
    <x:t xml:space="preserve">Ajoute 2d6 dégâts aux attaques sournoises quand les conditions sont réunies.</x:t>
  </x:si>
  <x:si>
    <x:t xml:space="preserve">Passif - Dégâts</x:t>
  </x:si>
  <x:si>
    <x:t xml:space="preserve">Pour voleurs, éclaireurs, assassins.</x:t>
  </x:si>
  <x:si>
    <x:t xml:space="preserve">attaqueSournoise:2</x:t>
  </x:si>
  <x:si>
    <x:t xml:space="preserve">Tactique - Arme de prédilection</x:t>
  </x:si>
  <x:si>
    <x:t xml:space="preserve">Buff offensif</x:t>
  </x:si>
  <x:si>
    <x:t xml:space="preserve">Donne +1 en attaque avec le type d’arme indiqué.</x:t>
  </x:si>
  <x:si>
    <x:t xml:space="preserve">Passif - Spécialisation</x:t>
  </x:si>
  <x:si>
    <x:t xml:space="preserve">Spécialiste d’une arme.</x:t>
  </x:si>
  <x:si>
    <x:t xml:space="preserve">armeDePredilection:epee</x:t>
  </x:si>
  <x:si>
    <x:t xml:space="preserve">Défense - Armure de protection</x:t>
  </x:si>
  <x:si>
    <x:t xml:space="preserve">Buff défensif</x:t>
  </x:si>
  <x:si>
    <x:t xml:space="preserve">Si le PNJ porte une armure, le script annule ou réduit l’impact des critiques selon la logique prévue.</x:t>
  </x:si>
  <x:si>
    <x:t xml:space="preserve">Soldat en armure, garde d’élite.</x:t>
  </x:si>
  <x:si>
    <x:t xml:space="preserve">armureProtection</x:t>
  </x:si>
  <x:si>
    <x:t xml:space="preserve">Défense - Armure lourde</x:t>
  </x:si>
  <x:si>
    <x:t xml:space="preserve">Si le PNJ porte une armure lourde avec DEF suffisante, les effets critiques sont annulés.</x:t>
  </x:si>
  <x:si>
    <x:t xml:space="preserve">Passif - Défense lourde</x:t>
  </x:si>
  <x:si>
    <x:t xml:space="preserve">Chevalier, garde lourd, capitaine.</x:t>
  </x:si>
  <x:si>
    <x:t xml:space="preserve">armureLourdeGuerrier</x:t>
  </x:si>
  <x:si>
    <x:t xml:space="preserve">Aura - Drain de force</x:t>
  </x:si>
  <x:si>
    <x:t xml:space="preserve">Debuff aura</x:t>
  </x:si>
  <x:si>
    <x:t xml:space="preserve">Le PNJ porte une aura qui affaiblit les créatures proches selon la logique de drain de force.</x:t>
  </x:si>
  <x:si>
    <x:t xml:space="preserve">Passif - Aura</x:t>
  </x:si>
  <x:si>
    <x:t xml:space="preserve">Présence mortuaire affaiblissante.</x:t>
  </x:si>
  <x:si>
    <x:t xml:space="preserve">auraDrainDeForce</x:t>
  </x:si>
  <x:si>
    <x:t xml:space="preserve">Aura - Drain de force supérieur</x:t>
  </x:si>
  <x:si>
    <x:t xml:space="preserve">Version plus dangereuse de l’aura de drain de force.</x:t>
  </x:si>
  <x:si>
    <x:t xml:space="preserve">Pour élite ou boss mort-vivant.</x:t>
  </x:si>
  <x:si>
    <x:t xml:space="preserve">auraDrainDeForceSup</x:t>
  </x:si>
  <x:si>
    <x:t xml:space="preserve">Aura - Profanation</x:t>
  </x:si>
  <x:si>
    <x:t xml:space="preserve">Buff/Debuff aura</x:t>
  </x:si>
  <x:si>
    <x:t xml:space="preserve">Le PNJ devient une source d’aura de profanation reconnue par le script autour de lui.</x:t>
  </x:si>
  <x:si>
    <x:t xml:space="preserve">Zone impie autour du mort-vivant.</x:t>
  </x:si>
  <x:si>
    <x:t xml:space="preserve">auraDeProfanation</x:t>
  </x:si>
  <x:si>
    <x:t xml:space="preserve">Soin offensif - Siphon des âmes</x:t>
  </x:si>
  <x:si>
    <x:t xml:space="preserve">Buff soin</x:t>
  </x:si>
  <x:si>
    <x:t xml:space="preserve">Le PNJ peut siphonner les âmes selon la logique du script, souvent lors de la mort d’une créature proche.</x:t>
  </x:si>
  <x:si>
    <x:t xml:space="preserve">Passif - Soin offensif</x:t>
  </x:si>
  <x:si>
    <x:t xml:space="preserve">Vampire, spectre, nécromancien.</x:t>
  </x:si>
  <x:si>
    <x:t xml:space="preserve">siphonDesAmes</x:t>
  </x:si>
  <x:si>
    <x:t xml:space="preserve">Survie - Énergie de la mort</x:t>
  </x:si>
  <x:si>
    <x:t xml:space="preserve">Buff survie</x:t>
  </x:si>
  <x:si>
    <x:t xml:space="preserve">Le PNJ bénéficie d’une logique de persistance liée à la mort.</x:t>
  </x:si>
  <x:si>
    <x:t xml:space="preserve">Passif - Survie</x:t>
  </x:si>
  <x:si>
    <x:t xml:space="preserve">Mort-vivant qui ne reste pas facilement au sol.</x:t>
  </x:si>
  <x:si>
    <x:t xml:space="preserve">energieDeLaMort</x:t>
  </x:si>
  <x:si>
    <x:t xml:space="preserve">Mobilité - Âme féline</x:t>
  </x:si>
  <x:si>
    <x:t xml:space="preserve">Buff mobilité</x:t>
  </x:si>
  <x:si>
    <x:t xml:space="preserve">Donne un bonus aux tests d’acrobatie, course, escalade, saut et initiative.</x:t>
  </x:si>
  <x:si>
    <x:t xml:space="preserve">Passif - Mobilité</x:t>
  </x:si>
  <x:si>
    <x:t xml:space="preserve">Prédateur agile.</x:t>
  </x:si>
  <x:si>
    <x:t xml:space="preserve">ameFeline:2</x:t>
  </x:si>
  <x:si>
    <x:t xml:space="preserve">Défense - Réflexes félins</x:t>
  </x:si>
  <x:si>
    <x:t xml:space="preserve">Ajoute un bonus aux sauvegardes de DEX, utile contre pièges, zones et effets physiques.</x:t>
  </x:si>
  <x:si>
    <x:t xml:space="preserve">Passif - Réflexes</x:t>
  </x:si>
  <x:si>
    <x:t xml:space="preserve">Bête rapide ou nerveuse.</x:t>
  </x:si>
  <x:si>
    <x:t xml:space="preserve">reflexesFelins:2</x:t>
  </x:si>
  <x:si>
    <x:t xml:space="preserve">Perception - Sens affûtés</x:t>
  </x:si>
  <x:si>
    <x:t xml:space="preserve">Buff perception</x:t>
  </x:si>
  <x:si>
    <x:t xml:space="preserve">Améliore la vigilance et la perception naturelle de la créature selon la logique du script.</x:t>
  </x:si>
  <x:si>
    <x:t xml:space="preserve">Passif - Perception</x:t>
  </x:si>
  <x:si>
    <x:t xml:space="preserve">Odorat, ouïe, instinct.</x:t>
  </x:si>
  <x:si>
    <x:t xml:space="preserve">sensAffutes</x:t>
  </x:si>
  <x:si>
    <x:t xml:space="preserve">Prédation - Chasseur d’humanoïdes</x:t>
  </x:si>
  <x:si>
    <x:t xml:space="preserve">Donne un bonus aux dégâts contre les humanoïdes.</x:t>
  </x:si>
  <x:si>
    <x:t xml:space="preserve">Passif - Prédateur</x:t>
  </x:si>
  <x:si>
    <x:t xml:space="preserve">Bête spécialisée dans la chasse aux humanoïdes.</x:t>
  </x:si>
  <x:si>
    <x:t xml:space="preserve">loupParmiLesLoups:2</x:t>
  </x:si>
  <x:si>
    <x:t xml:space="preserve">Transformation - Lycanthrope</x:t>
  </x:si>
  <x:si>
    <x:t xml:space="preserve">Buff/Debuff</x:t>
  </x:si>
  <x:si>
    <x:t xml:space="preserve">Le PNJ est traité comme lycanthrope et peut déclencher les mécaniques liées à la transformation.</x:t>
  </x:si>
  <x:si>
    <x:t xml:space="preserve">Passif - Transformation</x:t>
  </x:si>
  <x:si>
    <x:t xml:space="preserve">Loup-garou ou bête maudite.</x:t>
  </x:si>
  <x:si>
    <x:t xml:space="preserve">lycanthrope</x:t>
  </x:si>
  <x:si>
    <x:t xml:space="preserve">Défense - Cibles multiples</x:t>
  </x:si>
  <x:si>
    <x:t xml:space="preserve">Le PNJ est traité comme une nuée : les attaques non-AOE sont fortement limitées contre lui.</x:t>
  </x:si>
  <x:si>
    <x:t xml:space="preserve">Passif - Défense de nuée</x:t>
  </x:si>
  <x:si>
    <x:t xml:space="preserve">Essaim, colonie, nuée.</x:t>
  </x:si>
  <x:si>
    <x:t xml:space="preserve">ciblesMultiples</x:t>
  </x:si>
  <x:si>
    <x:t xml:space="preserve">Défense - Piqûres d’insectes</x:t>
  </x:si>
  <x:si>
    <x:t xml:space="preserve">Rend la vermine plus pénible à attaquer à distance selon la logique du script.</x:t>
  </x:si>
  <x:si>
    <x:t xml:space="preserve">Nuée qui gêne les tirs.</x:t>
  </x:si>
  <x:si>
    <x:t xml:space="preserve">piquresDInsectes:5</x:t>
  </x:si>
  <x:si>
    <x:t xml:space="preserve">Perception - Proprioception</x:t>
  </x:si>
  <x:si>
    <x:t xml:space="preserve">Le PNJ perçoit son environnement autrement que par la vue et résiste mieux à certains effets comme la peur.</x:t>
  </x:si>
  <x:si>
    <x:t xml:space="preserve">Passif - Perception spéciale</x:t>
  </x:si>
  <x:si>
    <x:t xml:space="preserve">Antennes, vibrations, instinct collectif.</x:t>
  </x:si>
  <x:si>
    <x:t xml:space="preserve">proprioception</x:t>
  </x:si>
  <x:si>
    <x:t xml:space="preserve">Défense - Pas de point vital</x:t>
  </x:si>
  <x:si>
    <x:t xml:space="preserve">Les attaques sournoises ne fonctionnent pas normalement contre cette créature.</x:t>
  </x:si>
  <x:si>
    <x:t xml:space="preserve">Trop de corps ou anatomie trop simple.</x:t>
  </x:si>
  <x:si>
    <x:t xml:space="preserve">immuniteAuxSournoises</x:t>
  </x:si>
  <x:si>
    <x:t xml:space="preserve">Contrôle - Mandibules naturelles</x:t>
  </x:si>
  <x:si>
    <x:t xml:space="preserve">Debuff contrôle</x:t>
  </x:si>
  <x:si>
    <x:t xml:space="preserve">Le PNJ peut agripper sur un bon jet d’attaque, représentant mandibules ou pattes qui se verrouillent.</x:t>
  </x:si>
  <x:si>
    <x:t xml:space="preserve">Fourmis géantes, araignées, scarabées.</x:t>
  </x:si>
  <x:si>
    <x:t xml:space="preserve">Mobilité - Nage supérieure</x:t>
  </x:si>
  <x:si>
    <x:t xml:space="preserve">Ajoute +5 aux tests de nage.</x:t>
  </x:si>
  <x:si>
    <x:t xml:space="preserve">Passif - Déplacement</x:t>
  </x:si>
  <x:si>
    <x:t xml:space="preserve">Créature très mobile dans l’eau.</x:t>
  </x:si>
  <x:si>
    <x:t xml:space="preserve">bonusTests_nage:5</x:t>
  </x:si>
  <x:si>
    <x:t xml:space="preserve">Perception - Sens aquatique</x:t>
  </x:si>
  <x:si>
    <x:t xml:space="preserve">Ajoute +5 aux tests de perception, pour sonar, vibrations ou sens marin.</x:t>
  </x:si>
  <x:si>
    <x:t xml:space="preserve">Sent les mouvements dans l’eau.</x:t>
  </x:si>
  <x:si>
    <x:t xml:space="preserve">Défense - Peau glissante</x:t>
  </x:si>
  <x:si>
    <x:t xml:space="preserve">Ajoute +5 aux tests pour échapper aux prises si tu utilises ce test à ta table.</x:t>
  </x:si>
  <x:si>
    <x:t xml:space="preserve">Passif - Défense situationnelle</x:t>
  </x:si>
  <x:si>
    <x:t xml:space="preserve">Anguille, poulpe, poisson lisse.</x:t>
  </x:si>
  <x:si>
    <x:t xml:space="preserve">bonusTests_echapper:5</x:t>
  </x:si>
  <x:si>
    <x:t xml:space="preserve">Riposte - Peau venimeuse</x:t>
  </x:si>
  <x:si>
    <x:t xml:space="preserve">Debuff contact</x:t>
  </x:si>
  <x:si>
    <x:t xml:space="preserve">Une créature qui touche le PNJ au contact subit 1d4 poison.</x:t>
  </x:si>
  <x:si>
    <x:t xml:space="preserve">Peau toxique ou épines venimeuses.</x:t>
  </x:si>
  <x:si>
    <x:t xml:space="preserve">dmSiToucheContact:: 1d4 --poison</x:t>
  </x:si>
  <x:si>
    <x:t xml:space="preserve">Contrôle - Tentacules naturels</x:t>
  </x:si>
  <x:si>
    <x:t xml:space="preserve">Le PNJ peut agripper sur un bon jet d’attaque.</x:t>
  </x:si>
  <x:si>
    <x:t xml:space="preserve">Poulpe, kraken mineur, crabe géant.</x:t>
  </x:si>
  <x:si>
    <x:t xml:space="preserve">Défense - Anatomie illisible</x:t>
  </x:si>
  <x:si>
    <x:t xml:space="preserve">Les attaques sournoises ne s’appliquent pas normalement, car les organes ou points vitaux sont incompréhensibles.</x:t>
  </x:si>
  <x:si>
    <x:t xml:space="preserve">Créature impossible à lire.</x:t>
  </x:si>
  <x:si>
    <x:t xml:space="preserve">Perception - Proprioception anormale</x:t>
  </x:si>
  <x:si>
    <x:t xml:space="preserve">Le PNJ perçoit son environnement sans dépendre totalement de la vue ou des sens normaux.</x:t>
  </x:si>
  <x:si>
    <x:t xml:space="preserve">Sens aberrant.</x:t>
  </x:si>
  <x:si>
    <x:t xml:space="preserve">Défense mentale - Bouclier psychique</x:t>
  </x:si>
  <x:si>
    <x:t xml:space="preserve">Augmente la défense contre les attaques mentales et réduit leurs dégâts selon la logique du script.</x:t>
  </x:si>
  <x:si>
    <x:t xml:space="preserve">Passif - Défense mentale</x:t>
  </x:si>
  <x:si>
    <x:t xml:space="preserve">Esprit alien ou trop fragmenté.</x:t>
  </x:si>
  <x:si>
    <x:t xml:space="preserve">bouclierPsi</x:t>
  </x:si>
  <x:si>
    <x:t xml:space="preserve">Contrôle - Saisie et broyage</x:t>
  </x:si>
  <x:si>
    <x:t xml:space="preserve">Le PNJ est configuré comme créature capable de saisir et broyer ses cibles.</x:t>
  </x:si>
  <x:si>
    <x:t xml:space="preserve">Passif - Contrôle fort</x:t>
  </x:si>
  <x:si>
    <x:t xml:space="preserve">Tentacules, pinces, appendices impossibles.</x:t>
  </x:si>
  <x:si>
    <x:t xml:space="preserve">saisirEtBroyer</x:t>
  </x:si>
  <x:si>
    <x:t xml:space="preserve">Riposte - Corps douloureux</x:t>
  </x:si>
  <x:si>
    <x:t xml:space="preserve">Une créature qui touche le PNJ au contact subit 1d4 dégâts normaux.</x:t>
  </x:si>
  <x:si>
    <x:t xml:space="preserve">Peau barbelée, chair agressive, angles coupants.</x:t>
  </x:si>
  <x:si>
    <x:t xml:space="preserve">Défense - Végétatif</x:t>
  </x:si>
  <x:si>
    <x:t xml:space="preserve">Le PNJ est traité comme créature végétative, ce qui le protège de plusieurs effets qui ciblent les vivants ou l’esprit.</x:t>
  </x:si>
  <x:si>
    <x:t xml:space="preserve">Passif - Type défensif</x:t>
  </x:si>
  <x:si>
    <x:t xml:space="preserve">Plante sans esprit humain.</x:t>
  </x:si>
  <x:si>
    <x:t xml:space="preserve">vegetatif</x:t>
  </x:si>
  <x:si>
    <x:t xml:space="preserve">Défense - Indéracinable</x:t>
  </x:si>
  <x:si>
    <x:t xml:space="preserve">Le PNJ résiste aux effets qui cherchent à le déplacer, le renverser ou le déraciner.</x:t>
  </x:si>
  <x:si>
    <x:t xml:space="preserve">Passif - Stabilité</x:t>
  </x:si>
  <x:si>
    <x:t xml:space="preserve">Racines profondes, tronc massif.</x:t>
  </x:si>
  <x:si>
    <x:t xml:space="preserve">inderacinable</x:t>
  </x:si>
  <x:si>
    <x:t xml:space="preserve">Terrain - Marche sylvestre</x:t>
  </x:si>
  <x:si>
    <x:t xml:space="preserve">Buff terrain</x:t>
  </x:si>
  <x:si>
    <x:t xml:space="preserve">Le PNJ ignore les conditions hostiles de terrain et gagne +2 attaque/DEF en terrain difficile.</x:t>
  </x:si>
  <x:si>
    <x:t xml:space="preserve">Passif - Terrain</x:t>
  </x:si>
  <x:si>
    <x:t xml:space="preserve">Créature adaptée à la végétation.</x:t>
  </x:si>
  <x:si>
    <x:t xml:space="preserve">marcheSylvestre</x:t>
  </x:si>
  <x:si>
    <x:t xml:space="preserve">Soin - Nature nourricière</x:t>
  </x:si>
  <x:si>
    <x:t xml:space="preserve">Buff soutien</x:t>
  </x:si>
  <x:si>
    <x:t xml:space="preserve">Active la logique de nature nourricière/baies si tu l’utilises pour une créature végétale de soutien.</x:t>
  </x:si>
  <x:si>
    <x:t xml:space="preserve">Passif - Soutien</x:t>
  </x:si>
  <x:si>
    <x:t xml:space="preserve">Plante médicinale ou nourricière.</x:t>
  </x:si>
  <x:si>
    <x:t xml:space="preserve">natureNourriciereBaies</x:t>
  </x:si>
  <x:si>
    <x:t xml:space="preserve">Riposte - Corps épineux</x:t>
  </x:si>
  <x:si>
    <x:t xml:space="preserve">Épines, ronces, écorce coupante.</x:t>
  </x:si>
  <x:si>
    <x:t xml:space="preserve">Défense - Illusion instable</x:t>
  </x:si>
  <x:si>
    <x:t xml:space="preserve">Le PNJ est traité comme une illusion qui peut disparaître/réapparaître lorsqu’on tente de le toucher.</x:t>
  </x:si>
  <x:si>
    <x:t xml:space="preserve">Passif - Défense spéciale</x:t>
  </x:si>
  <x:si>
    <x:t xml:space="preserve">Double, mirage, image féerique.</x:t>
  </x:si>
  <x:si>
    <x:t xml:space="preserve">estUneIllusion</x:t>
  </x:si>
  <x:si>
    <x:t xml:space="preserve">Mobilité - Liberté d’action</x:t>
  </x:si>
  <x:si>
    <x:t xml:space="preserve">Le PNJ est immunisé aux effets qui entravent le mouvement.</x:t>
  </x:si>
  <x:si>
    <x:t xml:space="preserve">Passif - Anti-entrave</x:t>
  </x:si>
  <x:si>
    <x:t xml:space="preserve">Créature impossible à retenir.</x:t>
  </x:si>
  <x:si>
    <x:t xml:space="preserve">liberteDAction</x:t>
  </x:si>
  <x:si>
    <x:t xml:space="preserve">Défense - Esquive acrobatique</x:t>
  </x:si>
  <x:si>
    <x:t xml:space="preserve">Le script peut proposer des esquives acrobatiques quand les conditions sont réunies.</x:t>
  </x:si>
  <x:si>
    <x:t xml:space="preserve">Passif - Esquive</x:t>
  </x:si>
  <x:si>
    <x:t xml:space="preserve">Fée rapide et insaisissable.</x:t>
  </x:si>
  <x:si>
    <x:t xml:space="preserve">esquiveAcrobatique</x:t>
  </x:si>
  <x:si>
    <x:t xml:space="preserve">Défense - Invisible en combat</x:t>
  </x:si>
  <x:si>
    <x:t xml:space="preserve">Le PNJ dispose d’une logique d’invisibilité en combat si utilisée par le script.</x:t>
  </x:si>
  <x:si>
    <x:t xml:space="preserve">Disparition féerique.</x:t>
  </x:si>
  <x:si>
    <x:t xml:space="preserve">invisibleEnCombat</x:t>
  </x:si>
  <x:si>
    <x:t xml:space="preserve">Debuff - Attaque sournoise féerique</x:t>
  </x:si>
  <x:si>
    <x:t xml:space="preserve">Ajoute 1d6 aux dégâts sournois quand les conditions sont réunies.</x:t>
  </x:si>
  <x:si>
    <x:t xml:space="preserve">Farce cruelle, frappe dans le dos.</x:t>
  </x:si>
  <x:si>
    <x:t xml:space="preserve">attaqueSournoise:1</x:t>
  </x:si>
  <x:si>
    <x:t xml:space="preserve">Attaque - Dévorer naturel</x:t>
  </x:si>
  <x:si>
    <x:t xml:space="preserve">Le PNJ est configuré comme créature capable de saisir une proie entre crocs et griffes via les mécaniques de dévoration.</x:t>
  </x:si>
  <x:si>
    <x:t xml:space="preserve">Grande gueule, mâchoires, prédateur massif.</x:t>
  </x:si>
  <x:si>
    <x:t xml:space="preserve">devorer</x:t>
  </x:si>
  <x:si>
    <x:t xml:space="preserve">Attaque - Gober</x:t>
  </x:si>
  <x:si>
    <x:t xml:space="preserve">Le PNJ est configuré pour les mécaniques de créature qui avale ou engloutit une cible.</x:t>
  </x:si>
  <x:si>
    <x:t xml:space="preserve">Ver géant, monstre à gueule, horreur.</x:t>
  </x:si>
  <x:si>
    <x:t xml:space="preserve">gober</x:t>
  </x:si>
  <x:si>
    <x:t xml:space="preserve">Contrôle - Saisir et broyer</x:t>
  </x:si>
  <x:si>
    <x:t xml:space="preserve">Le PNJ est configuré comme créature capable d’écraser ce qu’elle tient.</x:t>
  </x:si>
  <x:si>
    <x:t xml:space="preserve">Pince, mâchoire, poigne énorme.</x:t>
  </x:si>
  <x:si>
    <x:t xml:space="preserve">Défense - Ventre mou</x:t>
  </x:si>
  <x:si>
    <x:t xml:space="preserve">Faiblesse interne</x:t>
  </x:si>
  <x:si>
    <x:t xml:space="preserve">Marque la créature avec un point faible exploitable par certaines mécaniques ou rappels MJ.</x:t>
  </x:si>
  <x:si>
    <x:t xml:space="preserve">Passif - Faiblesse mécanique</x:t>
  </x:si>
  <x:si>
    <x:t xml:space="preserve">Point faible de boss.</x:t>
  </x:si>
  <x:si>
    <x:t xml:space="preserve">ventreMou</x:t>
  </x:si>
  <x:si>
    <x:t xml:space="preserve">Attaque - Gros monstre grosse arme</x:t>
  </x:si>
  <x:si>
    <x:t xml:space="preserve">Active la logique prévue pour les très grosses créatures utilisant des armes ou attaques massives.</x:t>
  </x:si>
  <x:si>
    <x:t xml:space="preserve">Passif - Attaque lourde</x:t>
  </x:si>
  <x:si>
    <x:t xml:space="preserve">Massue énorme, tronc, membre gigantesque.</x:t>
  </x:si>
  <x:si>
    <x:t xml:space="preserve">grosMonstreGrosseArme</x:t>
  </x:si>
  <x:si>
    <x:t xml:space="preserve">Défense - Division</x:t>
  </x:si>
  <x:si>
    <x:t xml:space="preserve">Le PNJ peut utiliser la logique de division de vase prévue par le script.</x:t>
  </x:si>
  <x:si>
    <x:t xml:space="preserve">La vase se sépare au lieu d’être simplement détruite.</x:t>
  </x:si>
  <x:si>
    <x:t xml:space="preserve">divisionVase</x:t>
  </x:si>
  <x:si>
    <x:t xml:space="preserve">Riposte - Corps acide</x:t>
  </x:si>
  <x:si>
    <x:t xml:space="preserve">Une créature qui touche le PNJ au contact subit 1d6 dégâts d’acide.</x:t>
  </x:si>
  <x:si>
    <x:t xml:space="preserve">Corps corrosif.</x:t>
  </x:si>
  <x:si>
    <x:t xml:space="preserve">dmSiToucheContact:: 1d6 --acide</x:t>
  </x:si>
  <x:si>
    <x:t xml:space="preserve">Défense - Forme amorphe</x:t>
  </x:si>
  <x:si>
    <x:t xml:space="preserve">Les attaques sournoises ne s’appliquent pas normalement : la créature n’a pas de point vital clair.</x:t>
  </x:si>
  <x:si>
    <x:t xml:space="preserve">Masse sans organes.</x:t>
  </x:si>
  <x:si>
    <x:t xml:space="preserve">Défense - Masse sans esprit</x:t>
  </x:si>
  <x:si>
    <x:t xml:space="preserve">Pas de pensée structurée.</x:t>
  </x:si>
  <x:si>
    <x:t xml:space="preserve">Soin - Reconstitution visqueuse</x:t>
  </x:si>
  <x:si>
    <x:t xml:space="preserve">Le PNJ récupère 3 PV automatiquement via vitalité surnaturelle.</x:t>
  </x:si>
  <x:si>
    <x:t xml:space="preserve">Masse qui se reforme lentement.</x:t>
  </x:si>
  <x:si>
    <x:t xml:space="preserve">Soin offensif - Énergie impie</x:t>
  </x:si>
  <x:si>
    <x:t xml:space="preserve">Améliore les dégâts et les soins quand le PNJ draine des PV.</x:t>
  </x:si>
  <x:si>
    <x:t xml:space="preserve">Démon qui se nourrit de la souffrance.</x:t>
  </x:si>
  <x:si>
    <x:t xml:space="preserve">energieImpie</x:t>
  </x:si>
  <x:si>
    <x:t xml:space="preserve">Défense morale - Sans peur</x:t>
  </x:si>
  <x:si>
    <x:t xml:space="preserve">Créature infernale impossible à intimider.</x:t>
  </x:si>
  <x:si>
    <x:t xml:space="preserve">Défense - Résistance non magique</x:t>
  </x:si>
  <x:si>
    <x:t xml:space="preserve">Les dégâts non magiques sont réduits selon la logique de résistance du script.</x:t>
  </x:si>
  <x:si>
    <x:t xml:space="preserve">Passif - Résistance</x:t>
  </x:si>
  <x:si>
    <x:t xml:space="preserve">Démon difficile à blesser avec du banal.</x:t>
  </x:si>
  <x:si>
    <x:t xml:space="preserve">resistanceA_nonMagique</x:t>
  </x:si>
  <x:si>
    <x:t xml:space="preserve">Riposte - Corps infernal</x:t>
  </x:si>
  <x:si>
    <x:t xml:space="preserve">Une créature qui touche le PNJ au contact subit 1d6 feu.</x:t>
  </x:si>
  <x:si>
    <x:t xml:space="preserve">Corps brûlant ou infernal.</x:t>
  </x:si>
  <x:si>
    <x:t xml:space="preserve">dmSiToucheContact:: 1d6 --feu</x:t>
  </x:si>
  <x:si>
    <x:t xml:space="preserve">Alignement - Mauvais</x:t>
  </x:si>
  <x:si>
    <x:t xml:space="preserve">Debuff/interaction</x:t>
  </x:si>
  <x:si>
    <x:t xml:space="preserve">Le PNJ est reconnu comme mauvais pour les effets qui ciblent ou protègent contre le mal.</x:t>
  </x:si>
  <x:si>
    <x:t xml:space="preserve">Passif - Interaction</x:t>
  </x:si>
  <x:si>
    <x:t xml:space="preserve">Sert aux protections et châtiments.</x:t>
  </x:si>
  <x:si>
    <x:t xml:space="preserve">mauvais</x:t>
  </x:si>
  <x:si>
    <x:t xml:space="preserve">Présence - Argument de taille</x:t>
  </x:si>
  <x:si>
    <x:t xml:space="preserve">Les alliés bénéficient de l’impact social ou intimidant du modificateur de FOR du PNJ.</x:t>
  </x:si>
  <x:si>
    <x:t xml:space="preserve">Passif - Support</x:t>
  </x:si>
  <x:si>
    <x:t xml:space="preserve">Un géant impressionne tout le monde.</x:t>
  </x:si>
  <x:si>
    <x:t xml:space="preserve">argumentDeTaille</x:t>
  </x:si>
  <x:si>
    <x:t xml:space="preserve">Force - Tour de force</x:t>
  </x:si>
  <x:si>
    <x:t xml:space="preserve">Buff physique</x:t>
  </x:si>
  <x:si>
    <x:t xml:space="preserve">Active la logique de tour de force du script.</x:t>
  </x:si>
  <x:si>
    <x:t xml:space="preserve">Passif - Force</x:t>
  </x:si>
  <x:si>
    <x:t xml:space="preserve">Effort massif ou exploit physique.</x:t>
  </x:si>
  <x:si>
    <x:t xml:space="preserve">tourDeForce</x:t>
  </x:si>
  <x:si>
    <x:t xml:space="preserve">Attaque - Arme massive</x:t>
  </x:si>
  <x:si>
    <x:t xml:space="preserve">Active la logique de grosse arme/gros monstre.</x:t>
  </x:si>
  <x:si>
    <x:t xml:space="preserve">Massue, rocher, tronc.</x:t>
  </x:si>
  <x:si>
    <x:t xml:space="preserve">Attaque - Bûcheron</x:t>
  </x:si>
  <x:si>
    <x:t xml:space="preserve">Augmente les dégâts des armes à deux mains contre les grandes et très grandes créatures.</x:t>
  </x:si>
  <x:si>
    <x:t xml:space="preserve">Géant taillé pour abattre du gros.</x:t>
  </x:si>
  <x:si>
    <x:t xml:space="preserve">bucheron</x:t>
  </x:si>
  <x:si>
    <x:t xml:space="preserve">Contrôle - Poigne broyeuse</x:t>
  </x:si>
  <x:si>
    <x:t xml:space="preserve">Le PNJ peut saisir et broyer ses cibles avec sa force.</x:t>
  </x:si>
  <x:si>
    <x:t xml:space="preserve">Main géante, prise écrasante.</x:t>
  </x:si>
  <x:si>
    <x:t xml:space="preserve">Corps - Élémentaire de feu</x:t>
  </x:si>
  <x:si>
    <x:t xml:space="preserve">Le PNJ est traité comme ayant un corps élémentaire de feu, avec les effets associés par le script.</x:t>
  </x:si>
  <x:si>
    <x:t xml:space="preserve">Passif - Corps élémentaire</x:t>
  </x:si>
  <x:si>
    <x:t xml:space="preserve">Élémentaire de feu.</x:t>
  </x:si>
  <x:si>
    <x:t xml:space="preserve">corpsElementaire:feu</x:t>
  </x:si>
  <x:si>
    <x:t xml:space="preserve">Corps - Contact élémentaire</x:t>
  </x:si>
  <x:si>
    <x:t xml:space="preserve">Une créature qui touche le PNJ au contact subit 1d6 dégâts du type choisi.</x:t>
  </x:si>
  <x:si>
    <x:t xml:space="preserve">Brûlure, froid, acide ou foudre au contact.</x:t>
  </x:si>
  <x:si>
    <x:t xml:space="preserve">Défense - Résistance élémentaire large</x:t>
  </x:si>
  <x:si>
    <x:t xml:space="preserve">Divise les effets élémentaires via la résistance élémentaire générique.</x:t>
  </x:si>
  <x:si>
    <x:t xml:space="preserve">Corps fait d’énergie ou de matière élémentaire.</x:t>
  </x:si>
  <x:si>
    <x:t xml:space="preserve">diviseEffet_elementaire</x:t>
  </x:si>
  <x:si>
    <x:t xml:space="preserve">Défense - Immunité élémentaire</x:t>
  </x:si>
  <x:si>
    <x:t xml:space="preserve">Le PNJ ignore les dégâts du type choisi.</x:t>
  </x:si>
  <x:si>
    <x:t xml:space="preserve">À adapter selon l’élément.</x:t>
  </x:si>
  <x:si>
    <x:t xml:space="preserve">immunite_feu</x:t>
  </x:si>
  <x:si>
    <x:t xml:space="preserve">Soin - Régénération élémentaire</x:t>
  </x:si>
  <x:si>
    <x:t xml:space="preserve">Le script propose une régénération si une source élémentaire proche est disponible.</x:t>
  </x:si>
  <x:si>
    <x:t xml:space="preserve">Passif - Soin conditionnel</x:t>
  </x:si>
  <x:si>
    <x:t xml:space="preserve">Élémentaire qui se nourrit de son élément.</x:t>
  </x:si>
  <x:si>
    <x:t xml:space="preserve">Défense - Résistance magique</x:t>
  </x:si>
  <x:si>
    <x:t xml:space="preserve">Ajoute une défense contre les effets magiques selon la valeur indiquée.</x:t>
  </x:si>
  <x:si>
    <x:t xml:space="preserve">Passif - Défense magique</x:t>
  </x:si>
  <x:si>
    <x:t xml:space="preserve">Protection surnaturelle.</x:t>
  </x:si>
  <x:si>
    <x:t xml:space="preserve">DEF_magie:5</x:t>
  </x:si>
  <x:si>
    <x:t xml:space="preserve">Défense - Sagesse magique</x:t>
  </x:si>
  <x:si>
    <x:t xml:space="preserve">Améliore la résistance spirituelle/magique du PNJ.</x:t>
  </x:si>
  <x:si>
    <x:t xml:space="preserve">Force d’âme céleste.</x:t>
  </x:si>
  <x:si>
    <x:t xml:space="preserve">bonusSagesseMagie:5</x:t>
  </x:si>
  <x:si>
    <x:t xml:space="preserve">Soutien - Exemplaire</x:t>
  </x:si>
  <x:si>
    <x:t xml:space="preserve">Le script peut proposer aux alliés de relancer certaines attaques.</x:t>
  </x:si>
  <x:si>
    <x:t xml:space="preserve">Présence inspirante.</x:t>
  </x:si>
  <x:si>
    <x:t xml:space="preserve">exemplaire</x:t>
  </x:si>
  <x:si>
    <x:t xml:space="preserve">Défense - Anneau de protection</x:t>
  </x:si>
  <x:si>
    <x:t xml:space="preserve">Annule ou réduit les effets critiques comme une protection spéciale.</x:t>
  </x:si>
  <x:si>
    <x:t xml:space="preserve">Passif - Protection</x:t>
  </x:si>
  <x:si>
    <x:t xml:space="preserve">Aura défensive ou grâce protectrice.</x:t>
  </x:si>
  <x:si>
    <x:t xml:space="preserve">anneauProtection</x:t>
  </x:si>
  <x:si>
    <x:t xml:space="preserve">Riposte - Contact lumineux</x:t>
  </x:si>
  <x:si>
    <x:t xml:space="preserve">Une créature qui touche le PNJ au contact subit 1d6 dégâts de feu.</x:t>
  </x:si>
  <x:si>
    <x:t xml:space="preserve">Lumière brûlante ou aura sacrée.</x:t>
  </x:si>
  <x:si>
    <x:t xml:space="preserve">Défense - Créature artificielle</x:t>
  </x:si>
  <x:si>
    <x:t xml:space="preserve">Le PNJ est traité comme artificiel : cela le protège notamment de plusieurs effets organiques.</x:t>
  </x:si>
  <x:si>
    <x:t xml:space="preserve">Golem, automate, statue animée.</x:t>
  </x:si>
  <x:si>
    <x:t xml:space="preserve">creatureArtificielle</x:t>
  </x:si>
  <x:si>
    <x:t xml:space="preserve">Défense - Immunité magie de golem</x:t>
  </x:si>
  <x:si>
    <x:t xml:space="preserve">Active l’immunité à la magie spécifique des golems.</x:t>
  </x:si>
  <x:si>
    <x:t xml:space="preserve">Passif - Immunité magique</x:t>
  </x:si>
  <x:si>
    <x:t xml:space="preserve">Golem classique.</x:t>
  </x:si>
  <x:si>
    <x:t xml:space="preserve">immuniteMagieGolem</x:t>
  </x:si>
  <x:si>
    <x:t xml:space="preserve">Défense - Immunité aux armes</x:t>
  </x:si>
  <x:si>
    <x:t xml:space="preserve">Le PNJ ignore certaines attaques d’armes selon le niveau magique ou la logique du script.</x:t>
  </x:si>
  <x:si>
    <x:t xml:space="preserve">Construct très résistant.</x:t>
  </x:si>
  <x:si>
    <x:t xml:space="preserve">immuniteAuxArmes</x:t>
  </x:si>
  <x:si>
    <x:t xml:space="preserve">Défense - Immunité non magique</x:t>
  </x:si>
  <x:si>
    <x:t xml:space="preserve">Le PNJ ignore ou résiste aux attaques non magiques.</x:t>
  </x:si>
  <x:si>
    <x:t xml:space="preserve">Armure animée, golem, statue.</x:t>
  </x:si>
  <x:si>
    <x:t xml:space="preserve">immunite_nonMagique</x:t>
  </x:si>
  <x:si>
    <x:t xml:space="preserve">Riposte - Corps électrifié</x:t>
  </x:si>
  <x:si>
    <x:t xml:space="preserve">Une créature qui touche le PNJ au contact subit 1d6 électrique.</x:t>
  </x:si>
  <x:si>
    <x:t xml:space="preserve">Mécanisme sous tension.</x:t>
  </x:si>
  <x:si>
    <x:t xml:space="preserve">dmSiToucheContact:: 1d6 --electrique</x:t>
  </x:si>
  <x:si>
    <x:t xml:space="preserve">Défense - Intangible</x:t>
  </x:si>
  <x:si>
    <x:t xml:space="preserve">Le PNJ bénéficie de l’intangibilité : immunité aux armes non magiques et division des autres dégâts selon le script.</x:t>
  </x:si>
  <x:si>
    <x:t xml:space="preserve">Fantôme, spectre, âme errante.</x:t>
  </x:si>
  <x:si>
    <x:t xml:space="preserve">creatureIntangible</x:t>
  </x:si>
  <x:si>
    <x:t xml:space="preserve">Soin offensif - Siphon d’âme</x:t>
  </x:si>
  <x:si>
    <x:t xml:space="preserve">Le PNJ peut siphonner les âmes selon la logique du script.</x:t>
  </x:si>
  <x:si>
    <x:t xml:space="preserve">Esprit qui se nourrit de la vie.</x:t>
  </x:si>
  <x:si>
    <x:t xml:space="preserve">Soin offensif - Priorité de siphon</x:t>
  </x:si>
  <x:si>
    <x:t xml:space="preserve">Si plusieurs créatures siphonnent, celle-ci passe avant les autres grâce à sa priorité.</x:t>
  </x:si>
  <x:si>
    <x:t xml:space="preserve">Passif - Priorité</x:t>
  </x:si>
  <x:si>
    <x:t xml:space="preserve">Esprit dominant ou boss spectral.</x:t>
  </x:si>
  <x:si>
    <x:t xml:space="preserve">siphonDesAmesPrioritaire:10</x:t>
  </x:si>
  <x:si>
    <x:t xml:space="preserve">Défense - Illusion spectrale</x:t>
  </x:si>
  <x:si>
    <x:t xml:space="preserve">Le PNJ est traité comme une illusion instable qui peut disparaître/réapparaître.</x:t>
  </x:si>
  <x:si>
    <x:t xml:space="preserve">Apparition trompeuse.</x:t>
  </x:si>
  <x:si>
    <x:t xml:space="preserve">Riposte - Contact glacial</x:t>
  </x:si>
  <x:si>
    <x:t xml:space="preserve">Une créature qui touche le PNJ au contact subit 1d6 froid.</x:t>
  </x:si>
  <x:si>
    <x:t xml:space="preserve">Froid spectral.</x:t>
  </x:si>
  <x:si>
    <x:t xml:space="preserve">dmSiToucheContact:: 1d6 --froid</x:t>
  </x:si>
  <x:si>
    <x:t xml:space="preserve">Contrôle - Regard pétrifiant</x:t>
  </x:si>
  <x:si>
    <x:t xml:space="preserve">Le script propose un effet de regard pétrifiant avec une difficulté de CON basée sur la valeur du prédicat.</x:t>
  </x:si>
  <x:si>
    <x:t xml:space="preserve">Passif - Regard</x:t>
  </x:si>
  <x:si>
    <x:t xml:space="preserve">Regard de boss ou dragon ancien.</x:t>
  </x:si>
  <x:si>
    <x:t xml:space="preserve">regardPetrifiant:16</x:t>
  </x:si>
  <x:si>
    <x:t xml:space="preserve">Défense - Écailles renforcées</x:t>
  </x:si>
  <x:si>
    <x:t xml:space="preserve">Ajoute une RD de 5 pour représenter des écailles épaisses.</x:t>
  </x:si>
  <x:si>
    <x:t xml:space="preserve">Armure naturelle de dragon.</x:t>
  </x:si>
  <x:si>
    <x:t xml:space="preserve">bonus_RD:: 5</x:t>
  </x:si>
  <x:si>
    <x:t xml:space="preserve">Le dragon ignore les dégâts du type choisi.</x:t>
  </x:si>
  <x:si>
    <x:t xml:space="preserve">À adapter à la couleur du dragon.</x:t>
  </x:si>
  <x:si>
    <x:t xml:space="preserve">Soin - Vitalité draconique</x:t>
  </x:si>
  <x:si>
    <x:t xml:space="preserve">Le dragon récupère automatiquement 5 PV via vitalité surnaturelle.</x:t>
  </x:si>
  <x:si>
    <x:t xml:space="preserve">Dragon très difficile à abattre.</x:t>
  </x:si>
  <x:si>
    <x:t xml:space="preserve">vitaliteSurnaturelle:5</x:t>
  </x:si>
  <x:si>
    <x:t xml:space="preserve">Contrôle - Dévorer draconique</x:t>
  </x:si>
  <x:si>
    <x:t xml:space="preserve">Le dragon peut utiliser la logique de dévoration/saisie brutale sur ses attaques adaptées.</x:t>
  </x:si>
  <x:si>
    <x:t xml:space="preserve">Gueule, morsure, capture de proie.</x:t>
  </x:si>
  <x:si>
    <x:t xml:space="preserve">Sort - Projectile automatique</x:t>
  </x:si>
  <x:si>
    <x:t xml:space="preserve">Le lanceur inflige automatiquement 1d4 dégâts magiques à une cible à 50 m, sans jet de toucher. Recharge 1 tour.</x:t>
  </x:si>
  <x:si>
    <x:t xml:space="preserve">Actif - Sort d’attaque</x:t>
  </x:si>
  <x:si>
    <x:t xml:space="preserve">Petit projectile fiable pour harceler une cible.</x:t>
  </x:si>
  <x:si>
    <x:t xml:space="preserve">#Attaque Projectile automatique --auto --dm 1d4 --magique --portee 50 --sortilege --fx beam-magic --tempsRecharge rechargeGen(sortProjectileAuto) 1</x:t>
  </x:si>
  <x:si>
    <x:t xml:space="preserve">Sort - Projectile puissant</x:t>
  </x:si>
  <x:si>
    <x:t xml:space="preserve">Le lanceur fait une attaque magique à 30 m. Si elle touche, elle inflige 2d6+INT dégâts magiques. Recharge 3 tours.</x:t>
  </x:si>
  <x:si>
    <x:t xml:space="preserve">Projectile magique offensif simple.</x:t>
  </x:si>
  <x:si>
    <x:t xml:space="preserve">#Attaque Projectile puissant --toucher [[@{selected|ATKMAG}]] --dm 2d6+[[@{selected|INT}]] --magique --portee 30 --sortilege --fx beam-magic --tempsRecharge rechargeGen(sortProjectilePuissant) 3</x:t>
  </x:si>
  <x:si>
    <x:t xml:space="preserve">Sort - Rayon brûlant</x:t>
  </x:si>
  <x:si>
    <x:t xml:space="preserve">Dégâts feu</x:t>
  </x:si>
  <x:si>
    <x:t xml:space="preserve">Le lanceur fait une attaque magique à 30 m. Si elle touche, elle inflige 1d6+INT dégâts de feu et peut enflammer la cible. Recharge 3 tours.</x:t>
  </x:si>
  <x:si>
    <x:t xml:space="preserve">Rayon de feu ciblé.</x:t>
  </x:si>
  <x:si>
    <x:t xml:space="preserve">#Attaque Rayon brûlant --toucher [[@{selected|ATKMAG}]] --dm 1d6+[[@{selected|INT}]] --feu --portee 30 --sortilege --fx beam-fire --enflamme --tempsRecharge rechargeGen(sortRayonBrulant) 3</x:t>
  </x:si>
  <x:si>
    <x:t xml:space="preserve">Sort - Explosion de feu</x:t>
  </x:si>
  <x:si>
    <x:t xml:space="preserve">Le lanceur déclenche une explosion à 30 m en disque de 6 m. Les cibles subissent 4d6+INT dégâts de feu, avec sauvegarde DEX 10+INT pour réduire. Recharge 5 tours.</x:t>
  </x:si>
  <x:si>
    <x:t xml:space="preserve">Actif - Sort de zone</x:t>
  </x:si>
  <x:si>
    <x:t xml:space="preserve">Explosion offensive classique.</x:t>
  </x:si>
  <x:si>
    <x:t xml:space="preserve">#Attaque Explosion de feu --toucher [[@{selected|ATKMAG}]] --dm 4d6+[[@{selected|INT}]] --feu --magique --portee 30 --sortilege --demiAuto --disque 6 --psave DEX [[10+@{selected|INT}]] --targetFx explode-fire --tempsRecharge rechargeGen(sortExplosionFeu) 5</x:t>
  </x:si>
  <x:si>
    <x:t xml:space="preserve">Sort - Cône sonore</x:t>
  </x:si>
  <x:si>
    <x:t xml:space="preserve">AOE cône</x:t>
  </x:si>
  <x:si>
    <x:t xml:space="preserve">Le lanceur projette un cône de 10 m. Les cibles touchées subissent 1d6+CHA dégâts soniques. Recharge 3 tours.</x:t>
  </x:si>
  <x:si>
    <x:t xml:space="preserve">Actif - Sort de cône</x:t>
  </x:si>
  <x:si>
    <x:t xml:space="preserve">Attaque sonore frontale.</x:t>
  </x:si>
  <x:si>
    <x:t xml:space="preserve">#Attaque Cône sonore --toucher [[@{selected|ATKMAG}]] --dm 1d6+[[@{selected|CHA}]] --portee 10 --sortilege --sonique --cone --fx breath-smoke --tempsRecharge rechargeGen(sortConeSonore) 3</x:t>
  </x:si>
  <x:si>
    <x:t xml:space="preserve">Sort - Onde de renversement</x:t>
  </x:si>
  <x:si>
    <x:t xml:space="preserve">Le lanceur crée une onde en disque de 10 m. Les cibles subissent 1d8+CHA dégâts magiques et tombent renversées si elles ratent FOR 10+CHA. Recharge 5 tours.</x:t>
  </x:si>
  <x:si>
    <x:t xml:space="preserve">Onde magique qui casse une formation.</x:t>
  </x:si>
  <x:si>
    <x:t xml:space="preserve">!cof-explosion Onde de renversement --auto --dm 1d8+[[@{selected|CHA}]] --portee 0 --sortilege --disque 10 --etat renverse --save FOR [[10+@{selected|CHA}]] --targetFx explode-magic --tempsRecharge rechargeGen(sortOndeRenversement) 5</x:t>
  </x:si>
  <x:si>
    <x:t xml:space="preserve">Sort - Entrave magique</x:t>
  </x:si>
  <x:si>
    <x:t xml:space="preserve">Le lanceur fait une attaque magique à 20 m. Si elle touche, elle ne fait pas de dégâts, mais la cible devient immobilisée si elle rate DEX 13. Recharge 4 tours.</x:t>
  </x:si>
  <x:si>
    <x:t xml:space="preserve">Actif - Sort de contrôle</x:t>
  </x:si>
  <x:si>
    <x:t xml:space="preserve">Bloque une cible dangereuse.</x:t>
  </x:si>
  <x:si>
    <x:t xml:space="preserve">#Attaque Entrave magique --toucher [[@{selected|ATKMAG}]] --pasDeDmg --portee 20 --sortilege --etat immobilise --save DEX 13 --tempsRecharge rechargeGen(sortEntraveMagique) 4</x:t>
  </x:si>
  <x:si>
    <x:t xml:space="preserve">Sort - Ralentissement magique</x:t>
  </x:si>
  <x:si>
    <x:t xml:space="preserve">Le lanceur fait une attaque magique à 20 m. Si elle touche, la cible devient ralentie si elle rate CON 13. Recharge 3 tours.</x:t>
  </x:si>
  <x:si>
    <x:t xml:space="preserve">Réduit la mobilité d’une cible.</x:t>
  </x:si>
  <x:si>
    <x:t xml:space="preserve">#Attaque Ralentissement magique --toucher [[@{selected|ATKMAG}]] --pasDeDmg --portee 20 --sortilege --etat ralenti --save CON 13 --tempsRecharge rechargeGen(sortRalentissementMagique) 3</x:t>
  </x:si>
  <x:si>
    <x:t xml:space="preserve">Sort - Étourdissement ciblé</x:t>
  </x:si>
  <x:si>
    <x:t xml:space="preserve">Le lanceur fait une attaque magique à 15 m. Si elle touche, la cible devient étourdie si elle rate CON 14. Recharge 5 tours.</x:t>
  </x:si>
  <x:si>
    <x:t xml:space="preserve">Neutralise brièvement une cible.</x:t>
  </x:si>
  <x:si>
    <x:t xml:space="preserve">#Attaque Étourdissement ciblé --toucher [[@{selected|ATKMAG}]] --pasDeDmg --portee 15 --sortilege --etat etourdi --save CON 14 --tempsRecharge rechargeGen(sortEtourdissementCible) 5</x:t>
  </x:si>
  <x:si>
    <x:t xml:space="preserve">Sort - Aveuglement ciblé</x:t>
  </x:si>
  <x:si>
    <x:t xml:space="preserve">Le lanceur fait une attaque magique à 20 m. Si elle touche, la cible devient aveugle si elle rate DEX 13. Recharge 4 tours.</x:t>
  </x:si>
  <x:si>
    <x:t xml:space="preserve">Retire la vision d’une cible.</x:t>
  </x:si>
  <x:si>
    <x:t xml:space="preserve">#Attaque Aveuglement ciblé --toucher [[@{selected|ATKMAG}]] --pasDeDmg --portee 20 --sortilege --etat aveugle --save DEX 13 --tempsRecharge rechargeGen(sortAveuglementCible) 4</x:t>
  </x:si>
  <x:si>
    <x:t xml:space="preserve">Sort - Peur ciblée</x:t>
  </x:si>
  <x:si>
    <x:t xml:space="preserve">Le lanceur cible une créature à 20 m. Le sort ne fait pas de dégâts, mais impose une peur difficulté 13 pendant 2 tours. Recharge 4 tours.</x:t>
  </x:si>
  <x:si>
    <x:t xml:space="preserve">Actif - Sort de peur</x:t>
  </x:si>
  <x:si>
    <x:t xml:space="preserve">Met une cible sous pression.</x:t>
  </x:si>
  <x:si>
    <x:t xml:space="preserve">#Attaque Peur ciblée --toucher [[@{selected|ATKMAG}]] --pasDeDmg --portee 20 --sortilege --peur 13 2 --tempsRecharge rechargeGen(sortPeurCiblee) 4</x:t>
  </x:si>
  <x:si>
    <x:t xml:space="preserve">Sort - Danse forcée</x:t>
  </x:si>
  <x:si>
    <x:t xml:space="preserve">Le lanceur fait une attaque magique à 20 m. Si elle touche, la cible subit danseIrresistible pendant 1d4+CHA tours. Recharge 6 tours.</x:t>
  </x:si>
  <x:si>
    <x:t xml:space="preserve">Force une cible à perdre le contrôle de ses actions.</x:t>
  </x:si>
  <x:si>
    <x:t xml:space="preserve">#Attaque Danse forcée --toucher [[@{selected|ATKMAG}]] --pasDeDmg --portee 20 --sortilege --effet danseIrresistible [[1d4+@{selected|CHA}]] --tempsRecharge rechargeGen(sortDanseForcee) 6</x:t>
  </x:si>
  <x:si>
    <x:t xml:space="preserve">Sort - Asphyxie ciblée</x:t>
  </x:si>
  <x:si>
    <x:t xml:space="preserve">Le lanceur fait une attaque magique à 20 m. Si elle touche, elle applique asphyxie pendant 1+INT tours. Recharge 5 tours.</x:t>
  </x:si>
  <x:si>
    <x:t xml:space="preserve">Coupe le souffle d’une cible.</x:t>
  </x:si>
  <x:si>
    <x:t xml:space="preserve">#Attaque Asphyxie ciblée --toucher [[@{selected|ATKMAG}]] --pasDeDmg --portee 20 --sortilege --effet asphyxie [[1+@{selected|INT}]] --tempsRecharge rechargeGen(sortAsphyxieCiblee) 5</x:t>
  </x:si>
  <x:si>
    <x:t xml:space="preserve">Sort - Poison persistant</x:t>
  </x:si>
  <x:si>
    <x:t xml:space="preserve">Dégâts durée</x:t>
  </x:si>
  <x:si>
    <x:t xml:space="preserve">Le lanceur fait une attaque magique à 20 m. Si elle touche, la cible subit 1d4 poison par tour pendant 4 tours, avec sauvegarde CON 12 chaque tour. Recharge 5 tours.</x:t>
  </x:si>
  <x:si>
    <x:t xml:space="preserve">Actif - Sort de DOT</x:t>
  </x:si>
  <x:si>
    <x:t xml:space="preserve">Poison magique ou malédiction toxique.</x:t>
  </x:si>
  <x:si>
    <x:t xml:space="preserve">#Attaque Poison persistant --toucher [[@{selected|ATKMAG}]] --pasDeDmg --portee 20 --sortilege --effet dotGen(poisonMagique) 4 --saveParTour CON 12 --valeur 1d4 poison --tempsRecharge rechargeGen(sortPoisonPersistant) 5</x:t>
  </x:si>
  <x:si>
    <x:t xml:space="preserve">Sort - Drain vital</x:t>
  </x:si>
  <x:si>
    <x:t xml:space="preserve">Drain</x:t>
  </x:si>
  <x:si>
    <x:t xml:space="preserve">Le lanceur fait une attaque magique à 30 m contre une cible vivante. Si elle touche, elle inflige 1d8+INT dégâts de drain. Recharge 4 tours.</x:t>
  </x:si>
  <x:si>
    <x:t xml:space="preserve">Actif - Sort de drain</x:t>
  </x:si>
  <x:si>
    <x:t xml:space="preserve">Vole ou consume l’énergie vitale.</x:t>
  </x:si>
  <x:si>
    <x:t xml:space="preserve">#Attaque Drain vital --toucher [[@{selected|ATKMAG}]] --dm 1d8+[[@{selected|INT}]] --portee 30 --sortilege --drain --seulementVivant --tempsRecharge rechargeGen(sortDrainVital) 4</x:t>
  </x:si>
  <x:si>
    <x:t xml:space="preserve">Sort - Peau protectrice</x:t>
  </x:si>
  <x:si>
    <x:t xml:space="preserve">Buff défense</x:t>
  </x:si>
  <x:si>
    <x:t xml:space="preserve">Le lanceur gagne une réduction de dégâts temporaire via peauDePierreMag pendant 5+INT tours. Recharge 6 tours.</x:t>
  </x:si>
  <x:si>
    <x:t xml:space="preserve">Actif - Buff défensif</x:t>
  </x:si>
  <x:si>
    <x:t xml:space="preserve">Encaisse mieux les dégâts.</x:t>
  </x:si>
  <x:si>
    <x:t xml:space="preserve">!cof-effet-temp peauDePierreMag [[5+@{selected|INT}]] --lanceur @{selected|token_id} --target @{selected|token_id} --tempsRecharge rechargeGen(sortPeauProtectrice) 6</x:t>
  </x:si>
  <x:si>
    <x:t xml:space="preserve">Sort - Bouclier ciblé</x:t>
  </x:si>
  <x:si>
    <x:t xml:space="preserve">Buff allié</x:t>
  </x:si>
  <x:si>
    <x:t xml:space="preserve">Le lanceur applique champDeProtection à une cible à 10 m pendant 1 tour, avec valeur choisie au lancement. Recharge 3 tours.</x:t>
  </x:si>
  <x:si>
    <x:t xml:space="preserve">Actif - Buff défensif ciblé</x:t>
  </x:si>
  <x:si>
    <x:t xml:space="preserve">Protège un allié au bon moment.</x:t>
  </x:si>
  <x:si>
    <x:t xml:space="preserve">!cof-effet-temp champDeProtection 1 --lanceur @{selected|token_id} --portee 10 --valeur ?{Valeur du champ|2} --target @{target|token_id} --tempsRecharge rechargeGen(sortBouclierCible) 3</x:t>
  </x:si>
  <x:si>
    <x:t xml:space="preserve">Sort - Bénédiction de groupe</x:t>
  </x:si>
  <x:si>
    <x:t xml:space="preserve">Buff alliés</x:t>
  </x:si>
  <x:si>
    <x:t xml:space="preserve">Le lanceur donne benediction aux alliés en vue et à lui-même pendant 3+SAG tours. Recharge 6 tours.</x:t>
  </x:si>
  <x:si>
    <x:t xml:space="preserve">Actif - Buff de groupe</x:t>
  </x:si>
  <x:si>
    <x:t xml:space="preserve">Améliore le groupe pendant le combat.</x:t>
  </x:si>
  <x:si>
    <x:t xml:space="preserve">!cof-effet-temp benediction [[3+@{selected|SAG}]] --alliesEnVue --self --tempsRecharge rechargeGen(sortBenedictionGroupe) 6</x:t>
  </x:si>
  <x:si>
    <x:t xml:space="preserve">Sort - Soin ciblé</x:t>
  </x:si>
  <x:si>
    <x:t xml:space="preserve">Le lanceur soigne une cible de 1d6+SAG PV. Recharge 4 tours.</x:t>
  </x:si>
  <x:si>
    <x:t xml:space="preserve">Actif - Soin combat</x:t>
  </x:si>
  <x:si>
    <x:t xml:space="preserve">Soin simple en combat.</x:t>
  </x:si>
  <x:si>
    <x:t xml:space="preserve">!cof-soin @{selected|token_id} @{target|token_id} [[1d6+@{selected|SAG}]] --tempsRecharge rechargeGen(sortSoinCible) 4</x:t>
  </x:si>
  <x:si>
    <x:t xml:space="preserve">Sort - Soin de zone proche</x:t>
  </x:si>
  <x:si>
    <x:t xml:space="preserve">Soin AOE</x:t>
  </x:si>
  <x:si>
    <x:t xml:space="preserve">Le lanceur soigne les alliés proches de 1d6 PV dans un rayon de 10 m. Recharge 6 tours.</x:t>
  </x:si>
  <x:si>
    <x:t xml:space="preserve">Actif - Soin de groupe</x:t>
  </x:si>
  <x:si>
    <x:t xml:space="preserve">Relève un petit groupe d’alliés.</x:t>
  </x:si>
  <x:si>
    <x:t xml:space="preserve">!cof-soin @{selected|token_id} 1d6 --allies 10 --tempsRecharge rechargeGen(sortSoinZoneProche) 6</x:t>
  </x:si>
  <x:si>
    <x:t xml:space="preserve">Sort - Silence de zone</x:t>
  </x:si>
  <x:si>
    <x:t xml:space="preserve">Contrôle zone</x:t>
  </x:si>
  <x:si>
    <x:t xml:space="preserve">Le lanceur crée une zone de silence autour d’une cible pendant 1d6+CHA tours. Recharge 6 tours.</x:t>
  </x:si>
  <x:si>
    <x:t xml:space="preserve">Gêne ou bloque les lanceurs de sorts.</x:t>
  </x:si>
  <x:si>
    <x:t xml:space="preserve">!cof-effet-temp zoneDeSilence [[1d6+@{selected|CHA}]] --lanceur @{selected|token_id} --portee 35 --disque @{target|token_id} 3 --tempsRecharge rechargeGen(sortSilenceZone) 6</x:t>
  </x:si>
  <x:si>
    <x:t xml:space="preserve">Sort - Arme élémentaire</x:t>
  </x:si>
  <x:si>
    <x:t xml:space="preserve">Le lanceur enchante l’arme de la cible au contact avec armeEnflammee pendant 5+INT tours. Recharge 5 tours.</x:t>
  </x:si>
  <x:si>
    <x:t xml:space="preserve">Actif - Buff d’arme</x:t>
  </x:si>
  <x:si>
    <x:t xml:space="preserve">Ajoute un effet offensif à une arme.</x:t>
  </x:si>
  <x:si>
    <x:t xml:space="preserve">!cof-effet-temp armeEnflammee [[5+@{selected|INT}]] --lanceur @{selected|token_id} --target @{target|token_id} --portee 0 --tempsRecharge rechargeGen(sortArmeElementaire) 5</x:t>
  </x:si>
  <x:si>
    <x:t xml:space="preserve">Sort - Coordination mentale</x:t>
  </x:si>
  <x:si>
    <x:t xml:space="preserve">Le lanceur applique benediction à un allié à 10 m pendant 2+SAG tours. Recharge 4 tours.</x:t>
  </x:si>
  <x:si>
    <x:t xml:space="preserve">Actif - Buff ciblé</x:t>
  </x:si>
  <x:si>
    <x:t xml:space="preserve">Sort de commandement ou d’encouragement.</x:t>
  </x:si>
  <x:si>
    <x:t xml:space="preserve">!cof-effet-temp benediction [[2+@{selected|SAG}]] --target @{target|token_id} --lanceur @{selected|token_id} --portee 10 --tempsRecharge rechargeGen(humSortCoordinationMentale) 4</x:t>
  </x:si>
  <x:si>
    <x:t xml:space="preserve">Sort - Pression tactique</x:t>
  </x:si>
  <x:si>
    <x:t xml:space="preserve">Le lanceur fait une attaque magique à 20 m. Si elle touche, la cible devient affaiblie si elle rate CON 13. Recharge 4 tours.</x:t>
  </x:si>
  <x:si>
    <x:t xml:space="preserve">Actif - Debuff ciblé</x:t>
  </x:si>
  <x:si>
    <x:t xml:space="preserve">Affaiblit une cible avant l’assaut.</x:t>
  </x:si>
  <x:si>
    <x:t xml:space="preserve">#Attaque Pression tactique --toucher [[@{selected|ATKMAG}]] --pasDeDmg --portee 20 --sortilege --etat affaibli --save CON 13 --tempsRecharge rechargeGen(humSortPressionTactique) 4</x:t>
  </x:si>
  <x:si>
    <x:t xml:space="preserve">Sort - Marque du duel</x:t>
  </x:si>
  <x:si>
    <x:t xml:space="preserve">Le lanceur marque une cible à 20 m. La cible subit peur difficulté 12 pendant 2 tours. Recharge 4 tours.</x:t>
  </x:si>
  <x:si>
    <x:t xml:space="preserve">Actif - Contrôle moral</x:t>
  </x:si>
  <x:si>
    <x:t xml:space="preserve">Intimidation magique ou défi.</x:t>
  </x:si>
  <x:si>
    <x:t xml:space="preserve">#Attaque Marque du duel --toucher [[@{selected|ATKMAG}]] --pasDeDmg --portee 20 --sortilege --peur 12 2 --tempsRecharge rechargeGen(humSortMarqueDuel) 4</x:t>
  </x:si>
  <x:si>
    <x:t xml:space="preserve">Sort - Garde magique</x:t>
  </x:si>
  <x:si>
    <x:t xml:space="preserve">Le lanceur donne champDeProtection valeur 2 à un allié proche pendant 1 tour. Recharge 3 tours.</x:t>
  </x:si>
  <x:si>
    <x:t xml:space="preserve">Actif - Buff allié</x:t>
  </x:si>
  <x:si>
    <x:t xml:space="preserve">Protection d’escouade.</x:t>
  </x:si>
  <x:si>
    <x:t xml:space="preserve">!cof-effet-temp champDeProtection 1 --lanceur @{selected|token_id} --portee 10 --valeur 2 --target @{target|token_id} --tempsRecharge rechargeGen(humSortGardeMagique) 3</x:t>
  </x:si>
  <x:si>
    <x:t xml:space="preserve">Sort - Rupture de moral</x:t>
  </x:si>
  <x:si>
    <x:t xml:space="preserve">AOE moral</x:t>
  </x:si>
  <x:si>
    <x:t xml:space="preserve">Le lanceur déclenche une peur en disque de 6 m, sauf alliés, difficulté 12 pendant 2 tours. Recharge 5 tours.</x:t>
  </x:si>
  <x:si>
    <x:t xml:space="preserve">Actif - Contrôle de groupe</x:t>
  </x:si>
  <x:si>
    <x:t xml:space="preserve">Cri magique ou bannière terrifiante.</x:t>
  </x:si>
  <x:si>
    <x:t xml:space="preserve">!cof-peur 12 2 --titre Rupture de moral --disque 6 --saufAllies --tempsRecharge rechargeGen(humSortRuptureMoral) 5</x:t>
  </x:si>
  <x:si>
    <x:t xml:space="preserve">Sort - Souffle de mort</x:t>
  </x:si>
  <x:si>
    <x:t xml:space="preserve">Le lanceur déclenche une attaque magique automatique en disque de 10 m à 20 m. Elle inflige 2d8+INT dégâts et applique souffleDeMort si CON 10 raté. Recharge 6 tours.</x:t>
  </x:si>
  <x:si>
    <x:t xml:space="preserve">Onde de mort autour du point ciblé.</x:t>
  </x:si>
  <x:si>
    <x:t xml:space="preserve">#Attaque Souffle de mort --toucher [[@{selected|ATKMAG}]] --dm 2d8+[[@{selected|INT}]] --portee 20 --sortilege --auto --disque 10 souffleDeMort --effet souffleDeMort 1 --save CON 10 --tempsRecharge rechargeGen(mvSortSouffleMort) 6</x:t>
  </x:si>
  <x:si>
    <x:t xml:space="preserve">Sort - Vent des âmes</x:t>
  </x:si>
  <x:si>
    <x:t xml:space="preserve">Le lanceur applique ventDesAmes à une cible. La durée est basée sur la SAG du lanceur. Recharge 5 tours.</x:t>
  </x:si>
  <x:si>
    <x:t xml:space="preserve">Les âmes tourmentent la cible.</x:t>
  </x:si>
  <x:si>
    <x:t xml:space="preserve">!cof-effet-temp ventDesAmes @{selected|SAG} --lanceur @{selected|token_id} --target @{target|token_id} --tempsRecharge rechargeGen(mvSortVentAmes) 5</x:t>
  </x:si>
  <x:si>
    <x:t xml:space="preserve">Sort - Hémorragie nécrotique</x:t>
  </x:si>
  <x:si>
    <x:t xml:space="preserve">Le lanceur fait une attaque magique à 10 m. Si elle touche, elle applique hemorragie pendant 5+INT tours. Recharge 6 tours.</x:t>
  </x:si>
  <x:si>
    <x:t xml:space="preserve">Actif - DOT nécromantique</x:t>
  </x:si>
  <x:si>
    <x:t xml:space="preserve">Fait saigner ou dépérir la cible.</x:t>
  </x:si>
  <x:si>
    <x:t xml:space="preserve">#Attaque Hémorragie nécrotique --toucher [[@{selected|ATKMAG}]] --pasDeDmg --portee 10 --sortilege --necromancie --effet hemorragie [[5+@{selected|INT}]] --tempsRecharge rechargeGen(mvSortHemorragie) 6</x:t>
  </x:si>
  <x:si>
    <x:t xml:space="preserve">Sort - Lien de sang</x:t>
  </x:si>
  <x:si>
    <x:t xml:space="preserve">Le lanceur fait une attaque magique à 20 m. Si elle touche, elle applique lienDeSang pendant 5+INT tours. Recharge 7 tours.</x:t>
  </x:si>
  <x:si>
    <x:t xml:space="preserve">Actif - Debuff nécromantique</x:t>
  </x:si>
  <x:si>
    <x:t xml:space="preserve">Lie la cible à une douleur persistante.</x:t>
  </x:si>
  <x:si>
    <x:t xml:space="preserve">#Attaque Lien de sang --toucher [[@{selected|ATKMAG}]] --pasDeDmg --portee 20 --sortilege --necromancie --effet lienDeSang [[5+@{selected|INT}]] --tempsRecharge rechargeGen(mvSortLienSang) 7</x:t>
  </x:si>
  <x:si>
    <x:t xml:space="preserve">Sort - Masque funéraire</x:t>
  </x:si>
  <x:si>
    <x:t xml:space="preserve">Le lanceur applique masqueMortuaire sur lui-même pendant 5+INT tours. Recharge 6 tours.</x:t>
  </x:si>
  <x:si>
    <x:t xml:space="preserve">Actif - Buff personnel</x:t>
  </x:si>
  <x:si>
    <x:t xml:space="preserve">Renforce la présence mortuaire.</x:t>
  </x:si>
  <x:si>
    <x:t xml:space="preserve">!cof-effet-temp masqueMortuaire [[5+@{selected|INT}]] --lanceur @{selected|token_id} --target @{selected|token_id} --tempsRecharge rechargeGen(mvSortMasqueFuneraire) 6</x:t>
  </x:si>
  <x:si>
    <x:t xml:space="preserve">Sort - Bond mystique</x:t>
  </x:si>
  <x:si>
    <x:t xml:space="preserve">Mobilité offensive</x:t>
  </x:si>
  <x:si>
    <x:t xml:space="preserve">Le lanceur se jette magiquement sur une cible à 20 m et fait une attaque magique infligeant 1d6+SAG dégâts magiques. Recharge 3 tours.</x:t>
  </x:si>
  <x:si>
    <x:t xml:space="preserve">Actif - Sort d’assaut</x:t>
  </x:si>
  <x:si>
    <x:t xml:space="preserve">Bond surnaturel de prédateur.</x:t>
  </x:si>
  <x:si>
    <x:t xml:space="preserve">#Attaque Bond mystique --toucher [[@{selected|ATKMAG}]] --dm 1d6+[[@{selected|SAG}]] --magique --portee 20 --sortilege --tempsRecharge rechargeGen(beteSortBondMystique) 3</x:t>
  </x:si>
  <x:si>
    <x:t xml:space="preserve">Sort - Rugissement de chasse</x:t>
  </x:si>
  <x:si>
    <x:t xml:space="preserve">AOE peur</x:t>
  </x:si>
  <x:si>
    <x:t xml:space="preserve">Le lanceur déclenche une peur en disque de 10 m, sauf alliés, difficulté 13 pendant 1d4 tours. Recharge 5 tours.</x:t>
  </x:si>
  <x:si>
    <x:t xml:space="preserve">Rugissement amplifié par magie.</x:t>
  </x:si>
  <x:si>
    <x:t xml:space="preserve">!cof-peur 13 1d4 --titre Rugissement de chasse --disque 10 --saufAllies --tempsRecharge rechargeGen(beteSortRugissementChasse) 5</x:t>
  </x:si>
  <x:si>
    <x:t xml:space="preserve">Sort - Griffes spectrales</x:t>
  </x:si>
  <x:si>
    <x:t xml:space="preserve">Le lanceur fait une attaque magique contre une cible et une seconde cible à portée, infligeant 1d6+SAG dégâts magiques. Recharge 4 tours.</x:t>
  </x:si>
  <x:si>
    <x:t xml:space="preserve">Actif - Multicible magique</x:t>
  </x:si>
  <x:si>
    <x:t xml:space="preserve">Griffes d’énergie qui frappent deux ennemis.</x:t>
  </x:si>
  <x:si>
    <x:t xml:space="preserve">#Attaque Griffes spectrales --toucher [[@{selected|ATKMAG}]] --dm 1d6+[[@{selected|SAG}]] --magique --portee 20 --sortilege --target @{target|Cible 2|token_id} --tempsRecharge rechargeGen(beteSortGriffesSpectrales) 4</x:t>
  </x:si>
  <x:si>
    <x:t xml:space="preserve">Sort - Peau bestiale</x:t>
  </x:si>
  <x:si>
    <x:t xml:space="preserve">Le lanceur applique peauDePierreMag sur lui-même pendant 3+SAG tours. Recharge 6 tours.</x:t>
  </x:si>
  <x:si>
    <x:t xml:space="preserve">Durcit cuir, fourrure ou écailles.</x:t>
  </x:si>
  <x:si>
    <x:t xml:space="preserve">!cof-effet-temp peauDePierreMag [[3+@{selected|SAG}]] --lanceur @{selected|token_id} --target @{selected|token_id} --tempsRecharge rechargeGen(beteSortPeauBestiale) 6</x:t>
  </x:si>
  <x:si>
    <x:t xml:space="preserve">Sort - Instinct prédateur</x:t>
  </x:si>
  <x:si>
    <x:t xml:space="preserve">Le lanceur applique benediction sur lui-même pendant 2+SAG tours. Recharge 5 tours.</x:t>
  </x:si>
  <x:si>
    <x:t xml:space="preserve">Aiguise l’instinct de chasse.</x:t>
  </x:si>
  <x:si>
    <x:t xml:space="preserve">!cof-effet-temp benediction [[2+@{selected|SAG}]] --target @{selected|token_id} --lanceur @{selected|token_id} --tempsRecharge rechargeGen(beteSortInstinctPredateur) 5</x:t>
  </x:si>
  <x:si>
    <x:t xml:space="preserve">Sort - Nuage de parasites</x:t>
  </x:si>
  <x:si>
    <x:t xml:space="preserve">AOE DOT</x:t>
  </x:si>
  <x:si>
    <x:t xml:space="preserve">Le lanceur crée une zone en disque de 6 m. Les cibles subissent 1d4 poison par tour pendant 3 tours, avec sauvegarde CON 12 chaque tour. Recharge 6 tours.</x:t>
  </x:si>
  <x:si>
    <x:t xml:space="preserve">Actif - Zone persistante</x:t>
  </x:si>
  <x:si>
    <x:t xml:space="preserve">Insectes, spores ou parasites magiques.</x:t>
  </x:si>
  <x:si>
    <x:t xml:space="preserve">!cof-explosion Nuage de parasites --auto --pasDeDmg --disque 6 --saufAllies --effet dotGen(nuageParasites) 3 --saveParTour CON 12 --valeur 1d4 poison --tempsRecharge rechargeGen(verSortNuageParasites) 6</x:t>
  </x:si>
  <x:si>
    <x:t xml:space="preserve">Sort - Carapace grouillante</x:t>
  </x:si>
  <x:si>
    <x:t xml:space="preserve">Le lanceur gagne champDeProtection valeur 3 pendant 2 tours. Recharge 5 tours.</x:t>
  </x:si>
  <x:si>
    <x:t xml:space="preserve">Des insectes ou plaques protègent le corps.</x:t>
  </x:si>
  <x:si>
    <x:t xml:space="preserve">!cof-effet-temp champDeProtection 2 --lanceur @{selected|token_id} --target @{selected|token_id} --valeur 3 --tempsRecharge rechargeGen(verSortCarapaceGrouillante) 5</x:t>
  </x:si>
  <x:si>
    <x:t xml:space="preserve">Sort - Piqûres maudites</x:t>
  </x:si>
  <x:si>
    <x:t xml:space="preserve">DOT ciblé</x:t>
  </x:si>
  <x:si>
    <x:t xml:space="preserve">Le lanceur fait une attaque magique à 20 m. Si elle touche, la cible subit 1d4 poison pendant 4 tours, avec sauvegarde CON 13 par tour. Recharge 5 tours.</x:t>
  </x:si>
  <x:si>
    <x:t xml:space="preserve">Actif - DOT ciblé</x:t>
  </x:si>
  <x:si>
    <x:t xml:space="preserve">Multiples piqûres surnaturelles.</x:t>
  </x:si>
  <x:si>
    <x:t xml:space="preserve">#Attaque Piqûres maudites --toucher [[@{selected|ATKMAG}]] --pasDeDmg --portee 20 --sortilege --effet dotGen(piquresMaudites) 4 --saveParTour CON 13 --valeur 1d4 poison --tempsRecharge rechargeGen(verSortPiquresMaudites) 5</x:t>
  </x:si>
  <x:si>
    <x:t xml:space="preserve">Sort - Essaim aveuglant</x:t>
  </x:si>
  <x:si>
    <x:t xml:space="preserve">Le lanceur crée un disque de 5 m sans dégâts. Les cibles non alliées deviennent aveugles si elles ratent DEX 13. Recharge 5 tours.</x:t>
  </x:si>
  <x:si>
    <x:t xml:space="preserve">Actif - Zone contrôle</x:t>
  </x:si>
  <x:si>
    <x:t xml:space="preserve">Des insectes saturent la vision.</x:t>
  </x:si>
  <x:si>
    <x:t xml:space="preserve">!cof-explosion Essaim aveuglant --auto --pasDeDmg --disque 5 --saufAllies --etat aveugle --save DEX 13 --tempsRecharge rechargeGen(verSortEssaimAveuglant) 5</x:t>
  </x:si>
  <x:si>
    <x:t xml:space="preserve">Sort - Pattes entravantes</x:t>
  </x:si>
  <x:si>
    <x:t xml:space="preserve">Le lanceur fait une attaque magique à 15 m. La cible devient immobilisée si elle rate DEX 13. Recharge 4 tours.</x:t>
  </x:si>
  <x:si>
    <x:t xml:space="preserve">Actif - Contrôle ciblé</x:t>
  </x:si>
  <x:si>
    <x:t xml:space="preserve">Des pattes ou fils bloquent la cible.</x:t>
  </x:si>
  <x:si>
    <x:t xml:space="preserve">#Attaque Pattes entravantes --toucher [[@{selected|ATKMAG}]] --pasDeDmg --portee 15 --sortilege --etat immobilise --save DEX 13 --tempsRecharge rechargeGen(verSortPattesEntravantes) 4</x:t>
  </x:si>
  <x:si>
    <x:t xml:space="preserve">Sort - Vague de recul</x:t>
  </x:si>
  <x:si>
    <x:t xml:space="preserve">Le lanceur crée un disque de 6 m sans dégâts. Les cibles non alliées tombent renversées si elles ratent FOR 13. Recharge 5 tours.</x:t>
  </x:si>
  <x:si>
    <x:t xml:space="preserve">Vague, courant ou pression d’eau.</x:t>
  </x:si>
  <x:si>
    <x:t xml:space="preserve">!cof-explosion Vague de recul --auto --pasDeDmg --disque 6 --saufAllies --etat renverse --save FOR 13 --tempsRecharge rechargeGen(aquaSortVagueRecul) 5</x:t>
  </x:si>
  <x:si>
    <x:t xml:space="preserve">Sort - Brume aveuglante</x:t>
  </x:si>
  <x:si>
    <x:t xml:space="preserve">Le lanceur crée un disque de 6 m sans dégâts. Les cibles non alliées deviennent aveugles si elles ratent DEX 13. Recharge 5 tours.</x:t>
  </x:si>
  <x:si>
    <x:t xml:space="preserve">Brume, encre ou embruns opaques.</x:t>
  </x:si>
  <x:si>
    <x:t xml:space="preserve">!cof-explosion Brume aveuglante --auto --pasDeDmg --disque 6 --saufAllies --etat aveugle --save DEX 13 --tempsRecharge rechargeGen(aquaSortBrumeAveuglante) 5</x:t>
  </x:si>
  <x:si>
    <x:t xml:space="preserve">Sort - Noyade magique</x:t>
  </x:si>
  <x:si>
    <x:t xml:space="preserve">Le lanceur applique asphyxie à une cible à 20 m pendant 1+SAG tours. Recharge 5 tours.</x:t>
  </x:si>
  <x:si>
    <x:t xml:space="preserve">L’eau envahit les poumons ou bloque le souffle.</x:t>
  </x:si>
  <x:si>
    <x:t xml:space="preserve">#Attaque Noyade magique --toucher [[@{selected|ATKMAG}]] --pasDeDmg --portee 20 --sortilege --effet asphyxie [[1+@{selected|SAG}]] --tempsRecharge rechargeGen(aquaSortNoyadeMagique) 5</x:t>
  </x:si>
  <x:si>
    <x:t xml:space="preserve">Sort - Courant protecteur</x:t>
  </x:si>
  <x:si>
    <x:t xml:space="preserve">Le lanceur applique champDeProtection valeur 2 sur lui-même pendant 3 tours. Recharge 5 tours.</x:t>
  </x:si>
  <x:si>
    <x:t xml:space="preserve">Courant ou bulle qui détourne les coups.</x:t>
  </x:si>
  <x:si>
    <x:t xml:space="preserve">!cof-effet-temp champDeProtection 3 --lanceur @{selected|token_id} --target @{selected|token_id} --valeur 2 --tempsRecharge rechargeGen(aquaSortCourantProtecteur) 5</x:t>
  </x:si>
  <x:si>
    <x:t xml:space="preserve">Sort - Marée entravante</x:t>
  </x:si>
  <x:si>
    <x:t xml:space="preserve">Le lanceur crée un disque de 8 m sans dégâts qui devient terrain difficile pendant 3 tours. Recharge 6 tours.</x:t>
  </x:si>
  <x:si>
    <x:t xml:space="preserve">Actif - Terrain de combat</x:t>
  </x:si>
  <x:si>
    <x:t xml:space="preserve">Sol détrempé, courant, boue ou algues.</x:t>
  </x:si>
  <x:si>
    <x:t xml:space="preserve">!cof-explosion Marée entravante --auto --pasDeDmg --disque 8 --terrainDifficile 3 Maree_entravante --tempsRecharge rechargeGen(aquaSortMareeEntravante) 6</x:t>
  </x:si>
  <x:si>
    <x:t xml:space="preserve">Sort - Regard fractal</x:t>
  </x:si>
  <x:si>
    <x:t xml:space="preserve">Contrôle mental</x:t>
  </x:si>
  <x:si>
    <x:t xml:space="preserve">Le lanceur cible une créature à 20 m. Elle devient étourdie si elle rate SAG 13. Recharge 5 tours.</x:t>
  </x:si>
  <x:si>
    <x:t xml:space="preserve">Vision impossible qui bloque l’esprit.</x:t>
  </x:si>
  <x:si>
    <x:t xml:space="preserve">#Attaque Regard fractal --toucher [[@{selected|ATKMAG}]] --pasDeDmg --portee 20 --sortilege --etat etourdi --save SAG 13 --tempsRecharge rechargeGen(abSortRegardFractal) 5</x:t>
  </x:si>
  <x:si>
    <x:t xml:space="preserve">Sort - Espace instable</x:t>
  </x:si>
  <x:si>
    <x:t xml:space="preserve">Le lanceur crée un disque de 6 m sans dégâts qui devient terrain difficile pendant 3 tours. Recharge 5 tours.</x:t>
  </x:si>
  <x:si>
    <x:t xml:space="preserve">La géométrie locale devient hostile.</x:t>
  </x:si>
  <x:si>
    <x:t xml:space="preserve">!cof-explosion Espace instable --auto --pasDeDmg --disque 6 --terrainDifficile 3 Espace_instable --tempsRecharge rechargeGen(abSortEspaceInstable) 5</x:t>
  </x:si>
  <x:si>
    <x:t xml:space="preserve">Sort - Angle mortel</x:t>
  </x:si>
  <x:si>
    <x:t xml:space="preserve">Le lanceur fait une attaque magique contre deux cibles à portée en ignorant les obstacles. Recharge 4 tours.</x:t>
  </x:si>
  <x:si>
    <x:t xml:space="preserve">L’attaque arrive par un angle impossible.</x:t>
  </x:si>
  <x:si>
    <x:t xml:space="preserve">#Attaque Angle mortel --toucher [[@{selected|ATKMAG}]] --dm 1d8+[[@{selected|INT}]] --magique --portee 20 --sortilege --target @{target|Cible 2|token_id} --ignoreObstacles --tempsRecharge rechargeGen(abSortAngleMortel) 4</x:t>
  </x:si>
  <x:si>
    <x:t xml:space="preserve">Sort - Confusion corporelle</x:t>
  </x:si>
  <x:si>
    <x:t xml:space="preserve">Le lanceur cible une créature à 20 m. Elle devient ralentie si elle rate SAG 13. Recharge 4 tours.</x:t>
  </x:si>
  <x:si>
    <x:t xml:space="preserve">Le corps de la cible ne répond plus correctement.</x:t>
  </x:si>
  <x:si>
    <x:t xml:space="preserve">#Attaque Confusion corporelle --toucher [[@{selected|ATKMAG}]] --pasDeDmg --portee 20 --sortilege --etat ralenti --save SAG 13 --tempsRecharge rechargeGen(abSortConfusionCorporelle) 4</x:t>
  </x:si>
  <x:si>
    <x:t xml:space="preserve">Sort - Peau non euclidienne</x:t>
  </x:si>
  <x:si>
    <x:t xml:space="preserve">Le lanceur applique clignotement sur lui-même pendant 2 tours. Recharge 6 tours.</x:t>
  </x:si>
  <x:si>
    <x:t xml:space="preserve">Sa forme devient difficile à localiser.</x:t>
  </x:si>
  <x:si>
    <x:t xml:space="preserve">!cof-effet-temp clignotement 2 --target @{selected|token_id} --lanceur @{selected|token_id} --tempsRecharge rechargeGen(abSortPeauNonEuclidienne) 6</x:t>
  </x:si>
  <x:si>
    <x:t xml:space="preserve">Sort - Racines immobilisantes</x:t>
  </x:si>
  <x:si>
    <x:t xml:space="preserve">Le lanceur crée un disque de 6 m sans dégâts. Les cibles non alliées deviennent immobilisées si elles ratent FOR 13. Recharge 6 tours.</x:t>
  </x:si>
  <x:si>
    <x:t xml:space="preserve">Racines, ronces ou lianes magiques.</x:t>
  </x:si>
  <x:si>
    <x:t xml:space="preserve">!cof-explosion Racines immobilisantes --auto --pasDeDmg --disque 6 --saufAllies --etat immobilise --save FOR 13 --tempsRecharge rechargeGen(plSortRacinesImmobilisantes) 6</x:t>
  </x:si>
  <x:si>
    <x:t xml:space="preserve">Sort - Ronce de relais</x:t>
  </x:si>
  <x:si>
    <x:t xml:space="preserve">Le lanceur fait une attaque magique contre deux cibles. Les cibles touchées deviennent ralenties si elles ratent DEX 13. Recharge 5 tours.</x:t>
  </x:si>
  <x:si>
    <x:t xml:space="preserve">Des ronces passent d’une cible à l’autre.</x:t>
  </x:si>
  <x:si>
    <x:t xml:space="preserve">#Attaque Ronce de relais --toucher [[@{selected|ATKMAG}]] --dm 1d6+[[@{selected|SAG}]] --magique --portee 20 --sortilege --target @{target|Cible 2|token_id} --etat ralenti --save DEX 13 --tempsRecharge rechargeGen(plSortRonceRelais) 5</x:t>
  </x:si>
  <x:si>
    <x:t xml:space="preserve">Sort - Spores aveuglantes</x:t>
  </x:si>
  <x:si>
    <x:t xml:space="preserve">Le lanceur crée un disque de 5 m sans dégâts. Les cibles non alliées deviennent aveugles si elles ratent CON 13. Recharge 5 tours.</x:t>
  </x:si>
  <x:si>
    <x:t xml:space="preserve">Nuage de spores ou pollen magique.</x:t>
  </x:si>
  <x:si>
    <x:t xml:space="preserve">!cof-explosion Spores aveuglantes --auto --pasDeDmg --disque 5 --saufAllies --etat aveugle --save CON 13 --tempsRecharge rechargeGen(plSortSporesAveuglantes) 5</x:t>
  </x:si>
  <x:si>
    <x:t xml:space="preserve">Sort - Écorce protectrice</x:t>
  </x:si>
  <x:si>
    <x:t xml:space="preserve">Le lanceur applique peauDePierreMag sur lui-même pendant 5+SAG tours. Recharge 6 tours.</x:t>
  </x:si>
  <x:si>
    <x:t xml:space="preserve">Écorce magique ou peau végétale.</x:t>
  </x:si>
  <x:si>
    <x:t xml:space="preserve">!cof-effet-temp peauDePierreMag [[5+@{selected|SAG}]] --lanceur @{selected|token_id} --target @{selected|token_id} --tempsRecharge rechargeGen(plSortEcorceProtectrice) 6</x:t>
  </x:si>
  <x:si>
    <x:t xml:space="preserve">Sort - Sève de combat</x:t>
  </x:si>
  <x:si>
    <x:t xml:space="preserve">Actif - Soin ciblé</x:t>
  </x:si>
  <x:si>
    <x:t xml:space="preserve">Sève réparatrice ou énergie végétale.</x:t>
  </x:si>
  <x:si>
    <x:t xml:space="preserve">!cof-soin @{selected|token_id} @{target|token_id} [[1d6+@{selected|SAG}]] --tempsRecharge rechargeGen(plSortSeveCombat) 4</x:t>
  </x:si>
  <x:si>
    <x:t xml:space="preserve">Sort - Poudre d’égarement</x:t>
  </x:si>
  <x:si>
    <x:t xml:space="preserve">Poudre féerique qui trouble la vision.</x:t>
  </x:si>
  <x:si>
    <x:t xml:space="preserve">!cof-explosion Poudre d’égarement --auto --pasDeDmg --disque 5 --saufAllies --etat aveugle --save DEX 13 --tempsRecharge rechargeGen(feeSortPoudreEgarement) 5</x:t>
  </x:si>
  <x:si>
    <x:t xml:space="preserve">Sort - Moquerie paniquante</x:t>
  </x:si>
  <x:si>
    <x:t xml:space="preserve">Le lanceur cible une créature à 20 m. Elle subit peur difficulté 13 pendant 2 tours. Recharge 4 tours.</x:t>
  </x:si>
  <x:si>
    <x:t xml:space="preserve">Rire ou moquerie magique qui déstabilise.</x:t>
  </x:si>
  <x:si>
    <x:t xml:space="preserve">#Attaque Moquerie paniquante --toucher [[@{selected|ATKMAG}]] --pasDeDmg --portee 20 --sortilege --peur 13 2 --tempsRecharge rechargeGen(feeSortMoqueriePaniquante) 4</x:t>
  </x:si>
  <x:si>
    <x:t xml:space="preserve">Sort - Clignotement féerique</x:t>
  </x:si>
  <x:si>
    <x:t xml:space="preserve">Le lanceur applique clignotement sur lui-même pendant 2 tours. Recharge 5 tours.</x:t>
  </x:si>
  <x:si>
    <x:t xml:space="preserve">Disparitions courtes et défense par déplacement.</x:t>
  </x:si>
  <x:si>
    <x:t xml:space="preserve">!cof-effet-temp clignotement 2 --target @{selected|token_id} --lanceur @{selected|token_id} --tempsRecharge rechargeGen(feeSortClignotement) 5</x:t>
  </x:si>
  <x:si>
    <x:t xml:space="preserve">Sort - Terrain trompeur</x:t>
  </x:si>
  <x:si>
    <x:t xml:space="preserve">Le lanceur crée un disque de 5 m sans dégâts qui devient terrain difficile pendant 2 tours. Recharge 4 tours.</x:t>
  </x:si>
  <x:si>
    <x:t xml:space="preserve">Illusions mineures, faux sol, repères trompeurs.</x:t>
  </x:si>
  <x:si>
    <x:t xml:space="preserve">!cof-explosion Terrain trompeur --auto --pasDeDmg --disque 5 --terrainDifficile 2 Terrain_trompeur --tempsRecharge rechargeGen(feeSortTerrainTrompeur) 4</x:t>
  </x:si>
  <x:si>
    <x:t xml:space="preserve">Sort - Charme de panique</x:t>
  </x:si>
  <x:si>
    <x:t xml:space="preserve">Le lanceur cible une créature à 20 m. Elle devient affaiblie si elle rate CHA 13. Recharge 4 tours.</x:t>
  </x:si>
  <x:si>
    <x:t xml:space="preserve">La cible perd assurance ou volonté.</x:t>
  </x:si>
  <x:si>
    <x:t xml:space="preserve">#Attaque Charme de panique --toucher [[@{selected|ATKMAG}]] --pasDeDmg --portee 20 --sortilege --etat affaibli --save CHA 13 --tempsRecharge rechargeGen(feeSortCharmePanique) 4</x:t>
  </x:si>
  <x:si>
    <x:t xml:space="preserve">Sort - Masse écrasante</x:t>
  </x:si>
  <x:si>
    <x:t xml:space="preserve">Le lanceur crée un disque de 6 m sans dégâts. Les cibles non alliées tombent renversées si elles ratent FOR 14. Recharge 6 tours.</x:t>
  </x:si>
  <x:si>
    <x:t xml:space="preserve">Pression magique d’un corps énorme.</x:t>
  </x:si>
  <x:si>
    <x:t xml:space="preserve">!cof-explosion Masse écrasante --auto --pasDeDmg --disque 6 --saufAllies --etat renverse --save FOR 14 --tempsRecharge rechargeGen(monSortMasseEcrasante) 6</x:t>
  </x:si>
  <x:si>
    <x:t xml:space="preserve">Sort - Mutation offensive</x:t>
  </x:si>
  <x:si>
    <x:t xml:space="preserve">Le lanceur applique agrandissement sur lui-même pendant 5+INT tours. Recharge 7 tours.</x:t>
  </x:si>
  <x:si>
    <x:t xml:space="preserve">Le monstre grossit ou se déforme.</x:t>
  </x:si>
  <x:si>
    <x:t xml:space="preserve">!cof-effet-temp agrandissement [[5+@{selected|INT}]] --target @{selected|token_id} --lanceur @{selected|token_id} --tempsRecharge rechargeGen(monSortMutationOffensive) 7</x:t>
  </x:si>
  <x:si>
    <x:t xml:space="preserve">Sort - Cri de rupture</x:t>
  </x:si>
  <x:si>
    <x:t xml:space="preserve">Le lanceur déclenche une peur en disque de 10 m, sauf alliés, difficulté 14 pendant 2 tours. Recharge 6 tours.</x:t>
  </x:si>
  <x:si>
    <x:t xml:space="preserve">Rugissement ou cri monstrueux magique.</x:t>
  </x:si>
  <x:si>
    <x:t xml:space="preserve">!cof-peur 14 2 --titre Cri de rupture --disque 10 --saufAllies --tempsRecharge rechargeGen(monSortCriRupture) 6</x:t>
  </x:si>
  <x:si>
    <x:t xml:space="preserve">Sort - Chair régénérante</x:t>
  </x:si>
  <x:si>
    <x:t xml:space="preserve">Le lanceur récupère 2d6 PV. Recharge 5 tours.</x:t>
  </x:si>
  <x:si>
    <x:t xml:space="preserve">Actif - Soin personnel</x:t>
  </x:si>
  <x:si>
    <x:t xml:space="preserve">La chair du monstre se referme.</x:t>
  </x:si>
  <x:si>
    <x:t xml:space="preserve">!cof-soin 2d6 --tempsRecharge rechargeGen(monSortChairRegenerante) 5</x:t>
  </x:si>
  <x:si>
    <x:t xml:space="preserve">Sort - Élan surnaturel</x:t>
  </x:si>
  <x:si>
    <x:t xml:space="preserve">Le lanceur applique hate sur lui-même pendant 1d4+CON tours. Recharge 7 tours.</x:t>
  </x:si>
  <x:si>
    <x:t xml:space="preserve">Le monstre devient soudain très rapide.</x:t>
  </x:si>
  <x:si>
    <x:t xml:space="preserve">!cof-effet-temp hate [[1d4+@{selected|CON}]] --lanceur @{selected|token_id} --target @{selected|token_id} --tempsRecharge rechargeGen(monSortElanSurnaturel) 7</x:t>
  </x:si>
  <x:si>
    <x:t xml:space="preserve">Sort - Sol collant</x:t>
  </x:si>
  <x:si>
    <x:t xml:space="preserve">Terrain contrôle</x:t>
  </x:si>
  <x:si>
    <x:t xml:space="preserve">Le lanceur crée un disque de 6 m sans dégâts. La zone devient terrain difficile 4 tours et les cibles non alliées sont immobilisées si elles ratent DEX 12. Recharge 6 tours.</x:t>
  </x:si>
  <x:si>
    <x:t xml:space="preserve">Vase ou colle magique au sol.</x:t>
  </x:si>
  <x:si>
    <x:t xml:space="preserve">!cof-explosion Sol collant --auto --pasDeDmg --disque 6 --saufAllies --terrainDifficile 4 Sol_collant --etat immobilise --save DEX 12 --tempsRecharge rechargeGen(vaseSortSolCollant) 6</x:t>
  </x:si>
  <x:si>
    <x:t xml:space="preserve">Sort - Projection corrosive</x:t>
  </x:si>
  <x:si>
    <x:t xml:space="preserve">Dégâts acide</x:t>
  </x:si>
  <x:si>
    <x:t xml:space="preserve">Le lanceur fait une attaque magique à 20 m. Si elle touche, elle inflige 2d6+CON dégâts d’acide. Recharge 4 tours.</x:t>
  </x:si>
  <x:si>
    <x:t xml:space="preserve">Jet corrosif de vase.</x:t>
  </x:si>
  <x:si>
    <x:t xml:space="preserve">#Attaque Projection corrosive --toucher [[@{selected|ATKMAG}]] --dm 2d6+[[@{selected|CON}]] --acide --portee 20 --sortilege --fx beam-acid --tempsRecharge rechargeGen(vaseSortProjectionCorrosive) 4</x:t>
  </x:si>
  <x:si>
    <x:t xml:space="preserve">Sort - Expansion visqueuse</x:t>
  </x:si>
  <x:si>
    <x:t xml:space="preserve">Le lanceur frappe en disque de 5 m avec 1d8+CON dégâts magiques, sauf alliés. Recharge 5 tours.</x:t>
  </x:si>
  <x:si>
    <x:t xml:space="preserve">Actif - Zone dégâts</x:t>
  </x:si>
  <x:si>
    <x:t xml:space="preserve">Le corps se répand violemment.</x:t>
  </x:si>
  <x:si>
    <x:t xml:space="preserve">!cof-explosion Expansion visqueuse --auto --dm 1d8+[[@{selected|CON}]] --magique --disque 5 --saufAllies --tempsRecharge rechargeGen(vaseSortExpansionVisqueuse) 5</x:t>
  </x:si>
  <x:si>
    <x:t xml:space="preserve">Sort - Dissolution lente</x:t>
  </x:si>
  <x:si>
    <x:t xml:space="preserve">DOT acide</x:t>
  </x:si>
  <x:si>
    <x:t xml:space="preserve">Le lanceur fait une attaque magique à 15 m. Si elle touche, la cible subit 1d4 acide par tour pendant 4 tours, CON 13 par tour. Recharge 6 tours.</x:t>
  </x:si>
  <x:si>
    <x:t xml:space="preserve">Acide collant qui continue de brûler.</x:t>
  </x:si>
  <x:si>
    <x:t xml:space="preserve">#Attaque Dissolution lente --toucher [[@{selected|ATKMAG}]] --pasDeDmg --portee 15 --sortilege --effet dotGen(dissolutionLente) 4 --saveParTour CON 13 --valeur 1d4 acide --tempsRecharge rechargeGen(vaseSortDissolutionLente) 6</x:t>
  </x:si>
  <x:si>
    <x:t xml:space="preserve">Sort - Reconstitution amorphe</x:t>
  </x:si>
  <x:si>
    <x:t xml:space="preserve">La masse se reforme.</x:t>
  </x:si>
  <x:si>
    <x:t xml:space="preserve">!cof-soin 2d6 --tempsRecharge rechargeGen(vaseSortReconstitutionAmorphe) 5</x:t>
  </x:si>
  <x:si>
    <x:t xml:space="preserve">Sort - Terreur infernale</x:t>
  </x:si>
  <x:si>
    <x:t xml:space="preserve">Présence démoniaque écrasante.</x:t>
  </x:si>
  <x:si>
    <x:t xml:space="preserve">!cof-peur 14 2 --titre Terreur infernale --disque 10 --saufAllies --tempsRecharge rechargeGen(demSortTerreurInfernale) 6</x:t>
  </x:si>
  <x:si>
    <x:t xml:space="preserve">Sort - Corruption ciblée</x:t>
  </x:si>
  <x:si>
    <x:t xml:space="preserve">Le lanceur fait une attaque magique à 20 m. Si elle touche, la cible devient affaiblie si elle rate CON 14. Recharge 4 tours.</x:t>
  </x:si>
  <x:si>
    <x:t xml:space="preserve">Corrompt le corps de la cible.</x:t>
  </x:si>
  <x:si>
    <x:t xml:space="preserve">#Attaque Corruption ciblée --toucher [[@{selected|ATKMAG}]] --pasDeDmg --portee 20 --sortilege --etat affaibli --save CON 14 --tempsRecharge rechargeGen(demSortCorruptionCiblee) 4</x:t>
  </x:si>
  <x:si>
    <x:t xml:space="preserve">Sort - Flamme impie</x:t>
  </x:si>
  <x:si>
    <x:t xml:space="preserve">Le lanceur fait une attaque magique à 30 m. Si elle touche, elle inflige 2d6+CHA dégâts de feu. Recharge 3 tours.</x:t>
  </x:si>
  <x:si>
    <x:t xml:space="preserve">Feu démoniaque ciblé.</x:t>
  </x:si>
  <x:si>
    <x:t xml:space="preserve">#Attaque Flamme impie --toucher [[@{selected|ATKMAG}]] --dm 2d6+[[@{selected|CHA}]] --feu --portee 30 --sortilege --fx beam-fire --tempsRecharge rechargeGen(demSortFlammeImpie) 3</x:t>
  </x:si>
  <x:si>
    <x:t xml:space="preserve">Sort - Pacte de douleur</x:t>
  </x:si>
  <x:si>
    <x:t xml:space="preserve">Le lanceur fait une attaque magique contre une cible vivante. Elle inflige 1d8+CHA dégâts de drain. Recharge 4 tours.</x:t>
  </x:si>
  <x:si>
    <x:t xml:space="preserve">Actif - Drain ciblé</x:t>
  </x:si>
  <x:si>
    <x:t xml:space="preserve">Se nourrit de douleur et de vitalité.</x:t>
  </x:si>
  <x:si>
    <x:t xml:space="preserve">#Attaque Pacte de douleur --toucher [[@{selected|ATKMAG}]] --dm 1d8+[[@{selected|CHA}]] --portee 30 --sortilege --drain --seulementVivant --tempsRecharge rechargeGen(demSortPacteDouleur) 4</x:t>
  </x:si>
  <x:si>
    <x:t xml:space="preserve">Sort - Cercle de cruauté</x:t>
  </x:si>
  <x:si>
    <x:t xml:space="preserve">Le lanceur crée un disque de 5 m. Les cibles subissent 1d6+CHA dégâts magiques et deviennent étourdies si elles ratent CON 13. Recharge 6 tours.</x:t>
  </x:si>
  <x:si>
    <x:t xml:space="preserve">Onde démoniaque qui brise les corps.</x:t>
  </x:si>
  <x:si>
    <x:t xml:space="preserve">!cof-explosion Cercle de cruauté --auto --dm 1d6+[[@{selected|CHA}]] --magique --disque 5 --saufAllies --etat etourdi --save CON 13 --tempsRecharge rechargeGen(demSortCercleCruaute) 6</x:t>
  </x:si>
  <x:si>
    <x:t xml:space="preserve">Sort - Gravité écrasante</x:t>
  </x:si>
  <x:si>
    <x:t xml:space="preserve">Le lanceur crée un disque de 8 m sans dégâts. Les cibles non alliées tombent renversées si elles ratent FOR 14. Recharge 6 tours.</x:t>
  </x:si>
  <x:si>
    <x:t xml:space="preserve">Pression magique de masse.</x:t>
  </x:si>
  <x:si>
    <x:t xml:space="preserve">!cof-explosion Gravité écrasante --auto --pasDeDmg --disque 8 --saufAllies --etat renverse --save FOR 14 --tempsRecharge rechargeGen(geaSortGraviteEcrasante) 6</x:t>
  </x:si>
  <x:si>
    <x:t xml:space="preserve">Sort - Peau de titan</x:t>
  </x:si>
  <x:si>
    <x:t xml:space="preserve">Le lanceur applique peauDePierreMag sur lui-même pendant 5+CON tours. Recharge 7 tours.</x:t>
  </x:si>
  <x:si>
    <x:t xml:space="preserve">Durcit la peau comme la pierre.</x:t>
  </x:si>
  <x:si>
    <x:t xml:space="preserve">!cof-effet-temp peauDePierreMag [[5+@{selected|CON}]] --lanceur @{selected|token_id} --target @{selected|token_id} --tempsRecharge rechargeGen(geaSortPeauTitan) 7</x:t>
  </x:si>
  <x:si>
    <x:t xml:space="preserve">Sort - Cri colossal</x:t>
  </x:si>
  <x:si>
    <x:t xml:space="preserve">Cône peur</x:t>
  </x:si>
  <x:si>
    <x:t xml:space="preserve">Le lanceur projette un cône sans dégâts. Les cibles non alliées subissent peur difficulté 14 pendant 2 tours. Recharge 6 tours.</x:t>
  </x:si>
  <x:si>
    <x:t xml:space="preserve">Cri amplifié par magie.</x:t>
  </x:si>
  <x:si>
    <x:t xml:space="preserve">#Attaque Cri colossal --toucher [[@{selected|ATKMAG}]] --pasDeDmg --portee 10 --sortilege --cone --saufAllies --peur 14 2 --tempsRecharge rechargeGen(geaSortCriColossal) 6</x:t>
  </x:si>
  <x:si>
    <x:t xml:space="preserve">Sort - Main de force</x:t>
  </x:si>
  <x:si>
    <x:t xml:space="preserve">Le lanceur fait une attaque magique à 20 m. Si elle touche, la cible devient immobilisée si elle rate FOR 14. Recharge 5 tours.</x:t>
  </x:si>
  <x:si>
    <x:t xml:space="preserve">Une force géante maintient la cible.</x:t>
  </x:si>
  <x:si>
    <x:t xml:space="preserve">#Attaque Main de force --toucher [[@{selected|ATKMAG}]] --pasDeDmg --portee 20 --sortilege --etat immobilise --save FOR 14 --tempsRecharge rechargeGen(geaSortMainForce) 5</x:t>
  </x:si>
  <x:si>
    <x:t xml:space="preserve">Sort - Impact tellurique</x:t>
  </x:si>
  <x:si>
    <x:t xml:space="preserve">AOE dégâts contrôle</x:t>
  </x:si>
  <x:si>
    <x:t xml:space="preserve">Le lanceur crée un disque de 6 m infligeant 2d6+CON dégâts magiques, avec renversement si FOR 13 raté. Recharge 6 tours.</x:t>
  </x:si>
  <x:si>
    <x:t xml:space="preserve">Choc magique au sol.</x:t>
  </x:si>
  <x:si>
    <x:t xml:space="preserve">!cof-explosion Impact tellurique --auto --dm 2d6+[[@{selected|CON}]] --magique --disque 6 --saufAllies --etat renverse --save FOR 13 --tempsRecharge rechargeGen(geaSortImpactTellurique) 6</x:t>
  </x:si>
  <x:si>
    <x:t xml:space="preserve">Sort - Décharge élémentaire</x:t>
  </x:si>
  <x:si>
    <x:t xml:space="preserve">Dégâts élémentaires</x:t>
  </x:si>
  <x:si>
    <x:t xml:space="preserve">Le lanceur fait une attaque magique à 30 m. Elle inflige 2d6+INT dégâts du type choisi, ici feu. Recharge 3 tours.</x:t>
  </x:si>
  <x:si>
    <x:t xml:space="preserve">Remplace feu par froid, acide ou électrique selon l’élément.</x:t>
  </x:si>
  <x:si>
    <x:t xml:space="preserve">#Attaque Décharge élémentaire --toucher [[@{selected|ATKMAG}]] --dm 2d6+[[@{selected|INT}]] --feu --portee 30 --sortilege --fx beam-fire --tempsRecharge rechargeGen(eleSortDechargeElementaire) 3</x:t>
  </x:si>
  <x:si>
    <x:t xml:space="preserve">Sort - Front élémentaire</x:t>
  </x:si>
  <x:si>
    <x:t xml:space="preserve">Sol instable, flammes, glace ou vents violents.</x:t>
  </x:si>
  <x:si>
    <x:t xml:space="preserve">!cof-explosion Front élémentaire --auto --pasDeDmg --disque 6 --terrainDifficile 3 Front_elementaire --tempsRecharge rechargeGen(eleSortFrontElementaire) 5</x:t>
  </x:si>
  <x:si>
    <x:t xml:space="preserve">Sort - Vague élémentaire</x:t>
  </x:si>
  <x:si>
    <x:t xml:space="preserve">Le lanceur crée un disque de 5 m infligeant 2d6+INT dégâts élémentaires, ici froid. Recharge 5 tours.</x:t>
  </x:si>
  <x:si>
    <x:t xml:space="preserve">Déferlement de l’élément.</x:t>
  </x:si>
  <x:si>
    <x:t xml:space="preserve">!cof-explosion Vague élémentaire --auto --dm 2d6+[[@{selected|INT}]] --froid --disque 5 --saufAllies --tempsRecharge rechargeGen(eleSortVagueElementaire) 5</x:t>
  </x:si>
  <x:si>
    <x:t xml:space="preserve">Sort - Barrière élémentaire</x:t>
  </x:si>
  <x:si>
    <x:t xml:space="preserve">Le lanceur applique protectionContreLesElements pendant 5+INT tours. Recharge 6 tours.</x:t>
  </x:si>
  <x:si>
    <x:t xml:space="preserve">Protection contre les éléments.</x:t>
  </x:si>
  <x:si>
    <x:t xml:space="preserve">!cof-effet-temp protectionContreLesElements [[5+@{selected|INT}]] --lanceur @{selected|token_id} --target @{selected|token_id} --tempsRecharge rechargeGen(eleSortBarriereElementaire) 6</x:t>
  </x:si>
  <x:si>
    <x:t xml:space="preserve">Sort - Arme élémentaire avancée</x:t>
  </x:si>
  <x:si>
    <x:t xml:space="preserve">Le lanceur applique armeElectrique à l’arme de la cible au contact pendant 5+INT tours. Recharge 5 tours.</x:t>
  </x:si>
  <x:si>
    <x:t xml:space="preserve">Remplace par armeEnflammee ou armeGlacee selon besoin.</x:t>
  </x:si>
  <x:si>
    <x:t xml:space="preserve">!cof-effet-temp armeElectrique [[5+@{selected|INT}]] --lanceur @{selected|token_id} --target @{target|token_id} --portee 0 --tempsRecharge rechargeGen(eleSortArmeElementaireAvancee) 5</x:t>
  </x:si>
  <x:si>
    <x:t xml:space="preserve">Sort - Mot de pouvoir</x:t>
  </x:si>
  <x:si>
    <x:t xml:space="preserve">Le lanceur applique etourdi pendant 1 tour aux ennemis en vue, sauf alliés. Recharge 7 tours.</x:t>
  </x:si>
  <x:si>
    <x:t xml:space="preserve">Ordre divin qui stoppe les ennemis.</x:t>
  </x:si>
  <x:si>
    <x:t xml:space="preserve">!cof-effet-temp etourdi 1 --lanceur @{selected|token_id} --enVue --saufAllies --message @{selected|token_name} prononce un mot de pouvoir --tempsRecharge rechargeGen(celSortMotPouvoir) 7</x:t>
  </x:si>
  <x:si>
    <x:t xml:space="preserve">Sort - Foudres célestes</x:t>
  </x:si>
  <x:si>
    <x:t xml:space="preserve">Le lanceur déclenche une attaque électrique de zone à 10 m, sauf alliés, infligeant 1d6+SAG dégâts. Recharge 4 tours.</x:t>
  </x:si>
  <x:si>
    <x:t xml:space="preserve">Foudre sacrée ou céleste.</x:t>
  </x:si>
  <x:si>
    <x:t xml:space="preserve">!cof-explosion Foudres célestes --toucher [[@{selected|ATKMAG}]] --dm 1d6+[[@{selected|SAG}]] --electrique --sortilege --portee 10 --saufAllies --tempsRecharge rechargeGen(celSortFoudresCelestes) 4</x:t>
  </x:si>
  <x:si>
    <x:t xml:space="preserve">Sort - Sanctuaire martial</x:t>
  </x:si>
  <x:si>
    <x:t xml:space="preserve">Le lanceur applique sanctuaire pendant 5+SAG tours. Recharge 6 tours.</x:t>
  </x:si>
  <x:si>
    <x:t xml:space="preserve">Protection sacrée en combat.</x:t>
  </x:si>
  <x:si>
    <x:t xml:space="preserve">!cof-effet-temp sanctuaire [[5+@{selected|SAG}]] --lanceur @{selected|token_id} --target @{selected|token_id} --tempsRecharge rechargeGen(celSortSanctuaireMartial) 6</x:t>
  </x:si>
  <x:si>
    <x:t xml:space="preserve">Sort - Jugement aveuglant</x:t>
  </x:si>
  <x:si>
    <x:t xml:space="preserve">Le lanceur cible une créature à 20 m. Elle devient aveugle si elle rate SAG 14. Recharge 5 tours.</x:t>
  </x:si>
  <x:si>
    <x:t xml:space="preserve">Lumière de jugement.</x:t>
  </x:si>
  <x:si>
    <x:t xml:space="preserve">#Attaque Jugement aveuglant --toucher [[@{selected|ATKMAG}]] --pasDeDmg --portee 20 --sortilege --etat aveugle --save SAG 14 --tempsRecharge rechargeGen(celSortJugementAveuglant) 5</x:t>
  </x:si>
  <x:si>
    <x:t xml:space="preserve">Sort - Soin protecteur</x:t>
  </x:si>
  <x:si>
    <x:t xml:space="preserve">Le lanceur soigne une cible de 1d6+SAG PV. Recharge 6 tours.</x:t>
  </x:si>
  <x:si>
    <x:t xml:space="preserve">Actif - Soin défensif</x:t>
  </x:si>
  <x:si>
    <x:t xml:space="preserve">Soin de combat protecteur.</x:t>
  </x:si>
  <x:si>
    <x:t xml:space="preserve">!cof-soin @{selected|token_id} @{target|token_id} [[1d6+@{selected|SAG}]] --tempsRecharge rechargeGen(celSortSoinProtecteur) 6</x:t>
  </x:si>
  <x:si>
    <x:t xml:space="preserve">Sort - Surcharge électrique</x:t>
  </x:si>
  <x:si>
    <x:t xml:space="preserve">Le lanceur crée un disque de 5 m infligeant 2d6+INT dégâts électriques et étourdissant si CON 13 raté. Recharge 6 tours.</x:t>
  </x:si>
  <x:si>
    <x:t xml:space="preserve">Surcharge d’un corps mécanique ou golemique.</x:t>
  </x:si>
  <x:si>
    <x:t xml:space="preserve">!cof-explosion Surcharge électrique --auto --dm 2d6+[[@{selected|INT}]] --electrique --disque 5 --saufAllies --etat etourdi --save CON 13 --tempsRecharge rechargeGen(artSortSurchargeElectrique) 6</x:t>
  </x:si>
  <x:si>
    <x:t xml:space="preserve">Sort - Réparation d’urgence</x:t>
  </x:si>
  <x:si>
    <x:t xml:space="preserve">Le lanceur répare ou soigne une cible de 8 PV. Recharge 5 tours.</x:t>
  </x:si>
  <x:si>
    <x:t xml:space="preserve">Réparation magique ou mécanique.</x:t>
  </x:si>
  <x:si>
    <x:t xml:space="preserve">!cof-soin @{selected|token_id} @{target|token_id} 8 --tempsRecharge rechargeGen(artSortReparationUrgence) 5</x:t>
  </x:si>
  <x:si>
    <x:t xml:space="preserve">Sort - Verrouillage magique</x:t>
  </x:si>
  <x:si>
    <x:t xml:space="preserve">Le lanceur cible une créature à 20 m. Elle devient immobilisée si elle rate FOR 13. Recharge 4 tours.</x:t>
  </x:si>
  <x:si>
    <x:t xml:space="preserve">Chaînes, pinces ou engrenages magiques.</x:t>
  </x:si>
  <x:si>
    <x:t xml:space="preserve">#Attaque Verrouillage magique --toucher [[@{selected|ATKMAG}]] --pasDeDmg --portee 20 --sortilege --etat immobilise --save FOR 13 --tempsRecharge rechargeGen(artSortVerrouillageMagique) 4</x:t>
  </x:si>
  <x:si>
    <x:t xml:space="preserve">Sort - Mode sentinelle magique</x:t>
  </x:si>
  <x:si>
    <x:t xml:space="preserve">Le lanceur applique absorberUnCoup pendant 1 tour. Recharge 4 tours.</x:t>
  </x:si>
  <x:si>
    <x:t xml:space="preserve">Passe en mode défense renforcée.</x:t>
  </x:si>
  <x:si>
    <x:t xml:space="preserve">!cof-effet-temp absorberUnCoup 1 --target @{selected|token_id} --lanceur @{selected|token_id} --tempsRecharge rechargeGen(artSortModeSentinelleMagique) 4</x:t>
  </x:si>
  <x:si>
    <x:t xml:space="preserve">Sort - Rayon de découpe</x:t>
  </x:si>
  <x:si>
    <x:t xml:space="preserve">Le lanceur fait une attaque magique à 30 m infligeant 2d8+INT dégâts magiques. Recharge 4 tours.</x:t>
  </x:si>
  <x:si>
    <x:t xml:space="preserve">Rayon de golem, canon ou cristal.</x:t>
  </x:si>
  <x:si>
    <x:t xml:space="preserve">#Attaque Rayon de découpe --toucher [[@{selected|ATKMAG}]] --dm 2d8+[[@{selected|INT}]] --magique --portee 30 --sortilege --fx beam-magic --tempsRecharge rechargeGen(artSortRayonDecoupe) 4</x:t>
  </x:si>
  <x:si>
    <x:t xml:space="preserve">Sort - Hantise large</x:t>
  </x:si>
  <x:si>
    <x:t xml:space="preserve">Le lanceur déclenche une peur en disque de 10 m, sauf alliés, difficulté 12 pendant 2 tours. Recharge 5 tours.</x:t>
  </x:si>
  <x:si>
    <x:t xml:space="preserve">Présence spectrale qui glace le sang.</x:t>
  </x:si>
  <x:si>
    <x:t xml:space="preserve">!cof-peur 12 2 --titre Hantise large --disque 10 --saufAllies --tempsRecharge rechargeGen(espSortHantiseLarge) 5</x:t>
  </x:si>
  <x:si>
    <x:t xml:space="preserve">Sort - Contact glacial</x:t>
  </x:si>
  <x:si>
    <x:t xml:space="preserve">Dégâts froid</x:t>
  </x:si>
  <x:si>
    <x:t xml:space="preserve">Le lanceur fait une attaque magique à 20 m infligeant 1d8+INT dégâts de froid. Recharge 3 tours.</x:t>
  </x:si>
  <x:si>
    <x:t xml:space="preserve">Froid spectral ciblé.</x:t>
  </x:si>
  <x:si>
    <x:t xml:space="preserve">#Attaque Contact glacial --toucher [[@{selected|ATKMAG}]] --dm 1d8+[[@{selected|INT}]] --froid --portee 20 --sortilege --fx beam-frost --tempsRecharge rechargeGen(espSortContactGlacial) 3</x:t>
  </x:si>
  <x:si>
    <x:t xml:space="preserve">Sort - Drain spectral</x:t>
  </x:si>
  <x:si>
    <x:t xml:space="preserve">Le lanceur fait une attaque magique contre un vivant à 30 m. Elle inflige 1d8+INT dégâts de drain. Recharge 4 tours.</x:t>
  </x:si>
  <x:si>
    <x:t xml:space="preserve">Aspire la vitalité de la cible.</x:t>
  </x:si>
  <x:si>
    <x:t xml:space="preserve">#Attaque Drain spectral --toucher [[@{selected|ATKMAG}]] --dm 1d8+[[@{selected|INT}]] --portee 30 --sortilege --drain --seulementVivant --tempsRecharge rechargeGen(espSortDrainSpectral) 4</x:t>
  </x:si>
  <x:si>
    <x:t xml:space="preserve">Sort - Disparition spectrale</x:t>
  </x:si>
  <x:si>
    <x:t xml:space="preserve">Le lanceur applique clignotement pendant 2 tours. Recharge 5 tours.</x:t>
  </x:si>
  <x:si>
    <x:t xml:space="preserve">Rend l’esprit plus difficile à toucher.</x:t>
  </x:si>
  <x:si>
    <x:t xml:space="preserve">!cof-effet-temp clignotement 2 --target @{selected|token_id} --lanceur @{selected|token_id} --tempsRecharge rechargeGen(espSortDisparitionSpectrale) 5</x:t>
  </x:si>
  <x:si>
    <x:t xml:space="preserve">Sort - Main affaiblissante</x:t>
  </x:si>
  <x:si>
    <x:t xml:space="preserve">Le lanceur cible un vivant à 20 m. La cible devient affaiblie si elle rate CON 13. Recharge 4 tours.</x:t>
  </x:si>
  <x:si>
    <x:t xml:space="preserve">Le contact spectral vide les forces.</x:t>
  </x:si>
  <x:si>
    <x:t xml:space="preserve">#Attaque Main affaiblissante --toucher [[@{selected|ATKMAG}]] --pasDeDmg --portee 20 --sortilege --seulementVivant --etat affaibli --save CON 13 --tempsRecharge rechargeGen(espSortMainAffaiblissante) 4</x:t>
  </x:si>
  <x:si>
    <x:t xml:space="preserve">Sort - Souffle élémentaire</x:t>
  </x:si>
  <x:si>
    <x:t xml:space="preserve">Cône dégâts</x:t>
  </x:si>
  <x:si>
    <x:t xml:space="preserve">Le lanceur projette un cône élémentaire infligeant 3d6+CON dégâts de feu. Remplace feu par le type du dragon. Recharge 5 tours.</x:t>
  </x:si>
  <x:si>
    <x:t xml:space="preserve">Actif - Souffle magique</x:t>
  </x:si>
  <x:si>
    <x:t xml:space="preserve">Souffle de dragon simplifié.</x:t>
  </x:si>
  <x:si>
    <x:t xml:space="preserve">#Attaque Souffle élémentaire --toucher [[@{selected|ATKMAG}]] --dm 3d6+[[@{selected|CON}]] --feu --portee 15 --sortilege --cone --saufAllies --tempsRecharge rechargeGen(drgSortSouffleElementaire) 5</x:t>
  </x:si>
  <x:si>
    <x:t xml:space="preserve">Sort - Présence draconique</x:t>
  </x:si>
  <x:si>
    <x:t xml:space="preserve">Le lanceur déclenche une peur en disque de 10 m, sauf alliés, difficulté 15 pendant 2 tours. Recharge 6 tours.</x:t>
  </x:si>
  <x:si>
    <x:t xml:space="preserve">Aura de domination draconique.</x:t>
  </x:si>
  <x:si>
    <x:t xml:space="preserve">!cof-peur 15 2 --titre Présence draconique --disque 10 --saufAllies --tempsRecharge rechargeGen(drgSortPresenceDraconique) 6</x:t>
  </x:si>
  <x:si>
    <x:t xml:space="preserve">Sort - Écailles mystiques</x:t>
  </x:si>
  <x:si>
    <x:t xml:space="preserve">Renforce les écailles.</x:t>
  </x:si>
  <x:si>
    <x:t xml:space="preserve">!cof-effet-temp peauDePierreMag [[5+@{selected|CON}]] --lanceur @{selected|token_id} --target @{selected|token_id} --tempsRecharge rechargeGen(drgSortEcaillesMystiques) 7</x:t>
  </x:si>
  <x:si>
    <x:t xml:space="preserve">Sort - Regard écrasant</x:t>
  </x:si>
  <x:si>
    <x:t xml:space="preserve">Contrôle ciblé</x:t>
  </x:si>
  <x:si>
    <x:t xml:space="preserve">Le lanceur cible une créature à 20 m. Elle devient ralentie si elle rate SAG 15. Recharge 5 tours.</x:t>
  </x:si>
  <x:si>
    <x:t xml:space="preserve">Le regard du dragon écrase la volonté.</x:t>
  </x:si>
  <x:si>
    <x:t xml:space="preserve">#Attaque Regard écrasant --toucher [[@{selected|ATKMAG}]] --pasDeDmg --portee 20 --sortilege --etat ralenti --save SAG 15 --tempsRecharge rechargeGen(drgSortRegardEcrasant) 5</x:t>
  </x:si>
  <x:si>
    <x:t xml:space="preserve">Sort - Battement mystique</x:t>
  </x:si>
  <x:si>
    <x:t xml:space="preserve">Force magique des ailes ou du corps.</x:t>
  </x:si>
  <x:si>
    <x:t xml:space="preserve">!cof-explosion Battement mystique --auto --pasDeDmg --disque 8 --saufAllies --etat renverse --save FOR 14 --tempsRecharge rechargeGen(drgSortBattementMystique) 6</x:t>
  </x:si>
  <x:si>
    <x:t xml:space="preserve">Source</x:t>
  </x:si>
  <x:si>
    <x:t xml:space="preserve">URL</x:t>
  </x:si>
  <x:si>
    <x:t xml:space="preserve">Usage dans ce fichier</x:t>
  </x:si>
  <x:si>
    <x:t xml:space="preserve">Chroniques Oubliées DRS - Voies</x:t>
  </x:si>
  <x:si>
    <x:t xml:space="preserve">https://www.co-drs.org/fr/jeu/voies</x:t>
  </x:si>
  <x:si>
    <x:t xml:space="preserve">Inspiration générale : séparation voies/capacités/rangs, sans copie de textes longs.</x:t>
  </x:si>
  <x:si>
    <x:t xml:space="preserve">Notes V2.1.6</x:t>
  </x:si>
  <x:si>
    <x:t xml:space="preserve">Capacités, passifs et sorts sont des formulations maison pour générateur de monstres.</x:t>
  </x:si>
  <x:si>
    <x:t xml:space="preserve">V3</x:t>
  </x:si>
  <x:si>
    <x:t xml:space="preserve">Butin</x:t>
  </x:si>
  <x:si>
    <x:t xml:space="preserve">Base 25 × 1,45^NC, multipliée par famille, archétypes, profil et qualité d'équipement.</x:t>
  </x:si>
  <x:si>
    <x:t xml:space="preserve">Script COFantasy personnalisé (fichier fourni)</x:t>
  </x:si>
  <x:si>
    <x:t xml:space="preserve">Syntaxe vérifiée : resistanceA_&lt;domaine&gt; et vulnerableA_&lt;domaine&gt;. Domaines : feu, air, eau, terre, nature, necrotique, radiant, arcane.</x:t>
  </x:si>
  <x:si>
    <x:t xml:space="preserve">Affinités familles / sous-familles</x:t>
  </x:si>
  <x:si>
    <x:t xml:space="preserve">Proposition maison conservatrice. Les cellules Familles!AT:BA sont éditables (Neutre / Résistant / Vulnérable) et régénèrent automatiquement les prédicats.</x:t>
  </x:si>
  <x:si>
    <x:t xml:space="preserve">Phrase RP</x:t>
  </x:si>
  <x:si>
    <x:t xml:space="preserve">Misérable</x:t>
  </x:si>
  <x:si>
    <x:t xml:space="preserve">Les éléments récupérables sont rares, abîmés ou difficiles à valoriser.</x:t>
  </x:si>
  <x:si>
    <x:t xml:space="preserve">Pauvre</x:t>
  </x:si>
  <x:si>
    <x:t xml:space="preserve">La récupération reste limitée à des composants médiocres ou du matériel usé.</x:t>
  </x:si>
  <x:si>
    <x:t xml:space="preserve">Modeste</x:t>
  </x:si>
  <x:si>
    <x:t xml:space="preserve">Quelques éléments exploitables peuvent être récupérés avec un peu de temps.</x:t>
  </x:si>
  <x:si>
    <x:t xml:space="preserve">Normal</x:t>
  </x:si>
  <x:si>
    <x:t xml:space="preserve">Le butin correspond à une récupération standard pour ce type de créature.</x:t>
  </x:si>
  <x:si>
    <x:t xml:space="preserve">Les composants ou possessions sont en assez bon état pour avoir une valeur correcte.</x:t>
  </x:si>
  <x:si>
    <x:t xml:space="preserve">Riche</x:t>
  </x:si>
  <x:si>
    <x:t xml:space="preserve">La créature possédait ou contenait des éléments particulièrement recherchés.</x:t>
  </x:si>
  <x:si>
    <x:t xml:space="preserve">Exceptionnel</x:t>
  </x:si>
  <x:si>
    <x:t xml:space="preserve">Les éléments récupérés sont rares, précieux ou d'une qualité remarquable.</x:t>
  </x:si>
  <x:si>
    <x:t xml:space="preserve">Clé</x:t>
  </x:si>
  <x:si>
    <x:t xml:space="preserve">NC_min</x:t>
  </x:si>
  <x:si>
    <x:t xml:space="preserve">NC_max</x:t>
  </x:si>
  <x:si>
    <x:t xml:space="preserve">Palier_NC</x:t>
  </x:si>
  <x:si>
    <x:t xml:space="preserve">Rareté</x:t>
  </x:si>
  <x:si>
    <x:t xml:space="preserve">Ressources_RP</x:t>
  </x:si>
  <x:si>
    <x:t xml:space="preserve">Action_RP</x:t>
  </x:si>
  <x:si>
    <x:t xml:space="preserve">Humanoïde|0-1</x:t>
  </x:si>
  <x:si>
    <x:t xml:space="preserve">0-1</x:t>
  </x:si>
  <x:si>
    <x:t xml:space="preserve">Commun</x:t>
  </x:si>
  <x:si>
    <x:t xml:space="preserve">quelques pièces, des armes usées ou des objets simples</x:t>
  </x:si>
  <x:si>
    <x:t xml:space="preserve">en fouillant ses affaires et son équipement</x:t>
  </x:si>
  <x:si>
    <x:t xml:space="preserve">Humanoïde|2-4</x:t>
  </x:si>
  <x:si>
    <x:t xml:space="preserve">2-4</x:t>
  </x:si>
  <x:si>
    <x:t xml:space="preserve">Utile</x:t>
  </x:si>
  <x:si>
    <x:t xml:space="preserve">de la monnaie, de l'équipement correct, des armes ou des outils utiles</x:t>
  </x:si>
  <x:si>
    <x:t xml:space="preserve">Humanoïde|5-7</x:t>
  </x:si>
  <x:si>
    <x:t xml:space="preserve">5-7</x:t>
  </x:si>
  <x:si>
    <x:t xml:space="preserve">Rare</x:t>
  </x:si>
  <x:si>
    <x:t xml:space="preserve">des objets de valeur, une arme de qualité ou quelques bijoux</x:t>
  </x:si>
  <x:si>
    <x:t xml:space="preserve">Humanoïde|8-10</x:t>
  </x:si>
  <x:si>
    <x:t xml:space="preserve">8-10</x:t>
  </x:si>
  <x:si>
    <x:t xml:space="preserve">Précieux</x:t>
  </x:si>
  <x:si>
    <x:t xml:space="preserve">de l'équipement rare, des insignes, des cartes ou des objets précieux</x:t>
  </x:si>
  <x:si>
    <x:t xml:space="preserve">Humanoïde|11+</x:t>
  </x:si>
  <x:si>
    <x:t xml:space="preserve">11+</x:t>
  </x:si>
  <x:si>
    <x:t xml:space="preserve">des reliques personnelles, une arme remarquable ou le trésor d'un chef</x:t>
  </x:si>
  <x:si>
    <x:t xml:space="preserve">Bête|0-1</x:t>
  </x:si>
  <x:si>
    <x:t xml:space="preserve">une peau abîmée, des crocs, des griffes ou des os</x:t>
  </x:si>
  <x:si>
    <x:t xml:space="preserve">en dépeçant soigneusement la carcasse</x:t>
  </x:si>
  <x:si>
    <x:t xml:space="preserve">Bête|2-4</x:t>
  </x:si>
  <x:si>
    <x:t xml:space="preserve">de la fourrure, de la graisse, du cuir ou des os solides</x:t>
  </x:si>
  <x:si>
    <x:t xml:space="preserve">Bête|5-7</x:t>
  </x:si>
  <x:si>
    <x:t xml:space="preserve">des crocs rares, des griffes intactes ou des organes utiles</x:t>
  </x:si>
  <x:si>
    <x:t xml:space="preserve">Bête|8-10</x:t>
  </x:si>
  <x:si>
    <x:t xml:space="preserve">une peau exceptionnelle, des défenses, du venin ou des glandes rares</x:t>
  </x:si>
  <x:si>
    <x:t xml:space="preserve">Bête|11+</x:t>
  </x:si>
  <x:si>
    <x:t xml:space="preserve">un trophée unique, un cœur bestial ou une essence sauvage</x:t>
  </x:si>
  <x:si>
    <x:t xml:space="preserve">Mort-vivant|0-1</x:t>
  </x:si>
  <x:si>
    <x:t xml:space="preserve">des ossements, des lambeaux ou de la poussière funéraire</x:t>
  </x:si>
  <x:si>
    <x:t xml:space="preserve">en fouillant les restes desséchés de la créature</x:t>
  </x:si>
  <x:si>
    <x:t xml:space="preserve">Mort-vivant|2-4</x:t>
  </x:si>
  <x:si>
    <x:t xml:space="preserve">des bijoux ternis, des fragments d'armure ou des reliques anciennes</x:t>
  </x:si>
  <x:si>
    <x:t xml:space="preserve">Mort-vivant|5-7</x:t>
  </x:si>
  <x:si>
    <x:t xml:space="preserve">de la poussière nécrotique, des os noirs ou des talismans funéraires</x:t>
  </x:si>
  <x:si>
    <x:t xml:space="preserve">Mort-vivant|8-10</x:t>
  </x:si>
  <x:si>
    <x:t xml:space="preserve">un fragment d'âme, des os imprégnés ou une relique maudite</x:t>
  </x:si>
  <x:si>
    <x:t xml:space="preserve">Mort-vivant|11+</x:t>
  </x:si>
  <x:si>
    <x:t xml:space="preserve">une essence nécromantique, une relique royale ou un cœur mortuaire</x:t>
  </x:si>
  <x:si>
    <x:t xml:space="preserve">Démon|0-1</x:t>
  </x:si>
  <x:si>
    <x:t xml:space="preserve">des cendres, des griffes noircies ou du sang corrompu</x:t>
  </x:si>
  <x:si>
    <x:t xml:space="preserve">en prélevant avec prudence les parties encore instables du corps</x:t>
  </x:si>
  <x:si>
    <x:t xml:space="preserve">Démon|2-4</x:t>
  </x:si>
  <x:si>
    <x:t xml:space="preserve">de l'ichor, des cornes, des crocs ou des fragments brûlés</x:t>
  </x:si>
  <x:si>
    <x:t xml:space="preserve">Démon|5-7</x:t>
  </x:si>
  <x:si>
    <x:t xml:space="preserve">des cendres infernales, du sang démoniaque ou des griffes maudites</x:t>
  </x:si>
  <x:si>
    <x:t xml:space="preserve">Démon|8-10</x:t>
  </x:si>
  <x:si>
    <x:t xml:space="preserve">un cœur infernal, des cornes intactes ou une essence corrompue</x:t>
  </x:si>
  <x:si>
    <x:t xml:space="preserve">Démon|11+</x:t>
  </x:si>
  <x:si>
    <x:t xml:space="preserve">un fragment abyssal, une âme captive ou une relique démoniaque</x:t>
  </x:si>
  <x:si>
    <x:t xml:space="preserve">Dragon|0-1</x:t>
  </x:si>
  <x:si>
    <x:t xml:space="preserve">des écailles abîmées, des crocs ou des griffes</x:t>
  </x:si>
  <x:si>
    <x:t xml:space="preserve">en taillant dans la dépouille draconique</x:t>
  </x:si>
  <x:si>
    <x:t xml:space="preserve">Dragon|2-4</x:t>
  </x:si>
  <x:si>
    <x:t xml:space="preserve">des écailles solides, du sang draconique ou des os</x:t>
  </x:si>
  <x:si>
    <x:t xml:space="preserve">Dragon|5-7</x:t>
  </x:si>
  <x:si>
    <x:t xml:space="preserve">des écailles rares, des crocs intacts ou des fragments de souffle</x:t>
  </x:si>
  <x:si>
    <x:t xml:space="preserve">Dragon|8-10</x:t>
  </x:si>
  <x:si>
    <x:t xml:space="preserve">du sang pur, une écaille majeure ou un os imprégné</x:t>
  </x:si>
  <x:si>
    <x:t xml:space="preserve">Dragon|11+</x:t>
  </x:si>
  <x:si>
    <x:t xml:space="preserve">un cœur draconique, une essence de souffle ou une écaille légendaire</x:t>
  </x:si>
  <x:si>
    <x:t xml:space="preserve">Construct|0-1</x:t>
  </x:si>
  <x:si>
    <x:t xml:space="preserve">Construct</x:t>
  </x:si>
  <x:si>
    <x:t xml:space="preserve">des rouages, des vis, des plaques usées ou des câbles</x:t>
  </x:si>
  <x:si>
    <x:t xml:space="preserve">en démontant les éléments encore utilisables</x:t>
  </x:si>
  <x:si>
    <x:t xml:space="preserve">Construct|2-4</x:t>
  </x:si>
  <x:si>
    <x:t xml:space="preserve">des pièces détachées, des plaques métalliques ou des cristaux faibles</x:t>
  </x:si>
  <x:si>
    <x:t xml:space="preserve">Construct|5-7</x:t>
  </x:si>
  <x:si>
    <x:t xml:space="preserve">un noyau brisé, un cristal stable ou un mécanisme rare</x:t>
  </x:si>
  <x:si>
    <x:t xml:space="preserve">Construct|8-10</x:t>
  </x:si>
  <x:si>
    <x:t xml:space="preserve">un cœur mécanique, un cristal énergétique ou une matrice intacte</x:t>
  </x:si>
  <x:si>
    <x:t xml:space="preserve">Construct|11+</x:t>
  </x:si>
  <x:si>
    <x:t xml:space="preserve">un noyau arcanique, une matrice ancienne ou un mécanisme unique</x:t>
  </x:si>
  <x:si>
    <x:t xml:space="preserve">Aberration|0-1</x:t>
  </x:si>
  <x:si>
    <x:t xml:space="preserve">du mucus, de la chair étrange ou un œil déformé</x:t>
  </x:si>
  <x:si>
    <x:t xml:space="preserve">en incisant les parties les moins dégradées de la créature</x:t>
  </x:si>
  <x:si>
    <x:t xml:space="preserve">Aberration|2-4</x:t>
  </x:si>
  <x:si>
    <x:t xml:space="preserve">des glandes, des tissus altérés ou des fluides anormaux</x:t>
  </x:si>
  <x:si>
    <x:t xml:space="preserve">Aberration|5-7</x:t>
  </x:si>
  <x:si>
    <x:t xml:space="preserve">un organe instable, un œil rare ou du mucus réactif</x:t>
  </x:si>
  <x:si>
    <x:t xml:space="preserve">Aberration|8-10</x:t>
  </x:si>
  <x:si>
    <x:t xml:space="preserve">un cerveau aberrant, une glande mutagène ou de la chair vivante</x:t>
  </x:si>
  <x:si>
    <x:t xml:space="preserve">Aberration|11+</x:t>
  </x:si>
  <x:si>
    <x:t xml:space="preserve">un noyau impossible, une essence mutante ou un organe interdit</x:t>
  </x:si>
  <x:si>
    <x:t xml:space="preserve">Plante|0-1</x:t>
  </x:si>
  <x:si>
    <x:t xml:space="preserve">des racines, des feuilles, des épines ou des graines</x:t>
  </x:si>
  <x:si>
    <x:t xml:space="preserve">en récoltant les parties encore vivaces du corps végétal</x:t>
  </x:si>
  <x:si>
    <x:t xml:space="preserve">Plante|2-4</x:t>
  </x:si>
  <x:si>
    <x:t xml:space="preserve">de la sève, des spores, des fleurs ou du bois vivant</x:t>
  </x:si>
  <x:si>
    <x:t xml:space="preserve">Plante|5-7</x:t>
  </x:si>
  <x:si>
    <x:t xml:space="preserve">des graines rares, des spores actives ou de la sève concentrée</x:t>
  </x:si>
  <x:si>
    <x:t xml:space="preserve">Plante|8-10</x:t>
  </x:si>
  <x:si>
    <x:t xml:space="preserve">un cœur végétal, une fleur magique ou une racine ancienne</x:t>
  </x:si>
  <x:si>
    <x:t xml:space="preserve">Plante|11+</x:t>
  </x:si>
  <x:si>
    <x:t xml:space="preserve">une graine primordiale, une essence sylvestre ou un cœur d'arbre ancien</x:t>
  </x:si>
  <x:si>
    <x:t xml:space="preserve">Vase|0-1</x:t>
  </x:si>
  <x:si>
    <x:t xml:space="preserve">du mucus, des résidus acides ou de la gelée</x:t>
  </x:si>
  <x:si>
    <x:t xml:space="preserve">en raclant et en isolant les matières encore actives</x:t>
  </x:si>
  <x:si>
    <x:t xml:space="preserve">Vase|2-4</x:t>
  </x:si>
  <x:si>
    <x:t xml:space="preserve">un noyau gélatineux, du fluide corrosif ou une membrane</x:t>
  </x:si>
  <x:si>
    <x:t xml:space="preserve">Vase|5-7</x:t>
  </x:si>
  <x:si>
    <x:t xml:space="preserve">du mucus réactif, de l'acide concentré ou un noyau stable</x:t>
  </x:si>
  <x:si>
    <x:t xml:space="preserve">Vase|8-10</x:t>
  </x:si>
  <x:si>
    <x:t xml:space="preserve">une essence corrosive, un noyau pur ou une gelée alchimique</x:t>
  </x:si>
  <x:si>
    <x:t xml:space="preserve">Vase|11+</x:t>
  </x:si>
  <x:si>
    <x:t xml:space="preserve">un cœur gélatineux vivant, un acide parfait ou une essence dissolvante</x:t>
  </x:si>
  <x:si>
    <x:t xml:space="preserve">Élémentaire|0-1</x:t>
  </x:si>
  <x:si>
    <x:t xml:space="preserve">de la poussière élémentaire, des éclats ou des cendres</x:t>
  </x:si>
  <x:si>
    <x:t xml:space="preserve">en rassemblant ce qui subsiste après la dissipation de la créature</x:t>
  </x:si>
  <x:si>
    <x:t xml:space="preserve">Élémentaire|2-4</x:t>
  </x:si>
  <x:si>
    <x:t xml:space="preserve">des cristaux faibles, des fragments imprégnés ou des résidus énergétiques</x:t>
  </x:si>
  <x:si>
    <x:t xml:space="preserve">Élémentaire|5-7</x:t>
  </x:si>
  <x:si>
    <x:t xml:space="preserve">un cristal élémentaire, un éclat chargé ou de la poussière pure</x:t>
  </x:si>
  <x:si>
    <x:t xml:space="preserve">Élémentaire|8-10</x:t>
  </x:si>
  <x:si>
    <x:t xml:space="preserve">un cœur élémentaire, un fragment instable ou une essence concentrée</x:t>
  </x:si>
  <x:si>
    <x:t xml:space="preserve">Élémentaire|11+</x:t>
  </x:si>
  <x:si>
    <x:t xml:space="preserve">un noyau primordial, une essence élémentaire majeure ou un fragment de plan</x:t>
  </x:si>
  <x:si>
    <x:t xml:space="preserve">Fée|0-1</x:t>
  </x:si>
  <x:si>
    <x:t xml:space="preserve">des pétales, de la poudre légère ou des filaments lumineux</x:t>
  </x:si>
  <x:si>
    <x:t xml:space="preserve">en collectant délicatement les traces magiques laissées derrière elle</x:t>
  </x:si>
  <x:si>
    <x:t xml:space="preserve">Fée|2-4</x:t>
  </x:si>
  <x:si>
    <x:t xml:space="preserve">des baies rares, des fleurs étranges ou une essence subtile</x:t>
  </x:si>
  <x:si>
    <x:t xml:space="preserve">Fée|5-7</x:t>
  </x:si>
  <x:si>
    <x:t xml:space="preserve">de la poudre féerique, une larme de fée ou une fleur enchantée</x:t>
  </x:si>
  <x:si>
    <x:t xml:space="preserve">Fée|8-10</x:t>
  </x:si>
  <x:si>
    <x:t xml:space="preserve">une essence féerique pure, un fil lumineux ou un fruit magique</x:t>
  </x:si>
  <x:si>
    <x:t xml:space="preserve">Fée|11+</x:t>
  </x:si>
  <x:si>
    <x:t xml:space="preserve">un éclat de rêve, une essence de cour féerique ou une relique enchantée</x:t>
  </x:si>
  <x:si>
    <x:t xml:space="preserve">Géant|0-1</x:t>
  </x:si>
  <x:si>
    <x:t xml:space="preserve">du cuir épais, des os lourds ou des dents</x:t>
  </x:si>
  <x:si>
    <x:t xml:space="preserve">en découpant les parties exploitables de l'énorme dépouille</x:t>
  </x:si>
  <x:si>
    <x:t xml:space="preserve">Géant|2-4</x:t>
  </x:si>
  <x:si>
    <x:t xml:space="preserve">des trophées massifs, de l'équipement brisé ou une peau solide</x:t>
  </x:si>
  <x:si>
    <x:t xml:space="preserve">Géant|5-7</x:t>
  </x:si>
  <x:si>
    <x:t xml:space="preserve">un os géant, une dent massive ou un fragment d'arme</x:t>
  </x:si>
  <x:si>
    <x:t xml:space="preserve">Géant|8-10</x:t>
  </x:si>
  <x:si>
    <x:t xml:space="preserve">un cuir exceptionnel, un cœur massif ou une rune gravée</x:t>
  </x:si>
  <x:si>
    <x:t xml:space="preserve">Géant|11+</x:t>
  </x:si>
  <x:si>
    <x:t xml:space="preserve">un os titanesque, une relique de clan ou un fragment de puissance ancienne</x:t>
  </x:si>
  <x:si>
    <x:t xml:space="preserve">Lycanthrope|0-1</x:t>
  </x:si>
  <x:si>
    <x:t xml:space="preserve">Lycanthrope</x:t>
  </x:si>
  <x:si>
    <x:t xml:space="preserve">des poils, des crocs, des griffes ou du sang sombre</x:t>
  </x:si>
  <x:si>
    <x:t xml:space="preserve">en prélevant les traces laissées par la transformation</x:t>
  </x:si>
  <x:si>
    <x:t xml:space="preserve">Lycanthrope|2-4</x:t>
  </x:si>
  <x:si>
    <x:t xml:space="preserve">une peau instable, du sang maudit ou des fragments d'os</x:t>
  </x:si>
  <x:si>
    <x:t xml:space="preserve">Lycanthrope|5-7</x:t>
  </x:si>
  <x:si>
    <x:t xml:space="preserve">de la chair changeante, une griffe maudite ou une essence lunaire</x:t>
  </x:si>
  <x:si>
    <x:t xml:space="preserve">Lycanthrope|8-10</x:t>
  </x:si>
  <x:si>
    <x:t xml:space="preserve">un cœur maudit, une peau métamorphe ou du sang pur de malédiction</x:t>
  </x:si>
  <x:si>
    <x:t xml:space="preserve">Lycanthrope|11+</x:t>
  </x:si>
  <x:si>
    <x:t xml:space="preserve">un fragment de malédiction, une essence de transformation ou une relique souillée</x:t>
  </x:si>
  <x:si>
    <x:t xml:space="preserve">Esprit|0-1</x:t>
  </x:si>
  <x:si>
    <x:t xml:space="preserve">de la poussière spectrale, un froid résiduel ou des traces pâles</x:t>
  </x:si>
  <x:si>
    <x:t xml:space="preserve">en captant les restes surnaturels avant qu'ils ne se dissipent</x:t>
  </x:si>
  <x:si>
    <x:t xml:space="preserve">Esprit|2-4</x:t>
  </x:si>
  <x:si>
    <x:t xml:space="preserve">de l'ectoplasme faible, un fragment d'âme ou un résidu éthéré</x:t>
  </x:si>
  <x:si>
    <x:t xml:space="preserve">Esprit|5-7</x:t>
  </x:si>
  <x:si>
    <x:t xml:space="preserve">une essence spectrale, un reliquat d'âme ou un voile éthéré</x:t>
  </x:si>
  <x:si>
    <x:t xml:space="preserve">Esprit|8-10</x:t>
  </x:si>
  <x:si>
    <x:t xml:space="preserve">un noyau spectral, une mémoire capturée ou une larme d'âme</x:t>
  </x:si>
  <x:si>
    <x:t xml:space="preserve">Esprit|11+</x:t>
  </x:si>
  <x:si>
    <x:t xml:space="preserve">une âme condensée, une essence d'outre-monde ou une relique fantomatique</x:t>
  </x:si>
  <x:si>
    <x:t xml:space="preserve">Vermine|0-1</x:t>
  </x:si>
  <x:si>
    <x:t xml:space="preserve">de la chitine, des pattes, des mandibules ou de la carapace</x:t>
  </x:si>
  <x:si>
    <x:t xml:space="preserve">en ouvrant la carapace et en extrayant les organes utiles</x:t>
  </x:si>
  <x:si>
    <x:t xml:space="preserve">Vermine|2-4</x:t>
  </x:si>
  <x:si>
    <x:t xml:space="preserve">du venin faible, des glandes, de la chitine solide ou des œufs</x:t>
  </x:si>
  <x:si>
    <x:t xml:space="preserve">Vermine|5-7</x:t>
  </x:si>
  <x:si>
    <x:t xml:space="preserve">du venin concentré, une glande rare ou une carapace intacte</x:t>
  </x:si>
  <x:si>
    <x:t xml:space="preserve">Vermine|8-10</x:t>
  </x:si>
  <x:si>
    <x:t xml:space="preserve">une reine-glande, une chitine parfaite ou un venin alchimique</x:t>
  </x:si>
  <x:si>
    <x:t xml:space="preserve">Vermine|11+</x:t>
  </x:si>
  <x:si>
    <x:t xml:space="preserve">un cœur de ruche, un venin royal ou une chitine ancienne</x:t>
  </x:si>
  <x:si>
    <x:t xml:space="preserve">Rareté butin</x:t>
  </x:si>
  <x:si>
    <x:t xml:space="preserve">Dominante</x:t>
  </x:si>
  <x:si>
    <x:t xml:space="preserve">Rang</x:t>
  </x:si>
  <x:si>
    <x:t xml:space="preserve">Version</x:t>
  </x:si>
  <x:si>
    <x:t xml:space="preserve">Aucun</x:t>
  </x:si>
  <x:si>
    <x:t xml:space="preserve">-</x:t>
  </x:si>
  <x:si>
    <x:t xml:space="preserve">Physique — aucun bonus</x:t>
  </x:si>
  <x:si>
    <x:t xml:space="preserve">Puissant - Simple A = FOR +3</x:t>
  </x:si>
  <x:si>
    <x:t xml:space="preserve">FOR +3</x:t>
  </x:si>
  <x:si>
    <x:t xml:space="preserve">FOR / Simple A — gros cogneur solide</x:t>
  </x:si>
  <x:si>
    <x:t xml:space="preserve">Simple</x:t>
  </x:si>
  <x:si>
    <x:t xml:space="preserve">A</x:t>
  </x:si>
  <x:si>
    <x:t xml:space="preserve">Puissant - Simple B = FOR +2, CON +1</x:t>
  </x:si>
  <x:si>
    <x:t xml:space="preserve">FOR / Simple B — gros cogneur solide</x:t>
  </x:si>
  <x:si>
    <x:t xml:space="preserve">B</x:t>
  </x:si>
  <x:si>
    <x:t xml:space="preserve">Puissant - Avancé A = FOR +3, CON +1</x:t>
  </x:si>
  <x:si>
    <x:t xml:space="preserve">FOR +3, CON +1</x:t>
  </x:si>
  <x:si>
    <x:t xml:space="preserve">FOR / Avancé A — gros cogneur solide</x:t>
  </x:si>
  <x:si>
    <x:t xml:space="preserve">Avancé</x:t>
  </x:si>
  <x:si>
    <x:t xml:space="preserve">Puissant - Avancé B = FOR +2, CON +2</x:t>
  </x:si>
  <x:si>
    <x:t xml:space="preserve">FOR +2, CON +2</x:t>
  </x:si>
  <x:si>
    <x:t xml:space="preserve">FOR / Avancé B — gros cogneur solide</x:t>
  </x:si>
  <x:si>
    <x:t xml:space="preserve">Puissant - Expert A = FOR +3, CON +2, DEX +1</x:t>
  </x:si>
  <x:si>
    <x:t xml:space="preserve">FOR +3, CON +2, DEX +1</x:t>
  </x:si>
  <x:si>
    <x:t xml:space="preserve">FOR / Expert A — gros cogneur solide</x:t>
  </x:si>
  <x:si>
    <x:t xml:space="preserve">Expert</x:t>
  </x:si>
  <x:si>
    <x:t xml:space="preserve">Puissant - Expert B = FOR +4, CON +2</x:t>
  </x:si>
  <x:si>
    <x:t xml:space="preserve">FOR +4, CON +2</x:t>
  </x:si>
  <x:si>
    <x:t xml:space="preserve">FOR / Expert B — gros cogneur solide</x:t>
  </x:si>
  <x:si>
    <x:t xml:space="preserve">Puissant - Spécialiste A = FOR +4, CON +2, DEX +2</x:t>
  </x:si>
  <x:si>
    <x:t xml:space="preserve">FOR +4, CON +2, DEX +2</x:t>
  </x:si>
  <x:si>
    <x:t xml:space="preserve">FOR / Spécialiste A — gros cogneur solide</x:t>
  </x:si>
  <x:si>
    <x:t xml:space="preserve">Spécialiste</x:t>
  </x:si>
  <x:si>
    <x:t xml:space="preserve">Puissant - Spécialiste B = FOR +4, CON +3, DEX +1</x:t>
  </x:si>
  <x:si>
    <x:t xml:space="preserve">FOR +4, CON +3, DEX +1</x:t>
  </x:si>
  <x:si>
    <x:t xml:space="preserve">FOR / Spécialiste B — gros cogneur solide</x:t>
  </x:si>
  <x:si>
    <x:t xml:space="preserve">Ravageur - Simple A = FOR +3</x:t>
  </x:si>
  <x:si>
    <x:t xml:space="preserve">FOR / Simple A — charge, violence mobile</x:t>
  </x:si>
  <x:si>
    <x:t xml:space="preserve">FOR / Simple B — charge, violence mobile</x:t>
  </x:si>
  <x:si>
    <x:t xml:space="preserve">Ravageur - Avancé A = FOR +3, DEX +1</x:t>
  </x:si>
  <x:si>
    <x:t xml:space="preserve">FOR +3, DEX +1</x:t>
  </x:si>
  <x:si>
    <x:t xml:space="preserve">FOR / Avancé A — charge, violence mobile</x:t>
  </x:si>
  <x:si>
    <x:t xml:space="preserve">Ravageur - Avancé B = FOR +2, DEX +2</x:t>
  </x:si>
  <x:si>
    <x:t xml:space="preserve">FOR +2, DEX +2</x:t>
  </x:si>
  <x:si>
    <x:t xml:space="preserve">FOR / Avancé B — charge, violence mobile</x:t>
  </x:si>
  <x:si>
    <x:t xml:space="preserve">Ravageur - Expert A = FOR +3, DEX +2, CON +1</x:t>
  </x:si>
  <x:si>
    <x:t xml:space="preserve">FOR +3, DEX +2, CON +1</x:t>
  </x:si>
  <x:si>
    <x:t xml:space="preserve">FOR / Expert A — charge, violence mobile</x:t>
  </x:si>
  <x:si>
    <x:t xml:space="preserve">Ravageur - Expert B = FOR +4, DEX +2</x:t>
  </x:si>
  <x:si>
    <x:t xml:space="preserve">FOR +4, DEX +2</x:t>
  </x:si>
  <x:si>
    <x:t xml:space="preserve">FOR / Expert B — charge, violence mobile</x:t>
  </x:si>
  <x:si>
    <x:t xml:space="preserve">Ravageur - Spécialiste A = FOR +4, DEX +2, CON +2</x:t>
  </x:si>
  <x:si>
    <x:t xml:space="preserve">FOR +4, DEX +2, CON +2</x:t>
  </x:si>
  <x:si>
    <x:t xml:space="preserve">FOR / Spécialiste A — charge, violence mobile</x:t>
  </x:si>
  <x:si>
    <x:t xml:space="preserve">Ravageur - Spécialiste B = FOR +4, DEX +3, CON +1</x:t>
  </x:si>
  <x:si>
    <x:t xml:space="preserve">FOR +4, DEX +3, CON +1</x:t>
  </x:si>
  <x:si>
    <x:t xml:space="preserve">FOR / Spécialiste B — charge, violence mobile</x:t>
  </x:si>
  <x:si>
    <x:t xml:space="preserve">Lutteur - Simple A = FOR +3</x:t>
  </x:si>
  <x:si>
    <x:t xml:space="preserve">FOR / Simple A — saisie, projection, contrôle physique</x:t>
  </x:si>
  <x:si>
    <x:t xml:space="preserve">Lutteur - Simple B = FOR +2, CON +1</x:t>
  </x:si>
  <x:si>
    <x:t xml:space="preserve">FOR / Simple B — saisie, projection, contrôle physique</x:t>
  </x:si>
  <x:si>
    <x:t xml:space="preserve">Lutteur - Avancé A = FOR +3, CON +1</x:t>
  </x:si>
  <x:si>
    <x:t xml:space="preserve">FOR / Avancé A — saisie, projection, contrôle physique</x:t>
  </x:si>
  <x:si>
    <x:t xml:space="preserve">Lutteur - Avancé B = FOR +2, CON +2</x:t>
  </x:si>
  <x:si>
    <x:t xml:space="preserve">FOR / Avancé B — saisie, projection, contrôle physique</x:t>
  </x:si>
  <x:si>
    <x:t xml:space="preserve">Lutteur - Expert A = FOR +3, CON +2, DEX +1</x:t>
  </x:si>
  <x:si>
    <x:t xml:space="preserve">FOR / Expert A — saisie, projection, contrôle physique</x:t>
  </x:si>
  <x:si>
    <x:t xml:space="preserve">Lutteur - Expert B = FOR +4, CON +2</x:t>
  </x:si>
  <x:si>
    <x:t xml:space="preserve">FOR / Expert B — saisie, projection, contrôle physique</x:t>
  </x:si>
  <x:si>
    <x:t xml:space="preserve">Lutteur - Spécialiste A = FOR +4, CON +2, DEX +2</x:t>
  </x:si>
  <x:si>
    <x:t xml:space="preserve">FOR / Spécialiste A — saisie, projection, contrôle physique</x:t>
  </x:si>
  <x:si>
    <x:t xml:space="preserve">Lutteur - Spécialiste B = FOR +4, CON +3, DEX +1</x:t>
  </x:si>
  <x:si>
    <x:t xml:space="preserve">FOR / Spécialiste B — saisie, projection, contrôle physique</x:t>
  </x:si>
  <x:si>
    <x:t xml:space="preserve">Agile - Simple A = DEX +3</x:t>
  </x:si>
  <x:si>
    <x:t xml:space="preserve">DEX +3</x:t>
  </x:si>
  <x:si>
    <x:t xml:space="preserve">DEX / Simple A — esquive, défense, déplacement</x:t>
  </x:si>
  <x:si>
    <x:t xml:space="preserve">Agile - Simple B = DEX +2, CON +1</x:t>
  </x:si>
  <x:si>
    <x:t xml:space="preserve">DEX / Simple B — esquive, défense, déplacement</x:t>
  </x:si>
  <x:si>
    <x:t xml:space="preserve">Agile - Avancé A = DEX +3, CON +1</x:t>
  </x:si>
  <x:si>
    <x:t xml:space="preserve">DEX +3, CON +1</x:t>
  </x:si>
  <x:si>
    <x:t xml:space="preserve">DEX / Avancé A — esquive, défense, déplacement</x:t>
  </x:si>
  <x:si>
    <x:t xml:space="preserve">Agile - Avancé B = DEX +2, CON +2</x:t>
  </x:si>
  <x:si>
    <x:t xml:space="preserve">DEX +2, CON +2</x:t>
  </x:si>
  <x:si>
    <x:t xml:space="preserve">DEX / Avancé B — esquive, défense, déplacement</x:t>
  </x:si>
  <x:si>
    <x:t xml:space="preserve">Agile - Expert A = DEX +3, CON +2, FOR +1</x:t>
  </x:si>
  <x:si>
    <x:t xml:space="preserve">DEX +3, CON +2, FOR +1</x:t>
  </x:si>
  <x:si>
    <x:t xml:space="preserve">DEX / Expert A — esquive, défense, déplacement</x:t>
  </x:si>
  <x:si>
    <x:t xml:space="preserve">Agile - Expert B = DEX +4, CON +2</x:t>
  </x:si>
  <x:si>
    <x:t xml:space="preserve">DEX +4, CON +2</x:t>
  </x:si>
  <x:si>
    <x:t xml:space="preserve">DEX / Expert B — esquive, défense, déplacement</x:t>
  </x:si>
  <x:si>
    <x:t xml:space="preserve">Agile - Spécialiste A = DEX +4, CON +2, FOR +2</x:t>
  </x:si>
  <x:si>
    <x:t xml:space="preserve">DEX +4, CON +2, FOR +2</x:t>
  </x:si>
  <x:si>
    <x:t xml:space="preserve">DEX / Spécialiste A — esquive, défense, déplacement</x:t>
  </x:si>
  <x:si>
    <x:t xml:space="preserve">Agile - Spécialiste B = DEX +4, CON +3, FOR +1</x:t>
  </x:si>
  <x:si>
    <x:t xml:space="preserve">DEX +4, CON +3, FOR +1</x:t>
  </x:si>
  <x:si>
    <x:t xml:space="preserve">DEX / Spécialiste B — esquive, défense, déplacement</x:t>
  </x:si>
  <x:si>
    <x:t xml:space="preserve">Tueur précis - Simple A = DEX +3</x:t>
  </x:si>
  <x:si>
    <x:t xml:space="preserve">DEX / Simple A — frappe ciblée, critique, précision</x:t>
  </x:si>
  <x:si>
    <x:t xml:space="preserve">Tueur précis - Simple B = DEX +2, FOR +1</x:t>
  </x:si>
  <x:si>
    <x:t xml:space="preserve">DEX +2, FOR +1</x:t>
  </x:si>
  <x:si>
    <x:t xml:space="preserve">DEX / Simple B — frappe ciblée, critique, précision</x:t>
  </x:si>
  <x:si>
    <x:t xml:space="preserve">Tueur précis - Avancé A = DEX +3, FOR +1</x:t>
  </x:si>
  <x:si>
    <x:t xml:space="preserve">DEX +3, FOR +1</x:t>
  </x:si>
  <x:si>
    <x:t xml:space="preserve">DEX / Avancé A — frappe ciblée, critique, précision</x:t>
  </x:si>
  <x:si>
    <x:t xml:space="preserve">Tueur précis - Avancé B = DEX +2, FOR +2</x:t>
  </x:si>
  <x:si>
    <x:t xml:space="preserve">DEX +2, FOR +2</x:t>
  </x:si>
  <x:si>
    <x:t xml:space="preserve">DEX / Avancé B — frappe ciblée, critique, précision</x:t>
  </x:si>
  <x:si>
    <x:t xml:space="preserve">Tueur précis - Expert A = DEX +3, FOR +2, CON +1</x:t>
  </x:si>
  <x:si>
    <x:t xml:space="preserve">DEX +3, FOR +2, CON +1</x:t>
  </x:si>
  <x:si>
    <x:t xml:space="preserve">DEX / Expert A — frappe ciblée, critique, précision</x:t>
  </x:si>
  <x:si>
    <x:t xml:space="preserve">Tueur précis - Expert B = DEX +4, FOR +2</x:t>
  </x:si>
  <x:si>
    <x:t xml:space="preserve">DEX +4, FOR +2</x:t>
  </x:si>
  <x:si>
    <x:t xml:space="preserve">DEX / Expert B — frappe ciblée, critique, précision</x:t>
  </x:si>
  <x:si>
    <x:t xml:space="preserve">Tueur précis - Spécialiste A = DEX +4, FOR +2, CON +2</x:t>
  </x:si>
  <x:si>
    <x:t xml:space="preserve">DEX +4, FOR +2, CON +2</x:t>
  </x:si>
  <x:si>
    <x:t xml:space="preserve">DEX / Spécialiste A — frappe ciblée, critique, précision</x:t>
  </x:si>
  <x:si>
    <x:t xml:space="preserve">Tueur précis - Spécialiste B = DEX +4, FOR +3, CON +1</x:t>
  </x:si>
  <x:si>
    <x:t xml:space="preserve">DEX +4, FOR +3, CON +1</x:t>
  </x:si>
  <x:si>
    <x:t xml:space="preserve">DEX / Spécialiste B — frappe ciblée, critique, précision</x:t>
  </x:si>
  <x:si>
    <x:t xml:space="preserve">Acrobate - Simple A = DEX +3</x:t>
  </x:si>
  <x:si>
    <x:t xml:space="preserve">DEX / Simple A — harcèlement, mobilité, provocation</x:t>
  </x:si>
  <x:si>
    <x:t xml:space="preserve">Acrobate - Simple B = DEX +2, CON +1</x:t>
  </x:si>
  <x:si>
    <x:t xml:space="preserve">DEX / Simple B — harcèlement, mobilité, provocation</x:t>
  </x:si>
  <x:si>
    <x:t xml:space="preserve">Acrobate - Avancé A = DEX +3, CON +1</x:t>
  </x:si>
  <x:si>
    <x:t xml:space="preserve">DEX / Avancé A — harcèlement, mobilité, provocation</x:t>
  </x:si>
  <x:si>
    <x:t xml:space="preserve">Acrobate - Avancé B = DEX +2, CON +2</x:t>
  </x:si>
  <x:si>
    <x:t xml:space="preserve">DEX / Avancé B — harcèlement, mobilité, provocation</x:t>
  </x:si>
  <x:si>
    <x:t xml:space="preserve">Acrobate - Expert A = DEX +3, CON +2, FOR +1</x:t>
  </x:si>
  <x:si>
    <x:t xml:space="preserve">DEX / Expert A — harcèlement, mobilité, provocation</x:t>
  </x:si>
  <x:si>
    <x:t xml:space="preserve">Acrobate - Expert B = DEX +4, CON +2</x:t>
  </x:si>
  <x:si>
    <x:t xml:space="preserve">DEX / Expert B — harcèlement, mobilité, provocation</x:t>
  </x:si>
  <x:si>
    <x:t xml:space="preserve">Acrobate - Spécialiste A = DEX +4, CON +2, FOR +2</x:t>
  </x:si>
  <x:si>
    <x:t xml:space="preserve">DEX / Spécialiste A — harcèlement, mobilité, provocation</x:t>
  </x:si>
  <x:si>
    <x:t xml:space="preserve">Acrobate - Spécialiste B = DEX +4, CON +3, FOR +1</x:t>
  </x:si>
  <x:si>
    <x:t xml:space="preserve">DEX / Spécialiste B — harcèlement, mobilité, provocation</x:t>
  </x:si>
  <x:si>
    <x:t xml:space="preserve">Robuste - Simple A = CON +3</x:t>
  </x:si>
  <x:si>
    <x:t xml:space="preserve">CON +3</x:t>
  </x:si>
  <x:si>
    <x:t xml:space="preserve">CON / Simple A — sac à PV, encaisse les coups</x:t>
  </x:si>
  <x:si>
    <x:t xml:space="preserve">Robuste - Simple B = CON +2, FOR +1</x:t>
  </x:si>
  <x:si>
    <x:t xml:space="preserve">CON / Simple B — sac à PV, encaisse les coups</x:t>
  </x:si>
  <x:si>
    <x:t xml:space="preserve">Robuste - Avancé A = CON +3, FOR +1</x:t>
  </x:si>
  <x:si>
    <x:t xml:space="preserve">CON +3, FOR +1</x:t>
  </x:si>
  <x:si>
    <x:t xml:space="preserve">CON / Avancé A — sac à PV, encaisse les coups</x:t>
  </x:si>
  <x:si>
    <x:t xml:space="preserve">Robuste - Avancé B = CON +2, FOR +2</x:t>
  </x:si>
  <x:si>
    <x:t xml:space="preserve">CON +2, FOR +2</x:t>
  </x:si>
  <x:si>
    <x:t xml:space="preserve">CON / Avancé B — sac à PV, encaisse les coups</x:t>
  </x:si>
  <x:si>
    <x:t xml:space="preserve">Robuste - Expert A = CON +3, FOR +2, DEX +1</x:t>
  </x:si>
  <x:si>
    <x:t xml:space="preserve">CON +3, FOR +2, DEX +1</x:t>
  </x:si>
  <x:si>
    <x:t xml:space="preserve">CON / Expert A — sac à PV, encaisse les coups</x:t>
  </x:si>
  <x:si>
    <x:t xml:space="preserve">Robuste - Expert B = CON +4, FOR +2</x:t>
  </x:si>
  <x:si>
    <x:t xml:space="preserve">CON +4, FOR +2</x:t>
  </x:si>
  <x:si>
    <x:t xml:space="preserve">CON / Expert B — sac à PV, encaisse les coups</x:t>
  </x:si>
  <x:si>
    <x:t xml:space="preserve">Robuste - Spécialiste A = CON +4, FOR +2, DEX +2</x:t>
  </x:si>
  <x:si>
    <x:t xml:space="preserve">CON +4, FOR +2, DEX +2</x:t>
  </x:si>
  <x:si>
    <x:t xml:space="preserve">CON / Spécialiste A — sac à PV, encaisse les coups</x:t>
  </x:si>
  <x:si>
    <x:t xml:space="preserve">Robuste - Spécialiste B = CON +4, FOR +3, DEX +1</x:t>
  </x:si>
  <x:si>
    <x:t xml:space="preserve">CON +4, FOR +3, DEX +1</x:t>
  </x:si>
  <x:si>
    <x:t xml:space="preserve">CON / Spécialiste B — sac à PV, encaisse les coups</x:t>
  </x:si>
  <x:si>
    <x:t xml:space="preserve">Increvable - Simple A = CON +3</x:t>
  </x:si>
  <x:si>
    <x:t xml:space="preserve">CON / Simple A — endurance, résistance mentale</x:t>
  </x:si>
  <x:si>
    <x:t xml:space="preserve">Increvable - Simple B = CON +2, DEX +1</x:t>
  </x:si>
  <x:si>
    <x:t xml:space="preserve">CON +2, DEX +1</x:t>
  </x:si>
  <x:si>
    <x:t xml:space="preserve">CON / Simple B — endurance, résistance mentale</x:t>
  </x:si>
  <x:si>
    <x:t xml:space="preserve">Increvable - Avancé A = CON +3, DEX +1</x:t>
  </x:si>
  <x:si>
    <x:t xml:space="preserve">CON +3, DEX +1</x:t>
  </x:si>
  <x:si>
    <x:t xml:space="preserve">CON / Avancé A — endurance, résistance mentale</x:t>
  </x:si>
  <x:si>
    <x:t xml:space="preserve">Increvable - Avancé B = CON +2, DEX +2</x:t>
  </x:si>
  <x:si>
    <x:t xml:space="preserve">CON +2, DEX +2</x:t>
  </x:si>
  <x:si>
    <x:t xml:space="preserve">CON / Avancé B — endurance, résistance mentale</x:t>
  </x:si>
  <x:si>
    <x:t xml:space="preserve">Increvable - Expert A = CON +3, DEX +2, FOR +1</x:t>
  </x:si>
  <x:si>
    <x:t xml:space="preserve">CON +3, DEX +2, FOR +1</x:t>
  </x:si>
  <x:si>
    <x:t xml:space="preserve">CON / Expert A — endurance, résistance mentale</x:t>
  </x:si>
  <x:si>
    <x:t xml:space="preserve">Increvable - Expert B = CON +4, DEX +2</x:t>
  </x:si>
  <x:si>
    <x:t xml:space="preserve">CON +4, DEX +2</x:t>
  </x:si>
  <x:si>
    <x:t xml:space="preserve">CON / Expert B — endurance, résistance mentale</x:t>
  </x:si>
  <x:si>
    <x:t xml:space="preserve">Increvable - Spécialiste A = CON +4, DEX +2, FOR +2</x:t>
  </x:si>
  <x:si>
    <x:t xml:space="preserve">CON +4, DEX +2, FOR +2</x:t>
  </x:si>
  <x:si>
    <x:t xml:space="preserve">CON / Spécialiste A — endurance, résistance mentale</x:t>
  </x:si>
  <x:si>
    <x:t xml:space="preserve">Increvable - Spécialiste B = CON +4, DEX +3, FOR +1</x:t>
  </x:si>
  <x:si>
    <x:t xml:space="preserve">CON +4, DEX +3, FOR +1</x:t>
  </x:si>
  <x:si>
    <x:t xml:space="preserve">CON / Spécialiste B — endurance, résistance mentale</x:t>
  </x:si>
  <x:si>
    <x:t xml:space="preserve">Mutant - Simple A = CON +3</x:t>
  </x:si>
  <x:si>
    <x:t xml:space="preserve">CON / Simple A — corps étrange, adaptation, régénération</x:t>
  </x:si>
  <x:si>
    <x:t xml:space="preserve">Mutant - Simple B = CON +2, FOR +1</x:t>
  </x:si>
  <x:si>
    <x:t xml:space="preserve">CON / Simple B — corps étrange, adaptation, régénération</x:t>
  </x:si>
  <x:si>
    <x:t xml:space="preserve">Mutant - Avancé A = CON +3, FOR +1</x:t>
  </x:si>
  <x:si>
    <x:t xml:space="preserve">CON / Avancé A — corps étrange, adaptation, régénération</x:t>
  </x:si>
  <x:si>
    <x:t xml:space="preserve">Mutant - Avancé B = CON +2, FOR +2</x:t>
  </x:si>
  <x:si>
    <x:t xml:space="preserve">CON / Avancé B — corps étrange, adaptation, régénération</x:t>
  </x:si>
  <x:si>
    <x:t xml:space="preserve">Mutant - Expert A = CON +3, FOR +2, DEX +1</x:t>
  </x:si>
  <x:si>
    <x:t xml:space="preserve">CON / Expert A — corps étrange, adaptation, régénération</x:t>
  </x:si>
  <x:si>
    <x:t xml:space="preserve">Mutant - Expert B = CON +4, FOR +2</x:t>
  </x:si>
  <x:si>
    <x:t xml:space="preserve">CON / Expert B — corps étrange, adaptation, régénération</x:t>
  </x:si>
  <x:si>
    <x:t xml:space="preserve">Mutant - Spécialiste A = CON +4, FOR +2, DEX +2</x:t>
  </x:si>
  <x:si>
    <x:t xml:space="preserve">CON / Spécialiste A — corps étrange, adaptation, régénération</x:t>
  </x:si>
  <x:si>
    <x:t xml:space="preserve">Mutant - Spécialiste B = CON +4, FOR +3, DEX +1</x:t>
  </x:si>
  <x:si>
    <x:t xml:space="preserve">CON / Spécialiste B — corps étrange, adaptation, régénération</x:t>
  </x:si>
  <x:si>
    <x:t xml:space="preserve">Mental — aucun bonus</x:t>
  </x:si>
  <x:si>
    <x:t xml:space="preserve">Stratège - Simple A = INT +3</x:t>
  </x:si>
  <x:si>
    <x:t xml:space="preserve">INT +3</x:t>
  </x:si>
  <x:si>
    <x:t xml:space="preserve">INT / Simple A — tactique, anticipation, commandement</x:t>
  </x:si>
  <x:si>
    <x:t xml:space="preserve">Stratège - Simple B = INT +2, SAG +1</x:t>
  </x:si>
  <x:si>
    <x:t xml:space="preserve">INT / Simple B — tactique, anticipation, commandement</x:t>
  </x:si>
  <x:si>
    <x:t xml:space="preserve">Stratège - Avancé A = INT +3, SAG +1</x:t>
  </x:si>
  <x:si>
    <x:t xml:space="preserve">INT +3, SAG +1</x:t>
  </x:si>
  <x:si>
    <x:t xml:space="preserve">INT / Avancé A — tactique, anticipation, commandement</x:t>
  </x:si>
  <x:si>
    <x:t xml:space="preserve">Stratège - Avancé B = INT +2, SAG +2</x:t>
  </x:si>
  <x:si>
    <x:t xml:space="preserve">INT +2, SAG +2</x:t>
  </x:si>
  <x:si>
    <x:t xml:space="preserve">INT / Avancé B — tactique, anticipation, commandement</x:t>
  </x:si>
  <x:si>
    <x:t xml:space="preserve">Stratège - Expert A = INT +3, SAG +2, CHA +1</x:t>
  </x:si>
  <x:si>
    <x:t xml:space="preserve">INT +3, SAG +2, CHA +1</x:t>
  </x:si>
  <x:si>
    <x:t xml:space="preserve">INT / Expert A — tactique, anticipation, commandement</x:t>
  </x:si>
  <x:si>
    <x:t xml:space="preserve">Stratège - Expert B = INT +4, SAG +2</x:t>
  </x:si>
  <x:si>
    <x:t xml:space="preserve">INT +4, SAG +2</x:t>
  </x:si>
  <x:si>
    <x:t xml:space="preserve">INT / Expert B — tactique, anticipation, commandement</x:t>
  </x:si>
  <x:si>
    <x:t xml:space="preserve">Stratège - Spécialiste A = INT +4, SAG +2, CHA +2</x:t>
  </x:si>
  <x:si>
    <x:t xml:space="preserve">INT +4, SAG +2, CHA +2</x:t>
  </x:si>
  <x:si>
    <x:t xml:space="preserve">INT / Spécialiste A — tactique, anticipation, commandement</x:t>
  </x:si>
  <x:si>
    <x:t xml:space="preserve">Stratège - Spécialiste B = INT +4, SAG +3, CHA +1</x:t>
  </x:si>
  <x:si>
    <x:t xml:space="preserve">INT +4, SAG +3, CHA +1</x:t>
  </x:si>
  <x:si>
    <x:t xml:space="preserve">INT / Spécialiste B — tactique, anticipation, commandement</x:t>
  </x:si>
  <x:si>
    <x:t xml:space="preserve">Arcaniste - Simple A = INT +3</x:t>
  </x:si>
  <x:si>
    <x:t xml:space="preserve">INT / Simple A — magie offensive, rituels, malédictions</x:t>
  </x:si>
  <x:si>
    <x:t xml:space="preserve">Arcaniste - Simple B = INT +2, CHA +1</x:t>
  </x:si>
  <x:si>
    <x:t xml:space="preserve">INT / Simple B — magie offensive, rituels, malédictions</x:t>
  </x:si>
  <x:si>
    <x:t xml:space="preserve">Arcaniste - Avancé A = INT +3, CHA +1</x:t>
  </x:si>
  <x:si>
    <x:t xml:space="preserve">INT +3, CHA +1</x:t>
  </x:si>
  <x:si>
    <x:t xml:space="preserve">INT / Avancé A — magie offensive, rituels, malédictions</x:t>
  </x:si>
  <x:si>
    <x:t xml:space="preserve">Arcaniste - Avancé B = INT +2, CHA +2</x:t>
  </x:si>
  <x:si>
    <x:t xml:space="preserve">INT +2, CHA +2</x:t>
  </x:si>
  <x:si>
    <x:t xml:space="preserve">INT / Avancé B — magie offensive, rituels, malédictions</x:t>
  </x:si>
  <x:si>
    <x:t xml:space="preserve">Arcaniste - Expert A = INT +3, CHA +2, SAG +1</x:t>
  </x:si>
  <x:si>
    <x:t xml:space="preserve">INT +3, CHA +2, SAG +1</x:t>
  </x:si>
  <x:si>
    <x:t xml:space="preserve">INT / Expert A — magie offensive, rituels, malédictions</x:t>
  </x:si>
  <x:si>
    <x:t xml:space="preserve">Arcaniste - Expert B = INT +4, CHA +2</x:t>
  </x:si>
  <x:si>
    <x:t xml:space="preserve">INT +4, CHA +2</x:t>
  </x:si>
  <x:si>
    <x:t xml:space="preserve">INT / Expert B — magie offensive, rituels, malédictions</x:t>
  </x:si>
  <x:si>
    <x:t xml:space="preserve">Arcaniste - Spécialiste A = INT +4, CHA +2, SAG +2</x:t>
  </x:si>
  <x:si>
    <x:t xml:space="preserve">INT +4, CHA +2, SAG +2</x:t>
  </x:si>
  <x:si>
    <x:t xml:space="preserve">INT / Spécialiste A — magie offensive, rituels, malédictions</x:t>
  </x:si>
  <x:si>
    <x:t xml:space="preserve">Arcaniste - Spécialiste B = INT +4, CHA +3, SAG +1</x:t>
  </x:si>
  <x:si>
    <x:t xml:space="preserve">INT +4, CHA +3, SAG +1</x:t>
  </x:si>
  <x:si>
    <x:t xml:space="preserve">INT / Spécialiste B — magie offensive, rituels, malédictions</x:t>
  </x:si>
  <x:si>
    <x:t xml:space="preserve">Ingénieux - Simple A = INT +3</x:t>
  </x:si>
  <x:si>
    <x:t xml:space="preserve">INT / Simple A — pièges, gadgets, alchimie, technique</x:t>
  </x:si>
  <x:si>
    <x:t xml:space="preserve">Ingénieux - Simple B = INT +2, DEX +1</x:t>
  </x:si>
  <x:si>
    <x:t xml:space="preserve">INT / Simple B — pièges, gadgets, alchimie, technique</x:t>
  </x:si>
  <x:si>
    <x:t xml:space="preserve">Ingénieux - Avancé A = INT +3, DEX +1</x:t>
  </x:si>
  <x:si>
    <x:t xml:space="preserve">INT +3, DEX +1</x:t>
  </x:si>
  <x:si>
    <x:t xml:space="preserve">INT / Avancé A — pièges, gadgets, alchimie, technique</x:t>
  </x:si>
  <x:si>
    <x:t xml:space="preserve">Ingénieux - Avancé B = INT +2, DEX +2</x:t>
  </x:si>
  <x:si>
    <x:t xml:space="preserve">INT +2, DEX +2</x:t>
  </x:si>
  <x:si>
    <x:t xml:space="preserve">INT / Avancé B — pièges, gadgets, alchimie, technique</x:t>
  </x:si>
  <x:si>
    <x:t xml:space="preserve">Ingénieux - Expert A = INT +3, DEX +2, SAG +1</x:t>
  </x:si>
  <x:si>
    <x:t xml:space="preserve">INT +3, DEX +2, SAG +1</x:t>
  </x:si>
  <x:si>
    <x:t xml:space="preserve">INT / Expert A — pièges, gadgets, alchimie, technique</x:t>
  </x:si>
  <x:si>
    <x:t xml:space="preserve">Ingénieux - Expert B = INT +4, DEX +2</x:t>
  </x:si>
  <x:si>
    <x:t xml:space="preserve">INT +4, DEX +2</x:t>
  </x:si>
  <x:si>
    <x:t xml:space="preserve">INT / Expert B — pièges, gadgets, alchimie, technique</x:t>
  </x:si>
  <x:si>
    <x:t xml:space="preserve">Ingénieux - Spécialiste A = INT +4, DEX +2, SAG +2</x:t>
  </x:si>
  <x:si>
    <x:t xml:space="preserve">INT +4, DEX +2, SAG +2</x:t>
  </x:si>
  <x:si>
    <x:t xml:space="preserve">INT / Spécialiste A — pièges, gadgets, alchimie, technique</x:t>
  </x:si>
  <x:si>
    <x:t xml:space="preserve">Ingénieux - Spécialiste B = INT +4, DEX +3, SAG +1</x:t>
  </x:si>
  <x:si>
    <x:t xml:space="preserve">INT +4, DEX +3, SAG +1</x:t>
  </x:si>
  <x:si>
    <x:t xml:space="preserve">INT / Spécialiste B — pièges, gadgets, alchimie, technique</x:t>
  </x:si>
  <x:si>
    <x:t xml:space="preserve">Instinctif - Simple A = SAG +3</x:t>
  </x:si>
  <x:si>
    <x:t xml:space="preserve">SAG +3</x:t>
  </x:si>
  <x:si>
    <x:t xml:space="preserve">SAG / Simple A — prédateur, perception, réaction</x:t>
  </x:si>
  <x:si>
    <x:t xml:space="preserve">Instinctif - Simple B = SAG +2, DEX +1</x:t>
  </x:si>
  <x:si>
    <x:t xml:space="preserve">SAG / Simple B — prédateur, perception, réaction</x:t>
  </x:si>
  <x:si>
    <x:t xml:space="preserve">Instinctif - Avancé A = SAG +3, DEX +1</x:t>
  </x:si>
  <x:si>
    <x:t xml:space="preserve">SAG +3, DEX +1</x:t>
  </x:si>
  <x:si>
    <x:t xml:space="preserve">SAG / Avancé A — prédateur, perception, réaction</x:t>
  </x:si>
  <x:si>
    <x:t xml:space="preserve">Instinctif - Avancé B = SAG +2, DEX +2</x:t>
  </x:si>
  <x:si>
    <x:t xml:space="preserve">SAG +2, DEX +2</x:t>
  </x:si>
  <x:si>
    <x:t xml:space="preserve">SAG / Avancé B — prédateur, perception, réaction</x:t>
  </x:si>
  <x:si>
    <x:t xml:space="preserve">Instinctif - Expert A = SAG +3, DEX +2, CON +1</x:t>
  </x:si>
  <x:si>
    <x:t xml:space="preserve">SAG +3, DEX +2, CON +1</x:t>
  </x:si>
  <x:si>
    <x:t xml:space="preserve">SAG / Expert A — prédateur, perception, réaction</x:t>
  </x:si>
  <x:si>
    <x:t xml:space="preserve">Instinctif - Expert B = SAG +4, DEX +2</x:t>
  </x:si>
  <x:si>
    <x:t xml:space="preserve">SAG +4, DEX +2</x:t>
  </x:si>
  <x:si>
    <x:t xml:space="preserve">SAG / Expert B — prédateur, perception, réaction</x:t>
  </x:si>
  <x:si>
    <x:t xml:space="preserve">Instinctif - Spécialiste A = SAG +4, DEX +2, CON +2</x:t>
  </x:si>
  <x:si>
    <x:t xml:space="preserve">SAG +4, DEX +2, CON +2</x:t>
  </x:si>
  <x:si>
    <x:t xml:space="preserve">SAG / Spécialiste A — prédateur, perception, réaction</x:t>
  </x:si>
  <x:si>
    <x:t xml:space="preserve">Instinctif - Spécialiste B = SAG +4, DEX +3, CON +1</x:t>
  </x:si>
  <x:si>
    <x:t xml:space="preserve">SAG +4, DEX +3, CON +1</x:t>
  </x:si>
  <x:si>
    <x:t xml:space="preserve">SAG / Spécialiste B — prédateur, perception, réaction</x:t>
  </x:si>
  <x:si>
    <x:t xml:space="preserve">Mystique - Simple A = SAG +3</x:t>
  </x:si>
  <x:si>
    <x:t xml:space="preserve">SAG / Simple A — spirituel, sacré, surnaturel</x:t>
  </x:si>
  <x:si>
    <x:t xml:space="preserve">Mystique - Simple B = SAG +2, CHA +1</x:t>
  </x:si>
  <x:si>
    <x:t xml:space="preserve">SAG +2, CHA +1</x:t>
  </x:si>
  <x:si>
    <x:t xml:space="preserve">SAG / Simple B — spirituel, sacré, surnaturel</x:t>
  </x:si>
  <x:si>
    <x:t xml:space="preserve">Mystique - Avancé A = SAG +3, CHA +1</x:t>
  </x:si>
  <x:si>
    <x:t xml:space="preserve">SAG +3, CHA +1</x:t>
  </x:si>
  <x:si>
    <x:t xml:space="preserve">SAG / Avancé A — spirituel, sacré, surnaturel</x:t>
  </x:si>
  <x:si>
    <x:t xml:space="preserve">Mystique - Avancé B = SAG +2, CHA +2</x:t>
  </x:si>
  <x:si>
    <x:t xml:space="preserve">SAG +2, CHA +2</x:t>
  </x:si>
  <x:si>
    <x:t xml:space="preserve">SAG / Avancé B — spirituel, sacré, surnaturel</x:t>
  </x:si>
  <x:si>
    <x:t xml:space="preserve">Mystique - Expert A = SAG +3, CHA +2, INT +1</x:t>
  </x:si>
  <x:si>
    <x:t xml:space="preserve">SAG +3, CHA +2, INT +1</x:t>
  </x:si>
  <x:si>
    <x:t xml:space="preserve">SAG / Expert A — spirituel, sacré, surnaturel</x:t>
  </x:si>
  <x:si>
    <x:t xml:space="preserve">Mystique - Expert B = SAG +4, CHA +2</x:t>
  </x:si>
  <x:si>
    <x:t xml:space="preserve">SAG +4, CHA +2</x:t>
  </x:si>
  <x:si>
    <x:t xml:space="preserve">SAG / Expert B — spirituel, sacré, surnaturel</x:t>
  </x:si>
  <x:si>
    <x:t xml:space="preserve">Mystique - Spécialiste A = SAG +4, CHA +2, INT +2</x:t>
  </x:si>
  <x:si>
    <x:t xml:space="preserve">SAG +4, CHA +2, INT +2</x:t>
  </x:si>
  <x:si>
    <x:t xml:space="preserve">SAG / Spécialiste A — spirituel, sacré, surnaturel</x:t>
  </x:si>
  <x:si>
    <x:t xml:space="preserve">Mystique - Spécialiste B = SAG +4, CHA +3, INT +1</x:t>
  </x:si>
  <x:si>
    <x:t xml:space="preserve">SAG +4, CHA +3, INT +1</x:t>
  </x:si>
  <x:si>
    <x:t xml:space="preserve">SAG / Spécialiste B — spirituel, sacré, surnaturel</x:t>
  </x:si>
  <x:si>
    <x:t xml:space="preserve">Vigilant - Simple A = SAG +3</x:t>
  </x:si>
  <x:si>
    <x:t xml:space="preserve">SAG / Simple A — sentinelle, détection, protection</x:t>
  </x:si>
  <x:si>
    <x:t xml:space="preserve">SAG / Simple B — sentinelle, détection, protection</x:t>
  </x:si>
  <x:si>
    <x:t xml:space="preserve">Vigilant - Avancé A = SAG +3, CON +1</x:t>
  </x:si>
  <x:si>
    <x:t xml:space="preserve">SAG +3, CON +1</x:t>
  </x:si>
  <x:si>
    <x:t xml:space="preserve">SAG / Avancé A — sentinelle, détection, protection</x:t>
  </x:si>
  <x:si>
    <x:t xml:space="preserve">Vigilant - Avancé B = SAG +2, CON +2</x:t>
  </x:si>
  <x:si>
    <x:t xml:space="preserve">SAG +2, CON +2</x:t>
  </x:si>
  <x:si>
    <x:t xml:space="preserve">SAG / Avancé B — sentinelle, détection, protection</x:t>
  </x:si>
  <x:si>
    <x:t xml:space="preserve">Vigilant - Expert A = SAG +3, CON +2, DEX +1</x:t>
  </x:si>
  <x:si>
    <x:t xml:space="preserve">SAG +3, CON +2, DEX +1</x:t>
  </x:si>
  <x:si>
    <x:t xml:space="preserve">SAG / Expert A — sentinelle, détection, protection</x:t>
  </x:si>
  <x:si>
    <x:t xml:space="preserve">Vigilant - Expert B = SAG +4, CON +2</x:t>
  </x:si>
  <x:si>
    <x:t xml:space="preserve">SAG +4, CON +2</x:t>
  </x:si>
  <x:si>
    <x:t xml:space="preserve">SAG / Expert B — sentinelle, détection, protection</x:t>
  </x:si>
  <x:si>
    <x:t xml:space="preserve">Vigilant - Spécialiste A = SAG +4, CON +2, DEX +2</x:t>
  </x:si>
  <x:si>
    <x:t xml:space="preserve">SAG +4, CON +2, DEX +2</x:t>
  </x:si>
  <x:si>
    <x:t xml:space="preserve">SAG / Spécialiste A — sentinelle, détection, protection</x:t>
  </x:si>
  <x:si>
    <x:t xml:space="preserve">Vigilant - Spécialiste B = SAG +4, CON +3, DEX +1</x:t>
  </x:si>
  <x:si>
    <x:t xml:space="preserve">SAG +4, CON +3, DEX +1</x:t>
  </x:si>
  <x:si>
    <x:t xml:space="preserve">SAG / Spécialiste B — sentinelle, détection, protection</x:t>
  </x:si>
  <x:si>
    <x:t xml:space="preserve">Meneur - Simple A = CHA +3</x:t>
  </x:si>
  <x:si>
    <x:t xml:space="preserve">CHA +3</x:t>
  </x:si>
  <x:si>
    <x:t xml:space="preserve">CHA / Simple A — chef, coordination, moral des alliés</x:t>
  </x:si>
  <x:si>
    <x:t xml:space="preserve">Meneur - Simple B = CHA +2, SAG +1</x:t>
  </x:si>
  <x:si>
    <x:t xml:space="preserve">CHA +2, SAG +1</x:t>
  </x:si>
  <x:si>
    <x:t xml:space="preserve">CHA / Simple B — chef, coordination, moral des alliés</x:t>
  </x:si>
  <x:si>
    <x:t xml:space="preserve">Meneur - Avancé A = CHA +3, SAG +1</x:t>
  </x:si>
  <x:si>
    <x:t xml:space="preserve">CHA +3, SAG +1</x:t>
  </x:si>
  <x:si>
    <x:t xml:space="preserve">CHA / Avancé A — chef, coordination, moral des alliés</x:t>
  </x:si>
  <x:si>
    <x:t xml:space="preserve">Meneur - Avancé B = CHA +2, SAG +2</x:t>
  </x:si>
  <x:si>
    <x:t xml:space="preserve">CHA +2, SAG +2</x:t>
  </x:si>
  <x:si>
    <x:t xml:space="preserve">CHA / Avancé B — chef, coordination, moral des alliés</x:t>
  </x:si>
  <x:si>
    <x:t xml:space="preserve">Meneur - Expert A = CHA +3, SAG +2, INT +1</x:t>
  </x:si>
  <x:si>
    <x:t xml:space="preserve">CHA +3, SAG +2, INT +1</x:t>
  </x:si>
  <x:si>
    <x:t xml:space="preserve">CHA / Expert A — chef, coordination, moral des alliés</x:t>
  </x:si>
  <x:si>
    <x:t xml:space="preserve">Meneur - Expert B = CHA +4, SAG +2</x:t>
  </x:si>
  <x:si>
    <x:t xml:space="preserve">CHA +4, SAG +2</x:t>
  </x:si>
  <x:si>
    <x:t xml:space="preserve">CHA / Expert B — chef, coordination, moral des alliés</x:t>
  </x:si>
  <x:si>
    <x:t xml:space="preserve">Meneur - Spécialiste A = CHA +4, SAG +2, INT +2</x:t>
  </x:si>
  <x:si>
    <x:t xml:space="preserve">CHA +4, SAG +2, INT +2</x:t>
  </x:si>
  <x:si>
    <x:t xml:space="preserve">CHA / Spécialiste A — chef, coordination, moral des alliés</x:t>
  </x:si>
  <x:si>
    <x:t xml:space="preserve">Meneur - Spécialiste B = CHA +4, SAG +3, INT +1</x:t>
  </x:si>
  <x:si>
    <x:t xml:space="preserve">CHA +4, SAG +3, INT +1</x:t>
  </x:si>
  <x:si>
    <x:t xml:space="preserve">CHA / Spécialiste B — chef, coordination, moral des alliés</x:t>
  </x:si>
  <x:si>
    <x:t xml:space="preserve">Manipulateur - Simple A = CHA +3</x:t>
  </x:si>
  <x:si>
    <x:t xml:space="preserve">CHA / Simple A — mensonge, charme, contrôle social</x:t>
  </x:si>
  <x:si>
    <x:t xml:space="preserve">Manipulateur - Simple B = CHA +2, INT +1</x:t>
  </x:si>
  <x:si>
    <x:t xml:space="preserve">CHA +2, INT +1</x:t>
  </x:si>
  <x:si>
    <x:t xml:space="preserve">CHA / Simple B — mensonge, charme, contrôle social</x:t>
  </x:si>
  <x:si>
    <x:t xml:space="preserve">Manipulateur - Avancé A = CHA +3, INT +1</x:t>
  </x:si>
  <x:si>
    <x:t xml:space="preserve">CHA +3, INT +1</x:t>
  </x:si>
  <x:si>
    <x:t xml:space="preserve">CHA / Avancé A — mensonge, charme, contrôle social</x:t>
  </x:si>
  <x:si>
    <x:t xml:space="preserve">Manipulateur - Avancé B = CHA +2, INT +2</x:t>
  </x:si>
  <x:si>
    <x:t xml:space="preserve">CHA +2, INT +2</x:t>
  </x:si>
  <x:si>
    <x:t xml:space="preserve">CHA / Avancé B — mensonge, charme, contrôle social</x:t>
  </x:si>
  <x:si>
    <x:t xml:space="preserve">Manipulateur - Expert A = CHA +3, INT +2, SAG +1</x:t>
  </x:si>
  <x:si>
    <x:t xml:space="preserve">CHA +3, INT +2, SAG +1</x:t>
  </x:si>
  <x:si>
    <x:t xml:space="preserve">CHA / Expert A — mensonge, charme, contrôle social</x:t>
  </x:si>
  <x:si>
    <x:t xml:space="preserve">Manipulateur - Expert B = CHA +4, INT +2</x:t>
  </x:si>
  <x:si>
    <x:t xml:space="preserve">CHA +4, INT +2</x:t>
  </x:si>
  <x:si>
    <x:t xml:space="preserve">CHA / Expert B — mensonge, charme, contrôle social</x:t>
  </x:si>
  <x:si>
    <x:t xml:space="preserve">Manipulateur - Spécialiste A = CHA +4, INT +2, SAG +2</x:t>
  </x:si>
  <x:si>
    <x:t xml:space="preserve">CHA +4, INT +2, SAG +2</x:t>
  </x:si>
  <x:si>
    <x:t xml:space="preserve">CHA / Spécialiste A — mensonge, charme, contrôle social</x:t>
  </x:si>
  <x:si>
    <x:t xml:space="preserve">Manipulateur - Spécialiste B = CHA +4, INT +3, SAG +1</x:t>
  </x:si>
  <x:si>
    <x:t xml:space="preserve">CHA +4, INT +3, SAG +1</x:t>
  </x:si>
  <x:si>
    <x:t xml:space="preserve">CHA / Spécialiste B — mensonge, charme, contrôle social</x:t>
  </x:si>
  <x:si>
    <x:t xml:space="preserve">Terrifiant - Simple A = CHA +3</x:t>
  </x:si>
  <x:si>
    <x:t xml:space="preserve">CHA / Simple A — aura de peur, domination, pression morale</x:t>
  </x:si>
  <x:si>
    <x:t xml:space="preserve">Terrifiant - Simple B = CHA +2, FOR +1</x:t>
  </x:si>
  <x:si>
    <x:t xml:space="preserve">CHA / Simple B — aura de peur, domination, pression morale</x:t>
  </x:si>
  <x:si>
    <x:t xml:space="preserve">Terrifiant - Avancé A = CHA +3, FOR +1</x:t>
  </x:si>
  <x:si>
    <x:t xml:space="preserve">CHA +3, FOR +1</x:t>
  </x:si>
  <x:si>
    <x:t xml:space="preserve">CHA / Avancé A — aura de peur, domination, pression morale</x:t>
  </x:si>
  <x:si>
    <x:t xml:space="preserve">Terrifiant - Avancé B = CHA +2, FOR +2</x:t>
  </x:si>
  <x:si>
    <x:t xml:space="preserve">CHA +2, FOR +2</x:t>
  </x:si>
  <x:si>
    <x:t xml:space="preserve">CHA / Avancé B — aura de peur, domination, pression morale</x:t>
  </x:si>
  <x:si>
    <x:t xml:space="preserve">Terrifiant - Expert A = CHA +3, FOR +2, CON +1</x:t>
  </x:si>
  <x:si>
    <x:t xml:space="preserve">CHA +3, FOR +2, CON +1</x:t>
  </x:si>
  <x:si>
    <x:t xml:space="preserve">CHA / Expert A — aura de peur, domination, pression morale</x:t>
  </x:si>
  <x:si>
    <x:t xml:space="preserve">Terrifiant - Expert B = CHA +4, FOR +2</x:t>
  </x:si>
  <x:si>
    <x:t xml:space="preserve">CHA +4, FOR +2</x:t>
  </x:si>
  <x:si>
    <x:t xml:space="preserve">CHA / Expert B — aura de peur, domination, pression morale</x:t>
  </x:si>
  <x:si>
    <x:t xml:space="preserve">Terrifiant - Spécialiste A = CHA +4, FOR +2, CON +2</x:t>
  </x:si>
  <x:si>
    <x:t xml:space="preserve">CHA +4, FOR +2, CON +2</x:t>
  </x:si>
  <x:si>
    <x:t xml:space="preserve">CHA / Spécialiste A — aura de peur, domination, pression morale</x:t>
  </x:si>
  <x:si>
    <x:t xml:space="preserve">Terrifiant - Spécialiste B = CHA +4, FOR +3, CON +1</x:t>
  </x:si>
  <x:si>
    <x:t xml:space="preserve">CHA +4, FOR +3, CON +1</x:t>
  </x:si>
  <x:si>
    <x:t xml:space="preserve">CHA / Spécialiste B — aura de peur, domination, pression morale</x:t>
  </x:si>
  <x:si>
    <x:t xml:space="preserve">Familles principales</x:t>
  </x:si>
  <x:si>
    <x:t xml:space="preserve">Gobelinoïde</x:t>
  </x:si>
  <x:si>
    <x:t xml:space="preserve">Squelette</x:t>
  </x:si>
  <x:si>
    <x:t xml:space="preserve">Prédateur</x:t>
  </x:si>
  <x:si>
    <x:t xml:space="preserve">Insectoïde</x:t>
  </x:si>
  <x:si>
    <x:t xml:space="preserve">Prédateur marin</x:t>
  </x:si>
  <x:si>
    <x:t xml:space="preserve">Mutante</x:t>
  </x:si>
  <x:si>
    <x:t xml:space="preserve">Végétal animé</x:t>
  </x:si>
  <x:si>
    <x:t xml:space="preserve">Sylvestre</x:t>
  </x:si>
  <x:si>
    <x:t xml:space="preserve">Prédateur monstrueux</x:t>
  </x:si>
  <x:si>
    <x:t xml:space="preserve">Démon mineur</x:t>
  </x:si>
  <x:si>
    <x:t xml:space="preserve">Ogre</x:t>
  </x:si>
  <x:si>
    <x:t xml:space="preserve">Air</x:t>
  </x:si>
  <x:si>
    <x:t xml:space="preserve">Messager divin</x:t>
  </x:si>
  <x:si>
    <x:t xml:space="preserve">Objet animé</x:t>
  </x:si>
  <x:si>
    <x:t xml:space="preserve">Esprit lié</x:t>
  </x:si>
  <x:si>
    <x:t xml:space="preserve">Dragon mineur</x:t>
  </x:si>
  <x:si>
    <x:t xml:space="preserve">Saurien</x:t>
  </x:si>
  <x:si>
    <x:t xml:space="preserve">Charogne</x:t>
  </x:si>
  <x:si>
    <x:t xml:space="preserve">Volante</x:t>
  </x:si>
  <x:si>
    <x:t xml:space="preserve">Arachnide</x:t>
  </x:si>
  <x:si>
    <x:t xml:space="preserve">Amphibien intelligent</x:t>
  </x:si>
  <x:si>
    <x:t xml:space="preserve">Tentaculaire</x:t>
  </x:si>
  <x:si>
    <x:t xml:space="preserve">Fongique</x:t>
  </x:si>
  <x:si>
    <x:t xml:space="preserve">Sombre</x:t>
  </x:si>
  <x:si>
    <x:t xml:space="preserve">Hybride</x:t>
  </x:si>
  <x:si>
    <x:t xml:space="preserve">Brute infernale</x:t>
  </x:si>
  <x:si>
    <x:t xml:space="preserve">Géant véritable</x:t>
  </x:si>
  <x:si>
    <x:t xml:space="preserve">Eau</x:t>
  </x:si>
  <x:si>
    <x:t xml:space="preserve">Gardien sacré</x:t>
  </x:si>
  <x:si>
    <x:t xml:space="preserve">Automate</x:t>
  </x:si>
  <x:si>
    <x:t xml:space="preserve">Spectre</x:t>
  </x:si>
  <x:si>
    <x:t xml:space="preserve">Dragon élémentaire</x:t>
  </x:si>
  <x:si>
    <x:t xml:space="preserve">Orcoïde</x:t>
  </x:si>
  <x:si>
    <x:t xml:space="preserve">Noble mort-vivant</x:t>
  </x:si>
  <x:si>
    <x:t xml:space="preserve">Massive</x:t>
  </x:si>
  <x:si>
    <x:t xml:space="preserve">Nuée</x:t>
  </x:si>
  <x:si>
    <x:t xml:space="preserve">Abyssal</x:t>
  </x:si>
  <x:si>
    <x:t xml:space="preserve">Mentaliste</x:t>
  </x:si>
  <x:si>
    <x:t xml:space="preserve">Carnivore</x:t>
  </x:si>
  <x:si>
    <x:t xml:space="preserve">Noble féerique</x:t>
  </x:si>
  <x:si>
    <x:t xml:space="preserve">Régénérant</x:t>
  </x:si>
  <x:si>
    <x:t xml:space="preserve">Corrupteur</x:t>
  </x:si>
  <x:si>
    <x:t xml:space="preserve">Titanide</x:t>
  </x:si>
  <x:si>
    <x:t xml:space="preserve">Froid / Glace</x:t>
  </x:si>
  <x:si>
    <x:t xml:space="preserve">Avatar</x:t>
  </x:si>
  <x:si>
    <x:t xml:space="preserve">Golem</x:t>
  </x:si>
  <x:si>
    <x:t xml:space="preserve">Poltergeist</x:t>
  </x:si>
  <x:si>
    <x:t xml:space="preserve">Dragon de métal</x:t>
  </x:si>
  <x:si>
    <x:t xml:space="preserve">Dragon de gemme</x:t>
  </x:si>
  <x:si>
    <x:t xml:space="preserve">Foudre</x:t>
  </x:si>
  <x:si>
    <x:t xml:space="preserve">Dragon nécrotique</x:t>
  </x:si>
  <x:si>
    <x:t xml:space="preserve">Dragon primordial</x:t>
  </x:si>
  <x:si>
    <x:t xml:space="preserve">Terre</x:t>
  </x:si>
  <x:si>
    <x:t xml:space="preserve">Créature</x:t>
  </x:si>
  <x:si>
    <x:t xml:space="preserve">Parent</x:t>
  </x:si>
  <x:si>
    <x:t xml:space="preserve">Niveau</x:t>
  </x:si>
  <x:si>
    <x:t xml:space="preserve">Résistances élémentaires</x:t>
  </x:si>
  <x:si>
    <x:t xml:space="preserve">Vulnérabilités élémentaires</x:t>
  </x:si>
  <x:si>
    <x:t xml:space="preserve">Résistances physiques</x:t>
  </x:si>
  <x:si>
    <x:t xml:space="preserve">Explication RP</x:t>
  </x:si>
  <x:si>
    <x:t xml:space="preserve">Prédicats générés</x:t>
  </x:si>
</x:sst>
</file>

<file path=xl/styles.xml><?xml version="1.0" encoding="utf-8"?>
<x:styleSheet xmlns:x="http://schemas.openxmlformats.org/spreadsheetml/2006/main">
  <x:fonts count="12">
    <x:font>
      <x:sz val="11"/>
      <x:color rgb="FF000000"/>
      <x:name val="Carlito"/>
    </x:font>
    <x:font>
      <x:b/>
      <x:sz val="11"/>
      <x:color rgb="FFFFFFFF"/>
      <x:name val="Carlito"/>
    </x:font>
    <x:font>
      <x:b/>
      <x:sz val="14"/>
      <x:color rgb="FFFFFFFF"/>
      <x:name val="Carlito"/>
    </x:font>
    <x:font>
      <x:sz val="11"/>
      <x:color theme="1"/>
      <x:name val="Carlito"/>
    </x:font>
    <x:font>
      <x:b/>
      <x:sz val="11"/>
      <x:color theme="1"/>
      <x:name val="Carlito"/>
    </x:font>
    <x:font>
      <x:sz val="11"/>
      <x:color rgb="FF000000"/>
      <x:name val="Carlito"/>
    </x:font>
    <x:font>
      <x:b/>
      <x:sz val="11"/>
      <x:color rgb="FF000000"/>
      <x:name val="Carlito"/>
    </x:font>
    <x:font/>
    <x:font>
      <x:color theme="1"/>
      <x:name val="Carlito"/>
    </x:font>
    <x:font>
      <x:color theme="1"/>
      <x:name val="Carlito"/>
    </x:font>
    <x:font>
      <x:b/>
      <x:sz val="16"/>
      <x:color rgb="FFFFFFFF"/>
      <x:name val="Carlito"/>
    </x:font>
    <x:font>
      <x:i/>
      <x:sz val="11"/>
      <x:color rgb="FF1F1F1F"/>
      <x:name val="Carlito"/>
    </x:font>
  </x:fonts>
  <x:fills count="36">
    <x:fill>
      <x:patternFill patternType="none"/>
    </x:fill>
    <x:fill>
      <x:patternFill patternType="lightGray"/>
    </x:fill>
    <x:fill>
      <x:patternFill patternType="solid">
        <x:fgColor rgb="FF1F4E78"/>
      </x:patternFill>
    </x:fill>
    <x:fill>
      <x:patternFill patternType="solid">
        <x:fgColor rgb="FF1F4E79"/>
      </x:patternFill>
    </x:fill>
    <x:fill>
      <x:patternFill patternType="solid">
        <x:fgColor rgb="FF111827"/>
      </x:patternFill>
    </x:fill>
    <x:fill>
      <x:patternFill patternType="solid">
        <x:fgColor rgb="FF1F2937"/>
      </x:patternFill>
    </x:fill>
    <x:fill>
      <x:patternFill patternType="solid">
        <x:fgColor rgb="FF7C2D12"/>
      </x:patternFill>
    </x:fill>
    <x:fill>
      <x:patternFill patternType="solid">
        <x:fgColor rgb="FFE5E7EB"/>
      </x:patternFill>
    </x:fill>
    <x:fill>
      <x:patternFill patternType="solid">
        <x:fgColor rgb="FF065F46"/>
      </x:patternFill>
    </x:fill>
    <x:fill>
      <x:patternFill patternType="solid">
        <x:fgColor rgb="FF581C87"/>
      </x:patternFill>
    </x:fill>
    <x:fill>
      <x:patternFill patternType="solid">
        <x:fgColor rgb="FFD1FAE5"/>
      </x:patternFill>
    </x:fill>
    <x:fill>
      <x:patternFill patternType="solid">
        <x:fgColor rgb="FF334155"/>
      </x:patternFill>
    </x:fill>
    <x:fill>
      <x:patternFill patternType="solid">
        <x:fgColor rgb="FFFEF3C7"/>
      </x:patternFill>
    </x:fill>
    <x:fill>
      <x:patternFill patternType="solid">
        <x:fgColor rgb="FFFFEDD5"/>
      </x:patternFill>
    </x:fill>
    <x:fill>
      <x:patternFill patternType="solid">
        <x:fgColor rgb="FFFFF7ED"/>
      </x:patternFill>
    </x:fill>
    <x:fill>
      <x:patternFill patternType="solid">
        <x:fgColor rgb="FFF3E8FF"/>
      </x:patternFill>
    </x:fill>
    <x:fill>
      <x:patternFill patternType="solid">
        <x:fgColor rgb="FFFAF5FF"/>
      </x:patternFill>
    </x:fill>
    <x:fill>
      <x:patternFill patternType="solid">
        <x:fgColor rgb="FFFFF2CC"/>
      </x:patternFill>
    </x:fill>
    <x:fill>
      <x:patternFill patternType="solid">
        <x:fgColor rgb="FFD9EAF7"/>
      </x:patternFill>
    </x:fill>
    <x:fill>
      <x:patternFill patternType="solid">
        <x:fgColor rgb="FF1E3A8A"/>
      </x:patternFill>
    </x:fill>
    <x:fill>
      <x:patternFill patternType="solid">
        <x:fgColor rgb="FF0F172A"/>
      </x:patternFill>
    </x:fill>
    <x:fill>
      <x:patternFill patternType="solid">
        <x:fgColor rgb="FF374151"/>
      </x:patternFill>
    </x:fill>
    <x:fill>
      <x:patternFill patternType="solid">
        <x:fgColor rgb="FFEFF6FF"/>
      </x:patternFill>
    </x:fill>
    <x:fill>
      <x:patternFill patternType="solid">
        <x:fgColor rgb="FF991B1B"/>
      </x:patternFill>
    </x:fill>
    <x:fill>
      <x:patternFill patternType="solid">
        <x:fgColor rgb="FFFEF2F2"/>
      </x:patternFill>
    </x:fill>
    <x:fill>
      <x:patternFill patternType="solid">
        <x:fgColor rgb="FF1E40AF"/>
      </x:patternFill>
    </x:fill>
    <x:fill>
      <x:patternFill patternType="solid">
        <x:fgColor rgb="FF92400E"/>
      </x:patternFill>
    </x:fill>
    <x:fill>
      <x:patternFill patternType="solid">
        <x:fgColor rgb="FFFFFBEB"/>
      </x:patternFill>
    </x:fill>
    <x:fill>
      <x:patternFill patternType="solid">
        <x:fgColor rgb="FFE2F0D9"/>
      </x:patternFill>
    </x:fill>
    <x:fill>
      <x:patternFill patternType="solid">
        <x:fgColor rgb="FFE2E8F0"/>
      </x:patternFill>
    </x:fill>
    <x:fill>
      <x:patternFill patternType="solid">
        <x:fgColor rgb="FFECFDF5"/>
      </x:patternFill>
    </x:fill>
    <x:fill>
      <x:patternFill patternType="solid">
        <x:fgColor rgb="FF5B3A29"/>
      </x:patternFill>
    </x:fill>
    <x:fill>
      <x:patternFill patternType="solid">
        <x:fgColor rgb="FFEDE2D0"/>
      </x:patternFill>
    </x:fill>
    <x:fill>
      <x:patternFill patternType="solid">
        <x:fgColor rgb="FF4F6128"/>
      </x:patternFill>
    </x:fill>
    <x:fill>
      <x:patternFill patternType="solid">
        <x:fgColor rgb="FF17365D"/>
      </x:patternFill>
    </x:fill>
    <x:fill>
      <x:patternFill patternType="solid">
        <x:fgColor rgb="FF4C3422"/>
      </x:patternFill>
    </x:fill>
  </x:fills>
  <x:borders count="17">
    <x:border/>
    <x:border>
      <x:left style="thick">
        <x:color rgb="FF000000"/>
      </x:left>
      <x:top style="thick">
        <x:color rgb="FF000000"/>
      </x:top>
    </x:border>
    <x:border>
      <x:right style="thick">
        <x:color rgb="FF000000"/>
      </x:right>
      <x:top style="thick">
        <x:color rgb="FF000000"/>
      </x:top>
    </x:border>
    <x:border>
      <x:left style="thick">
        <x:color rgb="FF000000"/>
      </x:left>
    </x:border>
    <x:border>
      <x:right style="thick">
        <x:color rgb="FF000000"/>
      </x:right>
    </x:border>
    <x:border>
      <x:left style="thick">
        <x:color rgb="FF000000"/>
      </x:left>
      <x:bottom style="thick">
        <x:color rgb="FF000000"/>
      </x:bottom>
    </x:border>
    <x:border>
      <x:right style="thick">
        <x:color rgb="FF000000"/>
      </x:right>
      <x:bottom style="thick">
        <x:color rgb="FF000000"/>
      </x:bottom>
    </x:border>
    <x:border>
      <x:top style="thick">
        <x:color rgb="FF000000"/>
      </x:top>
    </x:border>
    <x:border>
      <x:bottom style="thick">
        <x:color rgb="FF000000"/>
      </x:bottom>
    </x:border>
    <x:border>
      <x:left style="medium">
        <x:color rgb="FF000000"/>
      </x:left>
      <x:top style="medium">
        <x:color rgb="FF000000"/>
      </x:top>
    </x:border>
    <x:border>
      <x:top style="medium">
        <x:color rgb="FF000000"/>
      </x:top>
    </x:border>
    <x:border>
      <x:right style="medium">
        <x:color rgb="FF000000"/>
      </x:right>
      <x:top style="medium">
        <x:color rgb="FF000000"/>
      </x:top>
    </x:border>
    <x:border>
      <x:left style="medium">
        <x:color rgb="FF000000"/>
      </x:left>
    </x:border>
    <x:border>
      <x:right style="medium">
        <x:color rgb="FF000000"/>
      </x:right>
    </x:border>
    <x:border>
      <x:left style="medium">
        <x:color rgb="FF000000"/>
      </x:left>
      <x:bottom style="medium">
        <x:color rgb="FF000000"/>
      </x:bottom>
    </x:border>
    <x:border>
      <x:bottom style="medium">
        <x:color rgb="FF000000"/>
      </x:bottom>
    </x:border>
    <x:border>
      <x:right style="medium">
        <x:color rgb="FF000000"/>
      </x:right>
      <x:bottom style="medium">
        <x:color rgb="FF000000"/>
      </x:bottom>
    </x:border>
  </x:borders>
  <x:cellStyleXfs count="1">
    <x:xf numFmtId="0" fontId="0" fillId="0" borderId="0" applyFont="1" applyAlignment="1"/>
  </x:cellStyleXfs>
  <x:cellXfs count="232">
    <x:xf numFmtId="0" fontId="0" fillId="0" borderId="0" xfId="0" applyFont="1" applyAlignment="1">
      <x:alignment vertical="bottom" wrapText="0"/>
    </x:xf>
    <x:xf numFmtId="0" fontId="1" fillId="2" borderId="0" xfId="0" applyFont="1" applyFill="1" applyAlignment="1">
      <x:alignment horizontal="center" vertical="center" wrapText="1"/>
    </x:xf>
    <x:xf numFmtId="0" fontId="2" fillId="3" borderId="0" xfId="0" applyFont="1" applyFill="1" applyAlignment="1">
      <x:alignment horizontal="center" vertical="center" wrapText="1"/>
    </x:xf>
    <x:xf numFmtId="0" fontId="1" fillId="4" borderId="0" xfId="0" applyFont="1" applyFill="1" applyAlignment="1">
      <x:alignment horizontal="center" vertical="center"/>
    </x:xf>
    <x:xf numFmtId="0" fontId="3" fillId="0" borderId="0" xfId="0" applyFont="1" applyAlignment="1">
      <x:alignment wrapText="1"/>
    </x:xf>
    <x:xf numFmtId="0" fontId="1" fillId="5" borderId="0" xfId="0" applyFont="1" applyFill="1" applyAlignment="1">
      <x:alignment horizontal="center" vertical="center"/>
    </x:xf>
    <x:xf numFmtId="0" fontId="1" fillId="6" borderId="0" xfId="0" applyFont="1" applyFill="1" applyAlignment="1">
      <x:alignment horizontal="center" vertical="center"/>
    </x:xf>
    <x:xf numFmtId="0" fontId="4" fillId="7" borderId="0" xfId="0" applyFont="1" applyFill="1"/>
    <x:xf numFmtId="0" fontId="1" fillId="8" borderId="1" xfId="0" applyFont="1" applyFill="1" applyBorder="1" applyAlignment="1">
      <x:alignment horizontal="center" vertical="center" wrapText="1"/>
    </x:xf>
    <x:xf numFmtId="0" fontId="1" fillId="8" borderId="2" xfId="0" applyFont="1" applyFill="1" applyBorder="1" applyAlignment="1">
      <x:alignment horizontal="center" vertical="center" wrapText="1"/>
    </x:xf>
    <x:xf numFmtId="0" fontId="3" fillId="0" borderId="0" xfId="0" applyFont="1" applyAlignment="1">
      <x:alignment vertical="center" wrapText="1"/>
    </x:xf>
    <x:xf numFmtId="0" fontId="1" fillId="6" borderId="1" xfId="0" applyFont="1" applyFill="1" applyBorder="1" applyAlignment="1">
      <x:alignment horizontal="center" vertical="center" wrapText="1"/>
    </x:xf>
    <x:xf numFmtId="0" fontId="1" fillId="6" borderId="2" xfId="0" applyFont="1" applyFill="1" applyBorder="1" applyAlignment="1">
      <x:alignment horizontal="center" vertical="center" wrapText="1"/>
    </x:xf>
    <x:xf numFmtId="0" fontId="3" fillId="0" borderId="0" xfId="0" applyFont="1" applyAlignment="1">
      <x:alignment horizontal="center" vertical="center" wrapText="1"/>
    </x:xf>
    <x:xf numFmtId="0" fontId="1" fillId="9" borderId="1" xfId="0" applyFont="1" applyFill="1" applyBorder="1" applyAlignment="1">
      <x:alignment horizontal="center" vertical="center" wrapText="1"/>
    </x:xf>
    <x:xf numFmtId="0" fontId="3" fillId="0" borderId="0" xfId="0" applyFont="1"/>
    <x:xf numFmtId="0" fontId="1" fillId="9" borderId="2" xfId="0" applyFont="1" applyFill="1" applyBorder="1" applyAlignment="1">
      <x:alignment horizontal="center" vertical="center" wrapText="1"/>
    </x:xf>
    <x:xf numFmtId="2" fontId="3" fillId="0" borderId="0" xfId="0" applyNumberFormat="1" applyFont="1" applyAlignment="1">
      <x:alignment horizontal="center" vertical="center" wrapText="1"/>
    </x:xf>
    <x:xf numFmtId="0" fontId="3" fillId="0" borderId="0" xfId="0" applyFont="1" applyAlignment="1">
      <x:alignment vertical="top" wrapText="1"/>
    </x:xf>
    <x:xf numFmtId="0" fontId="4" fillId="10" borderId="3" xfId="0" applyFont="1" applyFill="1" applyBorder="1" applyAlignment="1">
      <x:alignment wrapText="1"/>
    </x:xf>
    <x:xf numFmtId="0" fontId="1" fillId="11" borderId="0" xfId="0" applyFont="1" applyFill="1" applyAlignment="1">
      <x:alignment wrapText="1"/>
    </x:xf>
    <x:xf numFmtId="0" fontId="3" fillId="12" borderId="4" xfId="0" applyFont="1" applyFill="1" applyBorder="1" applyAlignment="1">
      <x:alignment wrapText="1"/>
    </x:xf>
    <x:xf numFmtId="0" fontId="4" fillId="13" borderId="3" xfId="0" applyFont="1" applyFill="1" applyBorder="1" applyAlignment="1">
      <x:alignment wrapText="1"/>
    </x:xf>
    <x:xf numFmtId="0" fontId="5" fillId="0" borderId="0" xfId="0" applyFont="1" applyAlignment="1">
      <x:alignment wrapText="1"/>
    </x:xf>
    <x:xf numFmtId="0" fontId="5" fillId="0" borderId="0" xfId="0" applyFont="1" applyAlignment="1">
      <x:alignment vertical="bottom" wrapText="1"/>
    </x:xf>
    <x:xf numFmtId="1" fontId="3" fillId="14" borderId="4" xfId="0" applyNumberFormat="1" applyFont="1" applyFill="1" applyBorder="1" applyAlignment="1">
      <x:alignment wrapText="1"/>
    </x:xf>
    <x:xf numFmtId="0" fontId="4" fillId="15" borderId="3" xfId="0" applyFont="1" applyFill="1" applyBorder="1" applyAlignment="1">
      <x:alignment wrapText="1"/>
    </x:xf>
    <x:xf numFmtId="1" fontId="3" fillId="16" borderId="4" xfId="0" applyNumberFormat="1" applyFont="1" applyFill="1" applyBorder="1" applyAlignment="1">
      <x:alignment wrapText="1"/>
    </x:xf>
    <x:xf numFmtId="1" fontId="4" fillId="17" borderId="4" xfId="0" applyNumberFormat="1" applyFont="1" applyFill="1" applyBorder="1" applyAlignment="1">
      <x:alignment horizontal="left" vertical="center" wrapText="1"/>
    </x:xf>
    <x:xf numFmtId="49" fontId="3" fillId="16" borderId="4" xfId="0" applyNumberFormat="1" applyFont="1" applyFill="1" applyBorder="1" applyAlignment="1">
      <x:alignment wrapText="1"/>
    </x:xf>
    <x:xf numFmtId="0" fontId="6" fillId="18" borderId="3" xfId="0" applyFont="1" applyFill="1" applyBorder="1" applyAlignment="1">
      <x:alignment horizontal="left" vertical="center" wrapText="1"/>
    </x:xf>
    <x:xf numFmtId="0" fontId="5" fillId="17" borderId="4" xfId="0" applyFont="1" applyFill="1" applyBorder="1" applyAlignment="1">
      <x:alignment horizontal="left" vertical="center" wrapText="1"/>
    </x:xf>
    <x:xf numFmtId="0" fontId="4" fillId="10" borderId="5" xfId="0" applyFont="1" applyFill="1" applyBorder="1" applyAlignment="1">
      <x:alignment wrapText="1"/>
    </x:xf>
    <x:xf numFmtId="0" fontId="1" fillId="19" borderId="0" xfId="0" applyFont="1" applyFill="1" applyAlignment="1">
      <x:alignment horizontal="center" vertical="center" wrapText="1"/>
    </x:xf>
    <x:xf numFmtId="0" fontId="3" fillId="12" borderId="6" xfId="0" applyFont="1" applyFill="1" applyBorder="1" applyAlignment="1">
      <x:alignment wrapText="1"/>
    </x:xf>
    <x:xf numFmtId="0" fontId="1" fillId="6" borderId="0" xfId="0" applyFont="1" applyFill="1" applyAlignment="1">
      <x:alignment horizontal="center"/>
    </x:xf>
    <x:xf numFmtId="2" fontId="3" fillId="0" borderId="0" xfId="0" applyNumberFormat="1" applyFont="1"/>
    <x:xf numFmtId="0" fontId="4" fillId="13" borderId="5" xfId="0" applyFont="1" applyFill="1" applyBorder="1" applyAlignment="1">
      <x:alignment wrapText="1"/>
    </x:xf>
    <x:xf numFmtId="1" fontId="3" fillId="14" borderId="6" xfId="0" applyNumberFormat="1" applyFont="1" applyFill="1" applyBorder="1" applyAlignment="1">
      <x:alignment wrapText="1"/>
    </x:xf>
    <x:xf numFmtId="0" fontId="4" fillId="0" borderId="0" xfId="0" applyFont="1" applyAlignment="1">
      <x:alignment wrapText="1"/>
    </x:xf>
    <x:xf numFmtId="1" fontId="3" fillId="0" borderId="0" xfId="0" applyNumberFormat="1" applyFont="1" applyAlignment="1">
      <x:alignment wrapText="1"/>
    </x:xf>
    <x:xf numFmtId="0" fontId="6" fillId="18" borderId="5" xfId="0" applyFont="1" applyFill="1" applyBorder="1" applyAlignment="1">
      <x:alignment horizontal="left" vertical="center" wrapText="1"/>
    </x:xf>
    <x:xf numFmtId="0" fontId="5" fillId="17" borderId="6" xfId="0" applyFont="1" applyFill="1" applyBorder="1" applyAlignment="1">
      <x:alignment horizontal="left" vertical="center" wrapText="1"/>
    </x:xf>
    <x:xf numFmtId="0" fontId="1" fillId="6" borderId="0" xfId="0" applyFont="1" applyFill="1" applyAlignment="1">
      <x:alignment horizontal="center" vertical="top" wrapText="1"/>
    </x:xf>
    <x:xf numFmtId="0" fontId="1" fillId="20" borderId="1" xfId="0" applyFont="1" applyFill="1" applyBorder="1" applyAlignment="1">
      <x:alignment horizontal="center" vertical="center" wrapText="1"/>
    </x:xf>
    <x:xf numFmtId="0" fontId="7" fillId="0" borderId="7" xfId="0" applyFont="1" applyBorder="1"/>
    <x:xf numFmtId="0" fontId="7" fillId="0" borderId="2" xfId="0" applyFont="1" applyBorder="1"/>
    <x:xf numFmtId="0" fontId="1" fillId="21" borderId="3" xfId="0" applyFont="1" applyFill="1" applyBorder="1" applyAlignment="1">
      <x:alignment horizontal="center" vertical="center" wrapText="1"/>
    </x:xf>
    <x:xf numFmtId="0" fontId="1" fillId="21" borderId="0" xfId="0" applyFont="1" applyFill="1" applyAlignment="1">
      <x:alignment horizontal="center" vertical="center" wrapText="1"/>
    </x:xf>
    <x:xf numFmtId="0" fontId="1" fillId="21" borderId="4" xfId="0" applyFont="1" applyFill="1" applyBorder="1" applyAlignment="1">
      <x:alignment horizontal="center" vertical="center" wrapText="1"/>
    </x:xf>
    <x:xf numFmtId="0" fontId="3" fillId="12" borderId="3" xfId="0" applyFont="1" applyFill="1" applyBorder="1" applyAlignment="1">
      <x:alignment wrapText="1"/>
    </x:xf>
    <x:xf numFmtId="0" fontId="3" fillId="12" borderId="0" xfId="0" applyFont="1" applyFill="1" applyAlignment="1">
      <x:alignment wrapText="1"/>
    </x:xf>
    <x:xf numFmtId="0" fontId="3" fillId="22" borderId="0" xfId="0" applyFont="1" applyFill="1" applyAlignment="1">
      <x:alignment wrapText="1"/>
    </x:xf>
    <x:xf numFmtId="0" fontId="3" fillId="22" borderId="4" xfId="0" applyFont="1" applyFill="1" applyBorder="1" applyAlignment="1">
      <x:alignment wrapText="1"/>
    </x:xf>
    <x:xf numFmtId="0" fontId="3" fillId="12" borderId="5" xfId="0" applyFont="1" applyFill="1" applyBorder="1" applyAlignment="1">
      <x:alignment wrapText="1"/>
    </x:xf>
    <x:xf numFmtId="0" fontId="3" fillId="12" borderId="8" xfId="0" applyFont="1" applyFill="1" applyBorder="1" applyAlignment="1">
      <x:alignment wrapText="1"/>
    </x:xf>
    <x:xf numFmtId="0" fontId="3" fillId="22" borderId="8" xfId="0" applyFont="1" applyFill="1" applyBorder="1" applyAlignment="1">
      <x:alignment wrapText="1"/>
    </x:xf>
    <x:xf numFmtId="0" fontId="3" fillId="22" borderId="6" xfId="0" applyFont="1" applyFill="1" applyBorder="1" applyAlignment="1">
      <x:alignment wrapText="1"/>
    </x:xf>
    <x:xf numFmtId="0" fontId="1" fillId="23" borderId="9" xfId="0" applyFont="1" applyFill="1" applyBorder="1" applyAlignment="1">
      <x:alignment horizontal="center" vertical="center" wrapText="1"/>
    </x:xf>
    <x:xf numFmtId="0" fontId="1" fillId="23" borderId="10" xfId="0" applyFont="1" applyFill="1" applyBorder="1" applyAlignment="1">
      <x:alignment horizontal="center" vertical="center" wrapText="1"/>
    </x:xf>
    <x:xf numFmtId="0" fontId="7" fillId="0" borderId="10" xfId="0" applyFont="1" applyBorder="1"/>
    <x:xf numFmtId="0" fontId="7" fillId="0" borderId="11" xfId="0" applyFont="1" applyBorder="1"/>
    <x:xf numFmtId="0" fontId="3" fillId="12" borderId="12" xfId="0" applyFont="1" applyFill="1" applyBorder="1" applyAlignment="1">
      <x:alignment wrapText="1"/>
    </x:xf>
    <x:xf numFmtId="0" fontId="3" fillId="24" borderId="0" xfId="0" applyFont="1" applyFill="1" applyAlignment="1">
      <x:alignment wrapText="1"/>
    </x:xf>
    <x:xf numFmtId="0" fontId="7" fillId="0" borderId="13" xfId="0" applyFont="1" applyBorder="1"/>
    <x:xf numFmtId="0" fontId="3" fillId="12" borderId="14" xfId="0" applyFont="1" applyFill="1" applyBorder="1" applyAlignment="1">
      <x:alignment wrapText="1"/>
    </x:xf>
    <x:xf numFmtId="0" fontId="5" fillId="0" borderId="0" xfId="0" applyFont="1" applyAlignment="1">
      <x:alignment horizontal="right" wrapText="1"/>
    </x:xf>
    <x:xf numFmtId="0" fontId="3" fillId="24" borderId="15" xfId="0" applyFont="1" applyFill="1" applyBorder="1" applyAlignment="1">
      <x:alignment wrapText="1"/>
    </x:xf>
    <x:xf numFmtId="2" fontId="5" fillId="0" borderId="0" xfId="0" applyNumberFormat="1" applyFont="1" applyAlignment="1">
      <x:alignment horizontal="right" wrapText="1"/>
    </x:xf>
    <x:xf numFmtId="0" fontId="5" fillId="0" borderId="0" xfId="0" applyFont="1" applyAlignment="1">
      <x:alignment horizontal="center" vertical="center" wrapText="1"/>
    </x:xf>
    <x:xf numFmtId="0" fontId="7" fillId="0" borderId="15" xfId="0" applyFont="1" applyBorder="1"/>
    <x:xf numFmtId="0" fontId="7" fillId="0" borderId="16" xfId="0" applyFont="1" applyBorder="1"/>
    <x:xf numFmtId="0" fontId="1" fillId="25" borderId="9" xfId="0" applyFont="1" applyFill="1" applyBorder="1" applyAlignment="1">
      <x:alignment horizontal="center" vertical="center" wrapText="1"/>
    </x:xf>
    <x:xf numFmtId="0" fontId="1" fillId="25" borderId="10" xfId="0" applyFont="1" applyFill="1" applyBorder="1" applyAlignment="1">
      <x:alignment horizontal="center" vertical="center" wrapText="1"/>
    </x:xf>
    <x:xf numFmtId="0" fontId="4" fillId="7" borderId="0" xfId="0" applyFont="1" applyFill="1" applyAlignment="1">
      <x:alignment wrapText="1"/>
    </x:xf>
    <x:xf numFmtId="0" fontId="5" fillId="0" borderId="0" xfId="0" applyFont="1" applyAlignment="1">
      <x:alignment horizontal="center"/>
    </x:xf>
    <x:xf numFmtId="0" fontId="4" fillId="12" borderId="0" xfId="0" applyFont="1" applyFill="1" applyAlignment="1">
      <x:alignment wrapText="1"/>
    </x:xf>
    <x:xf numFmtId="2" fontId="3" fillId="0" borderId="0" xfId="0" applyNumberFormat="1" applyFont="1" applyAlignment="1">
      <x:alignment wrapText="1"/>
    </x:xf>
    <x:xf numFmtId="0" fontId="3" fillId="12" borderId="14" xfId="0" applyFont="1" applyFill="1" applyBorder="1"/>
    <x:xf numFmtId="0" fontId="3" fillId="22" borderId="15" xfId="0" applyFont="1" applyFill="1" applyBorder="1" applyAlignment="1">
      <x:alignment wrapText="1"/>
    </x:xf>
    <x:xf numFmtId="0" fontId="1" fillId="26" borderId="9" xfId="0" applyFont="1" applyFill="1" applyBorder="1" applyAlignment="1">
      <x:alignment horizontal="center" vertical="center" wrapText="1"/>
    </x:xf>
    <x:xf numFmtId="0" fontId="1" fillId="26" borderId="10" xfId="0" applyFont="1" applyFill="1" applyBorder="1" applyAlignment="1">
      <x:alignment horizontal="center" vertical="center" wrapText="1"/>
    </x:xf>
    <x:xf numFmtId="0" fontId="3" fillId="27" borderId="0" xfId="0" applyFont="1" applyFill="1" applyAlignment="1">
      <x:alignment wrapText="1"/>
    </x:xf>
    <x:xf numFmtId="0" fontId="4" fillId="28" borderId="0" xfId="0" applyFont="1" applyFill="1" applyAlignment="1">
      <x:alignment wrapText="1"/>
    </x:xf>
    <x:xf numFmtId="0" fontId="3" fillId="27" borderId="15" xfId="0" applyFont="1" applyFill="1" applyBorder="1" applyAlignment="1">
      <x:alignment wrapText="1"/>
    </x:xf>
    <x:xf numFmtId="0" fontId="4" fillId="28" borderId="0" xfId="0" applyFont="1" applyFill="1"/>
    <x:xf numFmtId="0" fontId="1" fillId="11" borderId="1" xfId="0" applyFont="1" applyFill="1" applyBorder="1" applyAlignment="1">
      <x:alignment horizontal="center" vertical="center" wrapText="1"/>
    </x:xf>
    <x:xf numFmtId="0" fontId="1" fillId="11" borderId="7" xfId="0" applyFont="1" applyFill="1" applyBorder="1" applyAlignment="1">
      <x:alignment horizontal="center" vertical="center" wrapText="1"/>
    </x:xf>
    <x:xf numFmtId="0" fontId="1" fillId="11" borderId="2" xfId="0" applyFont="1" applyFill="1" applyBorder="1" applyAlignment="1">
      <x:alignment horizontal="center" vertical="center" wrapText="1"/>
    </x:xf>
    <x:xf numFmtId="0" fontId="1" fillId="11" borderId="0" xfId="0" applyFont="1" applyFill="1" applyAlignment="1">
      <x:alignment horizontal="center" vertical="center" wrapText="1"/>
    </x:xf>
    <x:xf numFmtId="0" fontId="4" fillId="29" borderId="3" xfId="0" applyFont="1" applyFill="1" applyBorder="1" applyAlignment="1">
      <x:alignment wrapText="1"/>
    </x:xf>
    <x:xf numFmtId="0" fontId="1" fillId="2" borderId="0" xfId="0" applyFont="1" applyFill="1" applyAlignment="1">
      <x:alignment horizontal="center"/>
    </x:xf>
    <x:xf numFmtId="0" fontId="1" fillId="21" borderId="0" xfId="0" applyFont="1" applyFill="1" applyAlignment="1">
      <x:alignment horizontal="center" vertical="center"/>
    </x:xf>
    <x:xf numFmtId="0" fontId="5" fillId="0" borderId="0" xfId="0" applyFont="1"/>
    <x:xf numFmtId="0" fontId="3" fillId="30" borderId="0" xfId="0" applyFont="1" applyFill="1" applyAlignment="1">
      <x:alignment wrapText="1"/>
    </x:xf>
    <x:xf numFmtId="2" fontId="5" fillId="0" borderId="0" xfId="0" applyNumberFormat="1" applyFont="1" applyAlignment="1">
      <x:alignment wrapText="1"/>
    </x:xf>
    <x:xf numFmtId="0" fontId="3" fillId="30" borderId="4" xfId="0" applyFont="1" applyFill="1" applyBorder="1" applyAlignment="1">
      <x:alignment wrapText="1"/>
    </x:xf>
    <x:xf numFmtId="0" fontId="4" fillId="29" borderId="0" xfId="0" applyFont="1" applyFill="1" applyAlignment="1">
      <x:alignment wrapText="1"/>
    </x:xf>
    <x:xf numFmtId="0" fontId="3" fillId="0" borderId="0" xfId="0" applyFont="1" applyAlignment="1">
      <x:alignment horizontal="center" wrapText="1"/>
    </x:xf>
    <x:xf numFmtId="0" fontId="5" fillId="0" borderId="0" xfId="0" applyFont="1" applyAlignment="1">
      <x:alignment horizontal="center" wrapText="1"/>
    </x:xf>
    <x:xf numFmtId="0" fontId="4" fillId="29" borderId="5" xfId="0" applyFont="1" applyFill="1" applyBorder="1" applyAlignment="1">
      <x:alignment wrapText="1"/>
    </x:xf>
    <x:xf numFmtId="0" fontId="8" fillId="0" borderId="0" xfId="0" applyFont="1"/>
    <x:xf numFmtId="0" fontId="3" fillId="0" borderId="8" xfId="0" applyFont="1" applyBorder="1" applyAlignment="1">
      <x:alignment wrapText="1"/>
    </x:xf>
    <x:xf numFmtId="0" fontId="3" fillId="30" borderId="8" xfId="0" applyFont="1" applyFill="1" applyBorder="1" applyAlignment="1">
      <x:alignment wrapText="1"/>
    </x:xf>
    <x:xf numFmtId="0" fontId="3" fillId="30" borderId="6" xfId="0" applyFont="1" applyFill="1" applyBorder="1" applyAlignment="1">
      <x:alignment wrapText="1"/>
    </x:xf>
    <x:xf numFmtId="0" fontId="1" fillId="31" borderId="0" xfId="0" applyFont="1" applyFill="1" applyAlignment="1">
      <x:alignment horizontal="center" vertical="center" wrapText="1"/>
    </x:xf>
    <x:xf numFmtId="0" fontId="4" fillId="32" borderId="0" xfId="0" applyFont="1" applyFill="1" applyAlignment="1">
      <x:alignment vertical="center" wrapText="1"/>
    </x:xf>
    <x:xf numFmtId="0" fontId="6" fillId="32" borderId="0" xfId="0" applyFont="1" applyFill="1" applyAlignment="1">
      <x:alignment vertical="center"/>
    </x:xf>
    <x:xf numFmtId="0" fontId="1" fillId="6" borderId="0" xfId="0" applyFont="1" applyFill="1" applyAlignment="1">
      <x:alignment horizontal="center" wrapText="1"/>
    </x:xf>
    <x:xf numFmtId="0" fontId="9" fillId="0" borderId="0" xfId="0" applyFont="1"/>
    <x:xf numFmtId="0" fontId="1" fillId="11" borderId="0" xfId="0" applyFont="1" applyFill="1" applyAlignment="1">
      <x:alignment horizontal="center" vertical="center"/>
    </x:xf>
    <x:xf numFmtId="0" fontId="1" fillId="33" borderId="0" xfId="0" applyFont="1" applyFill="1" applyAlignment="1">
      <x:alignment horizontal="center" vertical="center" wrapText="1"/>
    </x:xf>
    <x:xf numFmtId="0" fontId="1" fillId="3" borderId="0" xfId="0" applyFont="1" applyFill="1" applyAlignment="1">
      <x:alignment horizontal="center" vertical="center" wrapText="1"/>
    </x:xf>
    <x:xf numFmtId="0" fontId="1" fillId="21" borderId="0" xfId="0" applyFont="1" applyFill="1" applyAlignment="1">
      <x:alignment horizontal="center"/>
    </x:xf>
    <x:xf numFmtId="0" fontId="10" fillId="34" borderId="0" xfId="0" applyFont="1" applyFill="1" applyAlignment="1">
      <x:alignment horizontal="center" vertical="center"/>
    </x:xf>
    <x:xf numFmtId="0" fontId="11" fillId="18" borderId="0" xfId="0" applyFont="1" applyFill="1" applyAlignment="1">
      <x:alignment vertical="center" wrapText="1"/>
    </x:xf>
    <x:xf numFmtId="0" fontId="5" fillId="0" borderId="0" xfId="0" applyFont="1" applyAlignment="1">
      <x:alignment vertical="top" wrapText="1"/>
    </x:xf>
    <x:xf numFmtId="0" fontId="0" fillId="0" borderId="0" xfId="0" applyNumberFormat="1" applyFont="1" applyFill="1" applyBorder="1" applyAlignment="1">
      <x:alignment vertical="bottom" wrapText="0"/>
    </x:xf>
    <x:xf numFmtId="0" fontId="1" fillId="2" borderId="0" xfId="0" applyNumberFormat="1" applyFont="1" applyFill="1" applyBorder="1" applyAlignment="1">
      <x:alignment horizontal="center" vertical="center" wrapText="1"/>
    </x:xf>
    <x:xf numFmtId="0" fontId="2" fillId="3" borderId="0" xfId="0" applyNumberFormat="1" applyFont="1" applyFill="1" applyBorder="1" applyAlignment="1">
      <x:alignment horizontal="center" vertical="center" wrapText="1"/>
    </x:xf>
    <x:xf numFmtId="0" fontId="1" fillId="4" borderId="0" xfId="0" applyNumberFormat="1" applyFont="1" applyFill="1" applyBorder="1" applyAlignment="1">
      <x:alignment horizontal="center" vertical="center"/>
    </x:xf>
    <x:xf numFmtId="0" fontId="3" fillId="0" borderId="0" xfId="0" applyNumberFormat="1" applyFont="1" applyFill="1" applyBorder="1" applyAlignment="1">
      <x:alignment wrapText="1"/>
    </x:xf>
    <x:xf numFmtId="0" fontId="1" fillId="5" borderId="0" xfId="0" applyNumberFormat="1" applyFont="1" applyFill="1" applyBorder="1" applyAlignment="1">
      <x:alignment horizontal="center" vertical="center"/>
    </x:xf>
    <x:xf numFmtId="0" fontId="1" fillId="6" borderId="0" xfId="0" applyNumberFormat="1" applyFont="1" applyFill="1" applyBorder="1" applyAlignment="1">
      <x:alignment horizontal="center" vertical="center"/>
    </x:xf>
    <x:xf numFmtId="0" fontId="4" fillId="7" borderId="0" xfId="0" applyNumberFormat="1" applyFont="1" applyFill="1" applyBorder="1"/>
    <x:xf numFmtId="0" fontId="1" fillId="8" borderId="1" xfId="0" applyNumberFormat="1" applyFont="1" applyFill="1" applyBorder="1" applyAlignment="1">
      <x:alignment horizontal="center" vertical="center" wrapText="1"/>
    </x:xf>
    <x:xf numFmtId="0" fontId="1" fillId="8" borderId="2" xfId="0" applyNumberFormat="1" applyFont="1" applyFill="1" applyBorder="1" applyAlignment="1">
      <x:alignment horizontal="center" vertical="center" wrapText="1"/>
    </x:xf>
    <x:xf numFmtId="0" fontId="3" fillId="0" borderId="0" xfId="0" applyNumberFormat="1" applyFont="1" applyFill="1" applyBorder="1" applyAlignment="1">
      <x:alignment vertical="center" wrapText="1"/>
    </x:xf>
    <x:xf numFmtId="0" fontId="1" fillId="6" borderId="1" xfId="0" applyNumberFormat="1" applyFont="1" applyFill="1" applyBorder="1" applyAlignment="1">
      <x:alignment horizontal="center" vertical="center" wrapText="1"/>
    </x:xf>
    <x:xf numFmtId="0" fontId="1" fillId="6" borderId="2" xfId="0" applyNumberFormat="1" applyFont="1" applyFill="1" applyBorder="1" applyAlignment="1">
      <x:alignment horizontal="center" vertical="center" wrapText="1"/>
    </x:xf>
    <x:xf numFmtId="0" fontId="3" fillId="0" borderId="0" xfId="0" applyNumberFormat="1" applyFont="1" applyFill="1" applyBorder="1" applyAlignment="1">
      <x:alignment horizontal="center" vertical="center" wrapText="1"/>
    </x:xf>
    <x:xf numFmtId="0" fontId="1" fillId="9" borderId="1" xfId="0" applyNumberFormat="1" applyFont="1" applyFill="1" applyBorder="1" applyAlignment="1">
      <x:alignment horizontal="center" vertical="center" wrapText="1"/>
    </x:xf>
    <x:xf numFmtId="0" fontId="3" fillId="0" borderId="0" xfId="0" applyNumberFormat="1" applyFont="1" applyFill="1" applyBorder="1"/>
    <x:xf numFmtId="0" fontId="1" fillId="9" borderId="2" xfId="0" applyNumberFormat="1" applyFont="1" applyFill="1" applyBorder="1" applyAlignment="1">
      <x:alignment horizontal="center" vertical="center" wrapText="1"/>
    </x:xf>
    <x:xf numFmtId="2" fontId="3" fillId="0" borderId="0" xfId="0" applyNumberFormat="1" applyFont="1" applyFill="1" applyBorder="1" applyAlignment="1">
      <x:alignment horizontal="center" vertical="center" wrapText="1"/>
    </x:xf>
    <x:xf numFmtId="0" fontId="3" fillId="0" borderId="0" xfId="0" applyNumberFormat="1" applyFont="1" applyFill="1" applyBorder="1" applyAlignment="1">
      <x:alignment vertical="top" wrapText="1"/>
    </x:xf>
    <x:xf numFmtId="0" fontId="4" fillId="10" borderId="3" xfId="0" applyNumberFormat="1" applyFont="1" applyFill="1" applyBorder="1" applyAlignment="1">
      <x:alignment wrapText="1"/>
    </x:xf>
    <x:xf numFmtId="0" fontId="1" fillId="11" borderId="0" xfId="0" applyNumberFormat="1" applyFont="1" applyFill="1" applyBorder="1" applyAlignment="1">
      <x:alignment wrapText="1"/>
    </x:xf>
    <x:xf numFmtId="0" fontId="3" fillId="12" borderId="4" xfId="0" applyNumberFormat="1" applyFont="1" applyFill="1" applyBorder="1" applyAlignment="1">
      <x:alignment wrapText="1"/>
    </x:xf>
    <x:xf numFmtId="0" fontId="4" fillId="13" borderId="3"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bottom" wrapText="1"/>
    </x:xf>
    <x:xf numFmtId="0" fontId="4" fillId="15" borderId="3" xfId="0" applyNumberFormat="1" applyFont="1" applyFill="1" applyBorder="1" applyAlignment="1">
      <x:alignment wrapText="1"/>
    </x:xf>
    <x:xf numFmtId="0" fontId="6" fillId="18" borderId="3" xfId="0" applyNumberFormat="1" applyFont="1" applyFill="1" applyBorder="1" applyAlignment="1">
      <x:alignment horizontal="left" vertical="center" wrapText="1"/>
    </x:xf>
    <x:xf numFmtId="0" fontId="0" fillId="17" borderId="4" xfId="0" applyNumberFormat="1" applyFont="1" applyFill="1" applyBorder="1" applyAlignment="1">
      <x:alignment horizontal="left" vertical="center" wrapText="1"/>
    </x:xf>
    <x:xf numFmtId="0" fontId="4" fillId="10" borderId="5" xfId="0" applyNumberFormat="1" applyFont="1" applyFill="1" applyBorder="1" applyAlignment="1">
      <x:alignment wrapText="1"/>
    </x:xf>
    <x:xf numFmtId="0" fontId="1" fillId="19" borderId="0" xfId="0" applyNumberFormat="1" applyFont="1" applyFill="1" applyBorder="1" applyAlignment="1">
      <x:alignment horizontal="center" vertical="center" wrapText="1"/>
    </x:xf>
    <x:xf numFmtId="0" fontId="3" fillId="12" borderId="6" xfId="0" applyNumberFormat="1" applyFont="1" applyFill="1" applyBorder="1" applyAlignment="1">
      <x:alignment wrapText="1"/>
    </x:xf>
    <x:xf numFmtId="0" fontId="1" fillId="6" borderId="0" xfId="0" applyNumberFormat="1" applyFont="1" applyFill="1" applyBorder="1" applyAlignment="1">
      <x:alignment horizontal="center"/>
    </x:xf>
    <x:xf numFmtId="2" fontId="3" fillId="0" borderId="0" xfId="0" applyNumberFormat="1" applyFont="1" applyFill="1" applyBorder="1"/>
    <x:xf numFmtId="0" fontId="4" fillId="13" borderId="5" xfId="0" applyNumberFormat="1" applyFont="1" applyFill="1" applyBorder="1" applyAlignment="1">
      <x:alignment wrapText="1"/>
    </x:xf>
    <x:xf numFmtId="0" fontId="4" fillId="0" borderId="0" xfId="0" applyNumberFormat="1" applyFont="1" applyFill="1" applyBorder="1" applyAlignment="1">
      <x:alignment wrapText="1"/>
    </x:xf>
    <x:xf numFmtId="1" fontId="3" fillId="0" borderId="0" xfId="0" applyNumberFormat="1" applyFont="1" applyFill="1" applyBorder="1" applyAlignment="1">
      <x:alignment wrapText="1"/>
    </x:xf>
    <x:xf numFmtId="0" fontId="6" fillId="18" borderId="5" xfId="0" applyNumberFormat="1" applyFont="1" applyFill="1" applyBorder="1" applyAlignment="1">
      <x:alignment horizontal="left" vertical="center" wrapText="1"/>
    </x:xf>
    <x:xf numFmtId="0" fontId="0" fillId="17" borderId="6" xfId="0" applyNumberFormat="1" applyFont="1" applyFill="1" applyBorder="1" applyAlignment="1">
      <x:alignment horizontal="left" vertical="center" wrapText="1"/>
    </x:xf>
    <x:xf numFmtId="0" fontId="1" fillId="6" borderId="0" xfId="0" applyNumberFormat="1" applyFont="1" applyFill="1" applyBorder="1" applyAlignment="1">
      <x:alignment horizontal="center" vertical="top" wrapText="1"/>
    </x:xf>
    <x:xf numFmtId="0" fontId="1" fillId="20" borderId="1" xfId="0" applyNumberFormat="1" applyFont="1" applyFill="1" applyBorder="1" applyAlignment="1">
      <x:alignment horizontal="center" vertical="center" wrapText="1"/>
    </x:xf>
    <x:xf numFmtId="0" fontId="7" fillId="0" borderId="7" xfId="0" applyNumberFormat="1" applyFont="1" applyFill="1" applyBorder="1"/>
    <x:xf numFmtId="0" fontId="7" fillId="0" borderId="2" xfId="0" applyNumberFormat="1" applyFont="1" applyFill="1" applyBorder="1"/>
    <x:xf numFmtId="0" fontId="1" fillId="21" borderId="3" xfId="0" applyNumberFormat="1" applyFont="1" applyFill="1" applyBorder="1" applyAlignment="1">
      <x:alignment horizontal="center" vertical="center" wrapText="1"/>
    </x:xf>
    <x:xf numFmtId="0" fontId="1" fillId="21" borderId="0" xfId="0" applyNumberFormat="1" applyFont="1" applyFill="1" applyBorder="1" applyAlignment="1">
      <x:alignment horizontal="center" vertical="center" wrapText="1"/>
    </x:xf>
    <x:xf numFmtId="0" fontId="1" fillId="21" borderId="4" xfId="0" applyNumberFormat="1" applyFont="1" applyFill="1" applyBorder="1" applyAlignment="1">
      <x:alignment horizontal="center" vertical="center" wrapText="1"/>
    </x:xf>
    <x:xf numFmtId="0" fontId="3" fillId="12" borderId="3" xfId="0" applyNumberFormat="1" applyFont="1" applyFill="1" applyBorder="1" applyAlignment="1">
      <x:alignment wrapText="1"/>
    </x:xf>
    <x:xf numFmtId="0" fontId="3" fillId="12" borderId="0" xfId="0" applyNumberFormat="1" applyFont="1" applyFill="1" applyBorder="1" applyAlignment="1">
      <x:alignment wrapText="1"/>
    </x:xf>
    <x:xf numFmtId="0" fontId="3" fillId="22" borderId="0" xfId="0" applyNumberFormat="1" applyFont="1" applyFill="1" applyBorder="1" applyAlignment="1">
      <x:alignment wrapText="1"/>
    </x:xf>
    <x:xf numFmtId="0" fontId="3" fillId="22" borderId="4" xfId="0" applyNumberFormat="1" applyFont="1" applyFill="1" applyBorder="1" applyAlignment="1">
      <x:alignment wrapText="1"/>
    </x:xf>
    <x:xf numFmtId="0" fontId="3" fillId="12" borderId="5" xfId="0" applyNumberFormat="1" applyFont="1" applyFill="1" applyBorder="1" applyAlignment="1">
      <x:alignment wrapText="1"/>
    </x:xf>
    <x:xf numFmtId="0" fontId="3" fillId="12" borderId="8" xfId="0" applyNumberFormat="1" applyFont="1" applyFill="1" applyBorder="1" applyAlignment="1">
      <x:alignment wrapText="1"/>
    </x:xf>
    <x:xf numFmtId="0" fontId="3" fillId="22" borderId="8" xfId="0" applyNumberFormat="1" applyFont="1" applyFill="1" applyBorder="1" applyAlignment="1">
      <x:alignment wrapText="1"/>
    </x:xf>
    <x:xf numFmtId="0" fontId="3" fillId="22" borderId="6" xfId="0" applyNumberFormat="1" applyFont="1" applyFill="1" applyBorder="1" applyAlignment="1">
      <x:alignment wrapText="1"/>
    </x:xf>
    <x:xf numFmtId="0" fontId="1" fillId="23" borderId="9" xfId="0" applyNumberFormat="1" applyFont="1" applyFill="1" applyBorder="1" applyAlignment="1">
      <x:alignment horizontal="center" vertical="center" wrapText="1"/>
    </x:xf>
    <x:xf numFmtId="0" fontId="1" fillId="23" borderId="10" xfId="0" applyNumberFormat="1" applyFont="1" applyFill="1" applyBorder="1" applyAlignment="1">
      <x:alignment horizontal="center" vertical="center" wrapText="1"/>
    </x:xf>
    <x:xf numFmtId="0" fontId="7" fillId="0" borderId="10" xfId="0" applyNumberFormat="1" applyFont="1" applyFill="1" applyBorder="1"/>
    <x:xf numFmtId="0" fontId="7" fillId="0" borderId="11" xfId="0" applyNumberFormat="1" applyFont="1" applyFill="1" applyBorder="1"/>
    <x:xf numFmtId="0" fontId="3" fillId="12" borderId="12" xfId="0" applyNumberFormat="1" applyFont="1" applyFill="1" applyBorder="1" applyAlignment="1">
      <x:alignment wrapText="1"/>
    </x:xf>
    <x:xf numFmtId="0" fontId="3" fillId="24" borderId="0" xfId="0" applyNumberFormat="1" applyFont="1" applyFill="1" applyBorder="1" applyAlignment="1">
      <x:alignment wrapText="1"/>
    </x:xf>
    <x:xf numFmtId="0" fontId="7" fillId="0" borderId="13" xfId="0" applyNumberFormat="1" applyFont="1" applyFill="1" applyBorder="1"/>
    <x:xf numFmtId="0" fontId="3" fillId="12" borderId="14" xfId="0" applyNumberFormat="1" applyFont="1" applyFill="1" applyBorder="1" applyAlignment="1">
      <x:alignment wrapText="1"/>
    </x:xf>
    <x:xf numFmtId="0" fontId="0" fillId="0" borderId="0" xfId="0" applyNumberFormat="1" applyFont="1" applyFill="1" applyBorder="1" applyAlignment="1">
      <x:alignment horizontal="right" wrapText="1"/>
    </x:xf>
    <x:xf numFmtId="0" fontId="3" fillId="24" borderId="15" xfId="0" applyNumberFormat="1" applyFont="1" applyFill="1" applyBorder="1" applyAlignment="1">
      <x:alignment wrapText="1"/>
    </x:xf>
    <x:xf numFmtId="2" fontId="0" fillId="0" borderId="0" xfId="0" applyNumberFormat="1" applyFont="1" applyFill="1" applyBorder="1" applyAlignment="1">
      <x:alignment horizontal="right" wrapText="1"/>
    </x:xf>
    <x:xf numFmtId="0" fontId="0" fillId="0" borderId="0" xfId="0" applyNumberFormat="1" applyFont="1" applyFill="1" applyBorder="1" applyAlignment="1">
      <x:alignment horizontal="center" vertical="center" wrapText="1"/>
    </x:xf>
    <x:xf numFmtId="0" fontId="7" fillId="0" borderId="15" xfId="0" applyNumberFormat="1" applyFont="1" applyFill="1" applyBorder="1"/>
    <x:xf numFmtId="0" fontId="7" fillId="0" borderId="16" xfId="0" applyNumberFormat="1" applyFont="1" applyFill="1" applyBorder="1"/>
    <x:xf numFmtId="0" fontId="1" fillId="25" borderId="9" xfId="0" applyNumberFormat="1" applyFont="1" applyFill="1" applyBorder="1" applyAlignment="1">
      <x:alignment horizontal="center" vertical="center" wrapText="1"/>
    </x:xf>
    <x:xf numFmtId="0" fontId="1" fillId="25" borderId="10" xfId="0" applyNumberFormat="1" applyFont="1" applyFill="1" applyBorder="1" applyAlignment="1">
      <x:alignment horizontal="center" vertical="center" wrapText="1"/>
    </x:xf>
    <x:xf numFmtId="0" fontId="4" fillId="7" borderId="0" xfId="0" applyNumberFormat="1" applyFont="1" applyFill="1" applyBorder="1" applyAlignment="1">
      <x:alignment wrapText="1"/>
    </x:xf>
    <x:xf numFmtId="0" fontId="0" fillId="0" borderId="0" xfId="0" applyNumberFormat="1" applyFont="1" applyFill="1" applyBorder="1" applyAlignment="1">
      <x:alignment horizontal="center"/>
    </x:xf>
    <x:xf numFmtId="0" fontId="4" fillId="12" borderId="0" xfId="0" applyNumberFormat="1" applyFont="1" applyFill="1" applyBorder="1" applyAlignment="1">
      <x:alignment wrapText="1"/>
    </x:xf>
    <x:xf numFmtId="2" fontId="3" fillId="0" borderId="0" xfId="0" applyNumberFormat="1" applyFont="1" applyFill="1" applyBorder="1" applyAlignment="1">
      <x:alignment wrapText="1"/>
    </x:xf>
    <x:xf numFmtId="0" fontId="3" fillId="12" borderId="14" xfId="0" applyNumberFormat="1" applyFont="1" applyFill="1" applyBorder="1"/>
    <x:xf numFmtId="0" fontId="3" fillId="22" borderId="15" xfId="0" applyNumberFormat="1" applyFont="1" applyFill="1" applyBorder="1" applyAlignment="1">
      <x:alignment wrapText="1"/>
    </x:xf>
    <x:xf numFmtId="0" fontId="1" fillId="26" borderId="9" xfId="0" applyNumberFormat="1" applyFont="1" applyFill="1" applyBorder="1" applyAlignment="1">
      <x:alignment horizontal="center" vertical="center" wrapText="1"/>
    </x:xf>
    <x:xf numFmtId="0" fontId="1" fillId="26" borderId="10" xfId="0" applyNumberFormat="1" applyFont="1" applyFill="1" applyBorder="1" applyAlignment="1">
      <x:alignment horizontal="center" vertical="center" wrapText="1"/>
    </x:xf>
    <x:xf numFmtId="0" fontId="3" fillId="27" borderId="0" xfId="0" applyNumberFormat="1" applyFont="1" applyFill="1" applyBorder="1" applyAlignment="1">
      <x:alignment wrapText="1"/>
    </x:xf>
    <x:xf numFmtId="0" fontId="4" fillId="28" borderId="0" xfId="0" applyNumberFormat="1" applyFont="1" applyFill="1" applyBorder="1" applyAlignment="1">
      <x:alignment wrapText="1"/>
    </x:xf>
    <x:xf numFmtId="0" fontId="3" fillId="27" borderId="15" xfId="0" applyNumberFormat="1" applyFont="1" applyFill="1" applyBorder="1" applyAlignment="1">
      <x:alignment wrapText="1"/>
    </x:xf>
    <x:xf numFmtId="0" fontId="4" fillId="28" borderId="0" xfId="0" applyNumberFormat="1" applyFont="1" applyFill="1" applyBorder="1"/>
    <x:xf numFmtId="0" fontId="1" fillId="11" borderId="1" xfId="0" applyNumberFormat="1" applyFont="1" applyFill="1" applyBorder="1" applyAlignment="1">
      <x:alignment horizontal="center" vertical="center" wrapText="1"/>
    </x:xf>
    <x:xf numFmtId="0" fontId="1" fillId="11" borderId="7" xfId="0" applyNumberFormat="1" applyFont="1" applyFill="1" applyBorder="1" applyAlignment="1">
      <x:alignment horizontal="center" vertical="center" wrapText="1"/>
    </x:xf>
    <x:xf numFmtId="0" fontId="1" fillId="11" borderId="2" xfId="0" applyNumberFormat="1" applyFont="1" applyFill="1" applyBorder="1" applyAlignment="1">
      <x:alignment horizontal="center" vertical="center" wrapText="1"/>
    </x:xf>
    <x:xf numFmtId="0" fontId="1" fillId="11" borderId="0" xfId="0" applyNumberFormat="1" applyFont="1" applyFill="1" applyBorder="1" applyAlignment="1">
      <x:alignment horizontal="center" vertical="center" wrapText="1"/>
    </x:xf>
    <x:xf numFmtId="0" fontId="4" fillId="29" borderId="3" xfId="0" applyNumberFormat="1" applyFont="1" applyFill="1" applyBorder="1" applyAlignment="1">
      <x:alignment wrapText="1"/>
    </x:xf>
    <x:xf numFmtId="0" fontId="1" fillId="2" borderId="0" xfId="0" applyNumberFormat="1" applyFont="1" applyFill="1" applyBorder="1" applyAlignment="1">
      <x:alignment horizontal="center"/>
    </x:xf>
    <x:xf numFmtId="0" fontId="1" fillId="21" borderId="0" xfId="0" applyNumberFormat="1" applyFont="1" applyFill="1" applyBorder="1" applyAlignment="1">
      <x:alignment horizontal="center" vertical="center"/>
    </x:xf>
    <x:xf numFmtId="0" fontId="0" fillId="0" borderId="0" xfId="0" applyNumberFormat="1" applyFont="1" applyFill="1" applyBorder="1"/>
    <x:xf numFmtId="0" fontId="3" fillId="30" borderId="0" xfId="0" applyNumberFormat="1" applyFont="1" applyFill="1" applyBorder="1" applyAlignment="1">
      <x:alignment wrapText="1"/>
    </x:xf>
    <x:xf numFmtId="2" fontId="0" fillId="0" borderId="0" xfId="0" applyNumberFormat="1" applyFont="1" applyFill="1" applyBorder="1" applyAlignment="1">
      <x:alignment wrapText="1"/>
    </x:xf>
    <x:xf numFmtId="0" fontId="3" fillId="30" borderId="4" xfId="0" applyNumberFormat="1" applyFont="1" applyFill="1" applyBorder="1" applyAlignment="1">
      <x:alignment wrapText="1"/>
    </x:xf>
    <x:xf numFmtId="0" fontId="4" fillId="29" borderId="0" xfId="0" applyNumberFormat="1" applyFont="1" applyFill="1" applyBorder="1" applyAlignment="1">
      <x:alignment wrapText="1"/>
    </x:xf>
    <x:xf numFmtId="0" fontId="3" fillId="0" borderId="0" xfId="0" applyNumberFormat="1" applyFont="1" applyFill="1" applyBorder="1" applyAlignment="1">
      <x:alignment horizontal="center" wrapText="1"/>
    </x:xf>
    <x:xf numFmtId="0" fontId="0" fillId="0" borderId="0" xfId="0" applyNumberFormat="1" applyFont="1" applyFill="1" applyBorder="1" applyAlignment="1">
      <x:alignment horizontal="center" wrapText="1"/>
    </x:xf>
    <x:xf numFmtId="0" fontId="4" fillId="29" borderId="5" xfId="0" applyNumberFormat="1" applyFont="1" applyFill="1" applyBorder="1" applyAlignment="1">
      <x:alignment wrapText="1"/>
    </x:xf>
    <x:xf numFmtId="0" fontId="8" fillId="0" borderId="0" xfId="0" applyNumberFormat="1" applyFont="1" applyFill="1" applyBorder="1"/>
    <x:xf numFmtId="0" fontId="3" fillId="0" borderId="8" xfId="0" applyNumberFormat="1" applyFont="1" applyFill="1" applyBorder="1" applyAlignment="1">
      <x:alignment wrapText="1"/>
    </x:xf>
    <x:xf numFmtId="0" fontId="3" fillId="30" borderId="8" xfId="0" applyNumberFormat="1" applyFont="1" applyFill="1" applyBorder="1" applyAlignment="1">
      <x:alignment wrapText="1"/>
    </x:xf>
    <x:xf numFmtId="0" fontId="3" fillId="30" borderId="6" xfId="0" applyNumberFormat="1" applyFont="1" applyFill="1" applyBorder="1" applyAlignment="1">
      <x:alignment wrapText="1"/>
    </x:xf>
    <x:xf numFmtId="0" fontId="1" fillId="31" borderId="0" xfId="0" applyNumberFormat="1" applyFont="1" applyFill="1" applyBorder="1" applyAlignment="1">
      <x:alignment horizontal="center" vertical="center" wrapText="1"/>
    </x:xf>
    <x:xf numFmtId="0" fontId="4" fillId="32" borderId="0" xfId="0" applyNumberFormat="1" applyFont="1" applyFill="1" applyBorder="1" applyAlignment="1">
      <x:alignment vertical="center" wrapText="1"/>
    </x:xf>
    <x:xf numFmtId="0" fontId="6" fillId="32" borderId="0" xfId="0" applyNumberFormat="1" applyFont="1" applyFill="1" applyBorder="1" applyAlignment="1">
      <x:alignment vertical="center"/>
    </x:xf>
    <x:xf numFmtId="0" fontId="1" fillId="6" borderId="0" xfId="0" applyNumberFormat="1" applyFont="1" applyFill="1" applyBorder="1" applyAlignment="1">
      <x:alignment horizontal="center" wrapText="1"/>
    </x:xf>
    <x:xf numFmtId="0" fontId="1" fillId="11" borderId="0" xfId="0" applyNumberFormat="1" applyFont="1" applyFill="1" applyBorder="1" applyAlignment="1">
      <x:alignment horizontal="center" vertical="center"/>
    </x:xf>
    <x:xf numFmtId="0" fontId="1" fillId="33" borderId="0" xfId="0" applyNumberFormat="1" applyFont="1" applyFill="1" applyBorder="1" applyAlignment="1">
      <x:alignment horizontal="center" vertical="center" wrapText="1"/>
    </x:xf>
    <x:xf numFmtId="0" fontId="1" fillId="3" borderId="0" xfId="0" applyNumberFormat="1" applyFont="1" applyFill="1" applyBorder="1" applyAlignment="1">
      <x:alignment horizontal="center" vertical="center" wrapText="1"/>
    </x:xf>
    <x:xf numFmtId="0" fontId="1" fillId="21" borderId="0" xfId="0" applyNumberFormat="1" applyFont="1" applyFill="1" applyBorder="1" applyAlignment="1">
      <x:alignment horizontal="center"/>
    </x:xf>
    <x:xf numFmtId="0" fontId="10" fillId="34" borderId="0" xfId="0" applyNumberFormat="1" applyFont="1" applyFill="1" applyBorder="1" applyAlignment="1">
      <x:alignment horizontal="center" vertical="center"/>
    </x:xf>
    <x:xf numFmtId="0" fontId="11" fillId="18" borderId="0" xfId="0" applyNumberFormat="1" applyFont="1" applyFill="1" applyBorder="1" applyAlignment="1">
      <x:alignment vertical="center" wrapText="1"/>
    </x:xf>
    <x:xf numFmtId="0" fontId="0" fillId="0" borderId="0" xfId="0" applyNumberFormat="1" applyFont="1" applyFill="1" applyBorder="1" applyAlignment="1">
      <x:alignment vertical="top" wrapText="1"/>
    </x:xf>
    <x:xf numFmtId="0" fontId="0" fillId="35" borderId="0" xfId="0" applyNumberFormat="1" applyFont="1" applyFill="1" applyBorder="1" applyAlignment="1">
      <x:alignment vertical="bottom" wrapText="0"/>
    </x:xf>
    <x:xf numFmtId="0" fontId="1" fillId="35" borderId="0" xfId="0" applyNumberFormat="1" applyFont="1" applyFill="1" applyBorder="1" applyAlignment="1">
      <x:alignment vertical="bottom" wrapText="0"/>
    </x:xf>
    <x:xf numFmtId="0" fontId="1" fillId="35" borderId="0" xfId="0" applyNumberFormat="1" applyFont="1" applyFill="1" applyBorder="1" applyAlignment="1">
      <x:alignment horizontal="center" vertical="bottom" wrapText="0"/>
    </x:xf>
    <x:xf numFmtId="0" fontId="1" fillId="35" borderId="0" xfId="0" applyNumberFormat="1" applyFont="1" applyFill="1" applyBorder="1" applyAlignment="1">
      <x:alignment horizontal="center" vertical="bottom" wrapText="1"/>
    </x:xf>
  </x:cellXfs>
  <x:cellStyles count="1">
    <x:cellStyle name="Normal" xfId="0"/>
  </x:cellStyles>
  <x:dxfs count="7">
    <x:dxf>
      <x:font>
        <x:color rgb="FF166534"/>
      </x:font>
      <x:fill>
        <x:patternFill>
          <x:bgColor rgb="FFDCFCE7"/>
        </x:patternFill>
      </x:fill>
      <x:border/>
    </x:dxf>
    <x:dxf>
      <x:font>
        <x:color rgb="FF991B1B"/>
      </x:font>
      <x:fill>
        <x:patternFill>
          <x:bgColor rgb="FFFEE2E2"/>
        </x:patternFill>
      </x:fill>
      <x:border/>
    </x:dxf>
    <x:dxf>
      <x:font>
        <x:color rgb="FF64748B"/>
      </x:font>
      <x:fill>
        <x:patternFill>
          <x:bgColor rgb="FFF8FAFC"/>
        </x:patternFill>
      </x:fill>
      <x:border/>
    </x:dxf>
    <x:dxf>
      <x:font>
        <x:b/>
      </x:font>
      <x:fill>
        <x:patternFill patternType="none"/>
      </x:fill>
      <x:border/>
    </x:dxf>
    <x:dxf>
      <x:fill>
        <x:patternFill>
          <x:bgColor rgb="FFE2F0D9"/>
        </x:patternFill>
      </x:fill>
      <x:border/>
    </x:dxf>
    <x:dxf>
      <x:fill>
        <x:patternFill>
          <x:bgColor rgb="FFFCE4D6"/>
        </x:patternFill>
      </x:fill>
      <x:border/>
    </x:dxf>
    <x:dxf>
      <x:fill>
        <x:patternFill>
          <x:bgColor rgb="FFFFF2CC"/>
        </x:patternFill>
      </x:fill>
      <x:border/>
    </x:dxf>
  </x:dxfs>
</x:styleSheet>
</file>

<file path=xl/_rels/workbook.xml.rels>&#65279;<?xml version="1.0" encoding="utf-8"?><Relationships xmlns="http://schemas.openxmlformats.org/package/2006/relationships"><Relationship Type="http://schemas.openxmlformats.org/officeDocument/2006/relationships/styles" Target="/xl/styles.xml" Id="Rfeb2650b96bd4c85" /><Relationship Type="http://schemas.openxmlformats.org/officeDocument/2006/relationships/theme" Target="/xl/theme/theme1.xml" Id="R44cad9acc4604274" /><Relationship Type="http://schemas.openxmlformats.org/officeDocument/2006/relationships/sharedStrings" Target="/xl/sharedStrings.xml" Id="R28726344207c43ee" /><Relationship Type="http://schemas.openxmlformats.org/officeDocument/2006/relationships/worksheet" Target="/xl/worksheets/sheet1.xml" Id="R8c2726822e454466" /><Relationship Type="http://schemas.openxmlformats.org/officeDocument/2006/relationships/worksheet" Target="/xl/worksheets/sheet2.xml" Id="R049796f27e6846fc" /><Relationship Type="http://schemas.openxmlformats.org/officeDocument/2006/relationships/worksheet" Target="/xl/worksheets/sheet3.xml" Id="R1ad662f9f0574264" /><Relationship Type="http://schemas.openxmlformats.org/officeDocument/2006/relationships/worksheet" Target="/xl/worksheets/sheet4.xml" Id="Rdfe6316ef9414292" /><Relationship Type="http://schemas.openxmlformats.org/officeDocument/2006/relationships/worksheet" Target="/xl/worksheets/sheet5.xml" Id="R41a13e00dfa94f2c" /><Relationship Type="http://schemas.openxmlformats.org/officeDocument/2006/relationships/worksheet" Target="/xl/worksheets/sheet6.xml" Id="R274deb439e8e4a36" /><Relationship Type="http://schemas.openxmlformats.org/officeDocument/2006/relationships/worksheet" Target="/xl/worksheets/sheet7.xml" Id="R62dbdee237404e7b" /><Relationship Type="http://schemas.openxmlformats.org/officeDocument/2006/relationships/worksheet" Target="/xl/worksheets/sheet8.xml" Id="Re2d056891ecb4b35" /><Relationship Type="http://schemas.openxmlformats.org/officeDocument/2006/relationships/worksheet" Target="/xl/worksheets/sheet9.xml" Id="R5f8d4e094b6b4606" /><Relationship Type="http://schemas.openxmlformats.org/officeDocument/2006/relationships/worksheet" Target="/xl/worksheets/sheet10.xml" Id="R96ded2ba07934b7e" /><Relationship Type="http://schemas.openxmlformats.org/officeDocument/2006/relationships/worksheet" Target="/xl/worksheets/sheet11.xml" Id="R4a765438b4274c53" /><Relationship Type="http://schemas.openxmlformats.org/officeDocument/2006/relationships/worksheet" Target="/xl/worksheets/sheet12.xml" Id="R38ee3a092ec94cce" /><Relationship Type="http://schemas.openxmlformats.org/officeDocument/2006/relationships/worksheet" Target="/xl/worksheets/sheet13.xml" Id="Rc7fa05b25c6749f7" /><Relationship Type="http://schemas.openxmlformats.org/officeDocument/2006/relationships/worksheet" Target="/xl/worksheets/sheet14.xml" Id="R46a70199899742e1" /><Relationship Type="http://schemas.openxmlformats.org/officeDocument/2006/relationships/worksheet" Target="/xl/worksheets/sheet15.xml" Id="R8e1884f0f76b4aa1" /><Relationship Type="http://schemas.openxmlformats.org/officeDocument/2006/relationships/worksheet" Target="/xl/worksheets/sheet16.xml" Id="R2945feecd8084cb5" /><Relationship Type="http://schemas.openxmlformats.org/officeDocument/2006/relationships/worksheet" Target="/xl/worksheets/sheet17.xml" Id="R64352519bf844a3f" /><Relationship Type="http://schemas.openxmlformats.org/officeDocument/2006/relationships/worksheet" Target="/xl/worksheets/sheet18.xml" Id="R717d3719fc954c13" /><Relationship Type="http://schemas.openxmlformats.org/officeDocument/2006/relationships/worksheet" Target="/xl/worksheets/sheet19.xml" Id="R9d0654b6c7e84943" /><Relationship Type="http://schemas.openxmlformats.org/officeDocument/2006/relationships/worksheet" Target="/xl/worksheets/sheet20.xml" Id="R8a6c2526742c40a0"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ColWidth="12.630000114440918" defaultRowHeight="15"/>
  <x:cols>
    <x:col min="1" max="1" width="22.5" customWidth="1"/>
    <x:col min="2" max="2" width="30" customWidth="1"/>
    <x:col min="3" max="3" width="70.62999725341797" customWidth="1"/>
    <x:col min="4" max="4" width="7.380000114440918" customWidth="1"/>
    <x:col min="5" max="5" width="16.1299991607666" customWidth="1"/>
    <x:col min="6" max="6" width="8.5" customWidth="1"/>
    <x:col min="7" max="7" width="22" customWidth="1"/>
    <x:col min="8" max="8" width="16" customWidth="1"/>
    <x:col min="9" max="9" width="18" customWidth="1"/>
    <x:col min="10" max="10" width="25" customWidth="1"/>
    <x:col min="11" max="11" width="18" customWidth="1"/>
  </x:cols>
  <x:sheetData>
    <x:row r="1" ht="27.75" customHeight="1">
      <x:c r="A1" s="2" t="s">
        <x:v>0</x:v>
      </x:c>
    </x:row>
    <x:row r="2" ht="14.25" customHeight="1">
      <x:c r="A2" s="4"/>
      <x:c r="B2" s="4"/>
      <x:c r="C2" s="4"/>
      <x:c r="D2" s="4"/>
      <x:c r="E2" s="4"/>
      <x:c r="F2" s="4"/>
      <x:c r="G2" s="4"/>
      <x:c r="H2" s="4"/>
      <x:c r="I2" s="4"/>
      <x:c r="J2" s="4"/>
      <x:c r="K2" s="4"/>
    </x:row>
    <x:row r="3" ht="14.25" customHeight="1">
      <x:c r="A3" s="8" t="s">
        <x:v>1</x:v>
      </x:c>
      <x:c r="B3" s="9" t="s">
        <x:v>2</x:v>
      </x:c>
      <x:c r="C3" s="4"/>
      <x:c r="D3" s="11" t="s">
        <x:v>3</x:v>
      </x:c>
      <x:c r="E3" s="12" t="s">
        <x:v>2</x:v>
      </x:c>
      <x:c r="F3" s="4"/>
      <x:c r="G3" s="14" t="s">
        <x:v>4</x:v>
      </x:c>
      <x:c r="H3" s="16" t="s">
        <x:v>2</x:v>
      </x:c>
      <x:c r="I3" s="4"/>
      <x:c r="J3" s="4"/>
      <x:c r="K3" s="4"/>
    </x:row>
    <x:row r="4" ht="14.25" customHeight="1">
      <x:c r="A4" s="19" t="s">
        <x:v>5</x:v>
      </x:c>
      <x:c r="B4" s="21" t="s">
        <x:v>6</x:v>
      </x:c>
      <x:c r="C4" s="4"/>
      <x:c r="D4" s="22" t="s">
        <x:v>7</x:v>
      </x:c>
      <x:c r="E4" s="25" t="n">
        <x:f>Calculs!B13</x:f>
        <x:v>4</x:v>
      </x:c>
      <x:c r="F4" s="4"/>
      <x:c r="G4" s="26" t="s">
        <x:v>8</x:v>
      </x:c>
      <x:c r="H4" s="27" t="n">
        <x:f>Calculs!B33</x:f>
        <x:v>5</x:v>
      </x:c>
      <x:c r="I4" s="4"/>
      <x:c r="J4" s="4"/>
      <x:c r="K4" s="4"/>
    </x:row>
    <x:row r="5" ht="14.25" customHeight="1">
      <x:c r="A5" s="19" t="s">
        <x:v>9</x:v>
      </x:c>
      <x:c r="B5" s="28">
        <x:v>3.0</x:v>
      </x:c>
      <x:c r="C5" s="4"/>
      <x:c r="D5" s="22" t="s">
        <x:v>10</x:v>
      </x:c>
      <x:c r="E5" s="25" t="n">
        <x:f>Calculs!B14</x:f>
        <x:v>1</x:v>
      </x:c>
      <x:c r="F5" s="4"/>
      <x:c r="G5" s="26" t="s">
        <x:v>11</x:v>
      </x:c>
      <x:c r="H5" s="27" t="str">
        <x:f>Calculs!B34</x:f>
        <x:v>Dangereux</x:v>
      </x:c>
      <x:c r="I5" s="4"/>
      <x:c r="J5" s="4"/>
      <x:c r="K5" s="4"/>
    </x:row>
    <x:row r="6" ht="14.25" customHeight="1">
      <x:c r="A6" s="19" t="s">
        <x:v>12</x:v>
      </x:c>
      <x:c r="B6" s="21" t="s">
        <x:v>13</x:v>
      </x:c>
      <x:c r="C6" s="4" t="str">
        <x:f>IFERROR(VLOOKUP(B6,Familles!$A$2:$AS$200,45,FALSE),"")</x:f>
        <x:v>Famille principale du bestiaire.</x:v>
      </x:c>
      <x:c r="D6" s="22" t="s">
        <x:v>14</x:v>
      </x:c>
      <x:c r="E6" s="25" t="n">
        <x:f>Calculs!B15</x:f>
        <x:v>2</x:v>
      </x:c>
      <x:c r="F6" s="4"/>
      <x:c r="G6" s="26" t="s">
        <x:v>15</x:v>
      </x:c>
      <x:c r="H6" s="29" t="str">
        <x:f>Calculs!B35</x:f>
        <x:v>2d10 + 5 PA</x:v>
      </x:c>
      <x:c r="I6" s="4"/>
      <x:c r="J6" s="4"/>
      <x:c r="K6" s="4"/>
    </x:row>
    <x:row r="7" ht="14.25" customHeight="1">
      <x:c r="A7" s="19" t="s">
        <x:v>16</x:v>
      </x:c>
      <x:c r="B7" s="21"/>
      <x:c r="C7" s="4" t="str">
        <x:f>IF(OR($B$7="",$B$7="Aucune"),"",IFERROR(VLOOKUP($B$7,Familles!$A$2:$AS$200,45,FALSE),""))</x:f>
      </x:c>
      <x:c r="D7" s="22" t="s">
        <x:v>17</x:v>
      </x:c>
      <x:c r="E7" s="25" t="n">
        <x:f>Calculs!B16</x:f>
        <x:v>0</x:v>
      </x:c>
      <x:c r="F7" s="4"/>
      <x:c r="G7" s="19" t="s">
        <x:v>18</x:v>
      </x:c>
      <x:c r="H7" s="21" t="str">
        <x:f>Calculs!B5</x:f>
        <x:v>Démon</x:v>
      </x:c>
      <x:c r="I7" s="4"/>
      <x:c r="J7" s="4"/>
      <x:c r="K7" s="4"/>
    </x:row>
    <x:row r="8" ht="14.25" customHeight="1">
      <x:c r="A8" s="19" t="s">
        <x:v>19</x:v>
      </x:c>
      <x:c r="B8" s="21" t="s">
        <x:v>20</x:v>
      </x:c>
      <x:c r="C8" s="4"/>
      <x:c r="D8" s="22" t="s">
        <x:v>21</x:v>
      </x:c>
      <x:c r="E8" s="25" t="n">
        <x:f>Calculs!B16</x:f>
        <x:v>0</x:v>
      </x:c>
      <x:c r="F8" s="4"/>
      <x:c r="G8" s="19" t="s">
        <x:v>22</x:v>
      </x:c>
      <x:c r="H8" s="21" t="str">
        <x:f>Calculs!B38</x:f>
        <x:v>de l'ichor, des cornes, des crocs ou des fragments brûlés</x:v>
      </x:c>
      <x:c r="I8" s="4"/>
      <x:c r="J8" s="4"/>
      <x:c r="K8" s="4"/>
    </x:row>
    <x:row r="9" ht="14.25" customHeight="1">
      <x:c r="A9" s="30" t="s">
        <x:v>23</x:v>
      </x:c>
      <x:c r="B9" s="31" t="s">
        <x:v>24</x:v>
      </x:c>
      <x:c r="C9" s="4"/>
      <x:c r="D9" s="22" t="s">
        <x:v>25</x:v>
      </x:c>
      <x:c r="E9" s="25" t="n">
        <x:f>Calculs!B18</x:f>
        <x:v>2</x:v>
      </x:c>
      <x:c r="F9" s="4"/>
      <x:c r="G9" s="19" t="s">
        <x:v>26</x:v>
      </x:c>
      <x:c r="H9" s="21" t="s">
        <x:v>27</x:v>
      </x:c>
      <x:c r="I9" s="4"/>
      <x:c r="J9" s="4"/>
      <x:c r="K9" s="4"/>
    </x:row>
    <x:row r="10" ht="14.25" customHeight="1">
      <x:c r="A10" s="30" t="s">
        <x:v>28</x:v>
      </x:c>
      <x:c r="B10" s="31" t="s">
        <x:v>29</x:v>
      </x:c>
      <x:c r="C10" s="4"/>
      <x:c r="D10" s="22" t="s">
        <x:v>30</x:v>
      </x:c>
      <x:c r="E10" s="25" t="n">
        <x:f>Calculs!B20</x:f>
        <x:v>17</x:v>
      </x:c>
      <x:c r="F10" s="4"/>
      <x:c r="G10" s="32" t="s">
        <x:v>31</x:v>
      </x:c>
      <x:c r="H10" s="34" t="str">
        <x:f>IFERROR(IF(OR($B$7="",$B$7="Aucune"),VLOOKUP($B$6,Familles!$A$2:$AS$200,4,FALSE),VLOOKUP($B$7,Familles!$A$2:$AS$200,43,FALSE)&amp;" / "&amp;VLOOKUP($B$7,Familles!$A$2:$AS$200,4,FALSE)),"")</x:f>
        <x:v>Démon</x:v>
      </x:c>
      <x:c r="I10" s="4"/>
      <x:c r="J10" s="4"/>
      <x:c r="K10" s="4"/>
    </x:row>
    <x:row r="11" ht="14.25" customHeight="1">
      <x:c r="A11" s="30" t="s">
        <x:v>32</x:v>
      </x:c>
      <x:c r="B11" s="31" t="s">
        <x:v>33</x:v>
      </x:c>
      <x:c r="C11" s="4"/>
      <x:c r="D11" s="22" t="s">
        <x:v>34</x:v>
      </x:c>
      <x:c r="E11" s="25" t="n">
        <x:f>Calculs!B21</x:f>
        <x:v>18</x:v>
      </x:c>
      <x:c r="F11" s="4"/>
      <x:c r="G11" s="4"/>
      <x:c r="H11" s="4"/>
      <x:c r="I11" s="4"/>
      <x:c r="J11" s="4"/>
      <x:c r="K11" s="4"/>
    </x:row>
    <x:row r="12" ht="14.25" customHeight="1">
      <x:c r="A12" s="30" t="s">
        <x:v>35</x:v>
      </x:c>
      <x:c r="B12" s="31" t="s">
        <x:v>36</x:v>
      </x:c>
      <x:c r="C12" s="4"/>
      <x:c r="D12" s="37" t="s">
        <x:v>37</x:v>
      </x:c>
      <x:c r="E12" s="38" t="n">
        <x:f>Calculs!B22</x:f>
        <x:v>10</x:v>
      </x:c>
      <x:c r="F12" s="4"/>
      <x:c r="G12" s="4"/>
      <x:c r="H12" s="4"/>
      <x:c r="I12" s="4"/>
      <x:c r="J12" s="4"/>
      <x:c r="K12" s="4"/>
    </x:row>
    <x:row r="13" ht="37.5" customHeight="1">
      <x:c r="A13" s="30" t="s">
        <x:v>38</x:v>
      </x:c>
      <x:c r="B13" s="31" t="s">
        <x:v>39</x:v>
      </x:c>
      <x:c r="C13" s="4"/>
      <x:c r="D13" s="39"/>
      <x:c r="E13" s="40"/>
      <x:c r="F13" s="4"/>
      <x:c r="G13" s="4"/>
      <x:c r="H13" s="4"/>
      <x:c r="I13" s="4"/>
      <x:c r="J13" s="4"/>
      <x:c r="K13" s="4"/>
    </x:row>
    <x:row r="14" ht="48" customHeight="1">
      <x:c r="A14" s="41" t="s">
        <x:v>40</x:v>
      </x:c>
      <x:c r="B14" s="42" t="s">
        <x:v>41</x:v>
      </x:c>
    </x:row>
    <x:row r="15" ht="14.25" customHeight="1">
      <x:c r="A15" s="4"/>
      <x:c r="B15" s="4"/>
      <x:c r="C15" s="4"/>
      <x:c r="D15" s="4"/>
      <x:c r="E15" s="4"/>
      <x:c r="F15" s="4"/>
      <x:c r="G15" s="4"/>
      <x:c r="H15" s="4"/>
      <x:c r="I15" s="4"/>
      <x:c r="J15" s="4"/>
      <x:c r="K15" s="4"/>
    </x:row>
    <x:row r="16" ht="14.25" customHeight="1">
      <x:c r="A16" s="43" t="s">
        <x:v>42</x:v>
      </x:c>
    </x:row>
    <x:row r="17" ht="14.25" customHeight="1">
      <x:c r="A17" s="44" t="s">
        <x:v>43</x:v>
      </x:c>
      <x:c r="B17" s="45"/>
      <x:c r="C17" s="45"/>
      <x:c r="D17" s="45"/>
      <x:c r="E17" s="45"/>
      <x:c r="F17" s="45"/>
      <x:c r="G17" s="45"/>
      <x:c r="H17" s="45"/>
      <x:c r="I17" s="45"/>
      <x:c r="J17" s="45"/>
      <x:c r="K17" s="46"/>
    </x:row>
    <x:row r="18" ht="33.75" customHeight="1">
      <x:c r="A18" s="47" t="s">
        <x:v>5</x:v>
      </x:c>
      <x:c r="B18" s="48" t="s">
        <x:v>44</x:v>
      </x:c>
      <x:c r="C18" s="48" t="s">
        <x:v>45</x:v>
      </x:c>
      <x:c r="D18" s="48" t="s">
        <x:v>46</x:v>
      </x:c>
      <x:c r="E18" s="48"/>
      <x:c r="F18" s="48"/>
      <x:c r="G18" s="48" t="s">
        <x:v>47</x:v>
      </x:c>
      <x:c r="H18" s="48" t="s">
        <x:v>48</x:v>
      </x:c>
      <x:c r="I18" s="48" t="s">
        <x:v>49</x:v>
      </x:c>
      <x:c r="J18" s="48" t="s">
        <x:v>50</x:v>
      </x:c>
      <x:c r="K18" s="49" t="s">
        <x:v>51</x:v>
      </x:c>
    </x:row>
    <x:row r="19" ht="24" customHeight="1">
      <x:c r="A19" s="50" t="s">
        <x:v>52</x:v>
      </x:c>
      <x:c r="B19" s="51" t="s">
        <x:v>53</x:v>
      </x:c>
      <x:c r="C19" s="51" t="s">
        <x:v>54</x:v>
      </x:c>
      <x:c r="D19" s="51"/>
      <x:c r="E19" s="51"/>
      <x:c r="F19" s="51"/>
      <x:c r="G19" s="51"/>
      <x:c r="H19" s="52" t="str">
        <x:f>Calculs!F39</x:f>
        <x:v>FOR</x:v>
      </x:c>
      <x:c r="I19" s="52" t="str">
        <x:f>Calculs!O39</x:f>
        <x:v>+5</x:v>
      </x:c>
      <x:c r="J19" s="52" t="str">
        <x:f>Calculs!P39</x:f>
        <x:v>1d4+3</x:v>
      </x:c>
      <x:c r="K19" s="53" t="str">
        <x:f t="shared" ref="K19:K21" si="1">IF(A19&lt;&gt;"","DM NC doux + stat principale","")</x:f>
        <x:v>DM NC doux + stat principale</x:v>
      </x:c>
    </x:row>
    <x:row r="20" ht="24" customHeight="1">
      <x:c r="A20" s="50" t="s">
        <x:v>55</x:v>
      </x:c>
      <x:c r="B20" s="51" t="s">
        <x:v>56</x:v>
      </x:c>
      <x:c r="C20" s="51" t="s">
        <x:v>54</x:v>
      </x:c>
      <x:c r="D20" s="51"/>
      <x:c r="E20" s="51"/>
      <x:c r="F20" s="51"/>
      <x:c r="G20" s="51"/>
      <x:c r="H20" s="52" t="str">
        <x:f>Calculs!F40</x:f>
        <x:v>DEX</x:v>
      </x:c>
      <x:c r="I20" s="52" t="str">
        <x:f>Calculs!O40</x:f>
        <x:v>+2</x:v>
      </x:c>
      <x:c r="J20" s="52" t="str">
        <x:f>Calculs!P40</x:f>
        <x:v>1d4+1</x:v>
      </x:c>
      <x:c r="K20" s="53" t="str">
        <x:f t="shared" si="1"/>
        <x:v>DM NC doux + stat principale</x:v>
      </x:c>
    </x:row>
    <x:row r="21" ht="24" customHeight="1">
      <x:c r="A21" s="54"/>
      <x:c r="B21" s="55"/>
      <x:c r="C21" s="55"/>
      <x:c r="D21" s="55"/>
      <x:c r="E21" s="55"/>
      <x:c r="F21" s="55"/>
      <x:c r="G21" s="55"/>
      <x:c r="H21" s="56" t="str">
        <x:f>Calculs!F41</x:f>
        <x:v>INT</x:v>
      </x:c>
      <x:c r="I21" s="56" t="n">
        <x:f>Calculs!O41</x:f>
        <x:v>0</x:v>
      </x:c>
      <x:c r="J21" s="56" t="n">
        <x:f>Calculs!P41</x:f>
        <x:v>0</x:v>
      </x:c>
      <x:c r="K21" s="57" t="str">
        <x:f t="shared" si="1"/>
      </x:c>
    </x:row>
    <x:row r="22" ht="14.25" customHeight="1">
      <x:c r="A22" s="4"/>
      <x:c r="B22" s="4"/>
      <x:c r="C22" s="4"/>
      <x:c r="D22" s="4"/>
      <x:c r="E22" s="4"/>
      <x:c r="F22" s="4"/>
      <x:c r="G22" s="4"/>
      <x:c r="H22" s="4"/>
      <x:c r="I22" s="4"/>
      <x:c r="J22" s="4"/>
      <x:c r="K22" s="4"/>
    </x:row>
    <x:row r="23" ht="14.25" customHeight="1">
      <x:c r="A23" s="4"/>
      <x:c r="B23" s="4"/>
      <x:c r="C23" s="4"/>
      <x:c r="D23" s="4"/>
      <x:c r="E23" s="4"/>
      <x:c r="F23" s="4"/>
      <x:c r="H23" s="4"/>
      <x:c r="K23" s="4"/>
    </x:row>
    <x:row r="24" ht="31.5" customHeight="1">
      <x:c r="A24" s="58" t="s">
        <x:v>57</x:v>
      </x:c>
      <x:c r="B24" s="59" t="s">
        <x:v>58</x:v>
      </x:c>
      <x:c r="C24" s="59" t="s">
        <x:v>59</x:v>
      </x:c>
      <x:c r="D24" s="59" t="s">
        <x:v>60</x:v>
      </x:c>
      <x:c r="E24" s="60"/>
      <x:c r="F24" s="60"/>
      <x:c r="G24" s="60"/>
      <x:c r="H24" s="61"/>
    </x:row>
    <x:row r="25" ht="31.5" customHeight="1">
      <x:c r="A25" s="62"/>
      <x:c r="B25" s="63" t="str">
        <x:f>IFERROR(VLOOKUP(A25,Capacites!A1:G106,2,FALSE),"")</x:f>
      </x:c>
      <x:c r="C25" s="63" t="str">
        <x:f>IFERROR(VLOOKUP(A25,Capacites!A1:G106,4,FALSE),"")</x:f>
      </x:c>
      <x:c r="D25" s="63" t="str">
        <x:f>IFERROR(VLOOKUP(A25,Capacites!A1:G106,7,FALSE),"")</x:f>
      </x:c>
      <x:c r="H25" s="64"/>
    </x:row>
    <x:row r="26" ht="31.5" customHeight="1">
      <x:c r="A26" s="62"/>
      <x:c r="B26" s="63" t="str">
        <x:f>IFERROR(VLOOKUP(A26,Capacites!$A$2:$F$106,2,FALSE),"")</x:f>
      </x:c>
      <x:c r="C26" s="63" t="str">
        <x:f>IFERROR(VLOOKUP(A26,Capacites!$A$2:$F$106,4,FALSE),"")</x:f>
      </x:c>
      <x:c r="D26" s="63" t="str">
        <x:f>IFERROR(VLOOKUP(A26,Capacites!A2:G107,7,FALSE),"")</x:f>
      </x:c>
      <x:c r="H26" s="64"/>
    </x:row>
    <x:row r="27" ht="31.5" customHeight="1">
      <x:c r="A27" s="62"/>
      <x:c r="B27" s="63" t="str">
        <x:f>IFERROR(VLOOKUP(A27,Capacites!$A$2:$F$106,2,FALSE),"")</x:f>
      </x:c>
      <x:c r="C27" s="63" t="str">
        <x:f>IFERROR(VLOOKUP(A27,Capacites!$A$2:$F$106,4,FALSE),"")</x:f>
      </x:c>
      <x:c r="D27" s="63" t="str">
        <x:f>IFERROR(VLOOKUP(A27,Capacites!A3:G108,7,FALSE),"")</x:f>
      </x:c>
      <x:c r="H27" s="64"/>
    </x:row>
    <x:row r="28" ht="31.5" customHeight="1">
      <x:c r="A28" s="62"/>
      <x:c r="B28" s="63" t="str">
        <x:f>IFERROR(VLOOKUP(A28,Capacites!$A$2:$F$106,2,FALSE),"")</x:f>
      </x:c>
      <x:c r="C28" s="63" t="str">
        <x:f>IFERROR(VLOOKUP(A28,Capacites!$A$2:$F$106,4,FALSE),"")</x:f>
      </x:c>
      <x:c r="D28" s="63" t="str">
        <x:f>IFERROR(VLOOKUP(A28,Capacites!A4:G109,7,FALSE),"")</x:f>
      </x:c>
      <x:c r="H28" s="64"/>
    </x:row>
    <x:row r="29" ht="31.5" customHeight="1">
      <x:c r="A29" s="65"/>
      <x:c r="B29" s="67" t="str">
        <x:f>IFERROR(VLOOKUP(A29,Capacites!$A$2:$F$106,2,FALSE),"")</x:f>
      </x:c>
      <x:c r="C29" s="67" t="str">
        <x:f>IFERROR(VLOOKUP(A29,Capacites!$A$2:$F$106,4,FALSE),"")</x:f>
      </x:c>
      <x:c r="D29" s="67" t="str">
        <x:f>IFERROR(VLOOKUP(A29,Capacites!A5:G110,7,FALSE),"")</x:f>
      </x:c>
      <x:c r="E29" s="70"/>
      <x:c r="F29" s="70"/>
      <x:c r="G29" s="70"/>
      <x:c r="H29" s="71"/>
    </x:row>
    <x:row r="30" ht="14.25" customHeight="1">
      <x:c r="A30" s="4"/>
      <x:c r="B30" s="4"/>
      <x:c r="C30" s="4"/>
      <x:c r="D30" s="4"/>
      <x:c r="E30" s="4"/>
      <x:c r="F30" s="4"/>
      <x:c r="G30" s="4"/>
      <x:c r="H30" s="4"/>
    </x:row>
    <x:row r="31" ht="15.75" customHeight="1">
      <x:c r="A31" s="4"/>
      <x:c r="B31" s="4"/>
      <x:c r="C31" s="4"/>
      <x:c r="D31" s="4"/>
      <x:c r="I31" s="4"/>
      <x:c r="J31" s="4"/>
      <x:c r="K31" s="4"/>
    </x:row>
    <x:row r="32" ht="36.75" customHeight="1">
      <x:c r="A32" s="72" t="s">
        <x:v>61</x:v>
      </x:c>
      <x:c r="B32" s="73" t="s">
        <x:v>62</x:v>
      </x:c>
      <x:c r="C32" s="73" t="s">
        <x:v>59</x:v>
      </x:c>
      <x:c r="D32" s="73" t="s">
        <x:v>60</x:v>
      </x:c>
      <x:c r="E32" s="60"/>
      <x:c r="F32" s="60"/>
      <x:c r="G32" s="60"/>
      <x:c r="H32" s="61"/>
      <x:c r="I32" s="4"/>
      <x:c r="J32" s="4"/>
      <x:c r="K32" s="4"/>
    </x:row>
    <x:row r="33" ht="36.75" customHeight="1">
      <x:c r="A33" s="62"/>
      <x:c r="B33" s="52" t="str">
        <x:f>IFERROR(VLOOKUP(A33,Sorts!A1:G110,2,FALSE),"")</x:f>
      </x:c>
      <x:c r="C33" s="52" t="str">
        <x:f>IFERROR(VLOOKUP(A33,Sorts!A1:G110,4,FALSE),"")</x:f>
      </x:c>
      <x:c r="D33" s="52" t="str">
        <x:f>IFERROR(VLOOKUP(A33,Sorts!A1:G110,7,FALSE),"")</x:f>
      </x:c>
      <x:c r="H33" s="64"/>
      <x:c r="I33" s="4"/>
      <x:c r="J33" s="4"/>
      <x:c r="K33" s="4"/>
    </x:row>
    <x:row r="34" ht="36.75" customHeight="1">
      <x:c r="A34" s="62"/>
      <x:c r="B34" s="52" t="str">
        <x:f>IFERROR(VLOOKUP(A34,Sorts!A2:G111,2,FALSE),"")</x:f>
      </x:c>
      <x:c r="C34" s="52" t="str">
        <x:f>IFERROR(VLOOKUP(A34,Sorts!A2:G111,4,FALSE),"")</x:f>
      </x:c>
      <x:c r="D34" s="52" t="str">
        <x:f>IFERROR(VLOOKUP(A34,Sorts!A2:G111,7,FALSE),"")</x:f>
      </x:c>
      <x:c r="H34" s="64"/>
      <x:c r="I34" s="4"/>
      <x:c r="J34" s="4"/>
      <x:c r="K34" s="4"/>
    </x:row>
    <x:row r="35" ht="36.75" customHeight="1">
      <x:c r="A35" s="62"/>
      <x:c r="B35" s="52" t="str">
        <x:f>IFERROR(VLOOKUP(A35,Sorts!A3:G112,2,FALSE),"")</x:f>
      </x:c>
      <x:c r="C35" s="52" t="str">
        <x:f>IFERROR(VLOOKUP(A35,Sorts!A3:G112,4,FALSE),"")</x:f>
      </x:c>
      <x:c r="D35" s="52" t="str">
        <x:f>IFERROR(VLOOKUP(A35,Sorts!A3:G112,7,FALSE),"")</x:f>
      </x:c>
      <x:c r="H35" s="64"/>
      <x:c r="I35" s="4"/>
      <x:c r="J35" s="4"/>
      <x:c r="K35" s="4"/>
    </x:row>
    <x:row r="36" ht="36.75" customHeight="1">
      <x:c r="A36" s="62"/>
      <x:c r="B36" s="52" t="str">
        <x:f>IFERROR(VLOOKUP(A36,Sorts!A4:G113,2,FALSE),"")</x:f>
      </x:c>
      <x:c r="C36" s="52" t="str">
        <x:f>IFERROR(VLOOKUP(A36,Sorts!A4:G113,4,FALSE),"")</x:f>
      </x:c>
      <x:c r="D36" s="52" t="str">
        <x:f>IFERROR(VLOOKUP(A36,Sorts!A4:G113,7,FALSE),"")</x:f>
      </x:c>
      <x:c r="H36" s="64"/>
      <x:c r="I36" s="4"/>
      <x:c r="J36" s="4"/>
      <x:c r="K36" s="4"/>
    </x:row>
    <x:row r="37" ht="36.75" customHeight="1">
      <x:c r="A37" s="78"/>
      <x:c r="B37" s="79" t="str">
        <x:f>IFERROR(VLOOKUP(A37,Sorts!A5:G114,2,FALSE),"")</x:f>
      </x:c>
      <x:c r="C37" s="79" t="str">
        <x:f>IFERROR(VLOOKUP(A37,Sorts!A5:G114,4,FALSE),"")</x:f>
      </x:c>
      <x:c r="D37" s="79" t="str">
        <x:f>IFERROR(VLOOKUP(A37,Sorts!A5:G114,7,FALSE),"")</x:f>
      </x:c>
      <x:c r="E37" s="70"/>
      <x:c r="F37" s="70"/>
      <x:c r="G37" s="70"/>
      <x:c r="H37" s="71"/>
      <x:c r="I37" s="4"/>
      <x:c r="J37" s="4"/>
      <x:c r="K37" s="4"/>
    </x:row>
    <x:row r="38" ht="14.25" customHeight="1">
      <x:c r="A38" s="4"/>
      <x:c r="B38" s="4"/>
      <x:c r="C38" s="4"/>
      <x:c r="D38" s="4"/>
      <x:c r="E38" s="4"/>
      <x:c r="F38" s="4"/>
      <x:c r="G38" s="4"/>
      <x:c r="H38" s="4"/>
      <x:c r="I38" s="4"/>
      <x:c r="J38" s="4"/>
      <x:c r="K38" s="4"/>
    </x:row>
    <x:row r="39" ht="32.25" customHeight="1">
      <x:c r="A39" s="80" t="s">
        <x:v>63</x:v>
      </x:c>
      <x:c r="B39" s="81" t="s">
        <x:v>58</x:v>
      </x:c>
      <x:c r="C39" s="81"/>
      <x:c r="D39" s="81" t="s">
        <x:v>59</x:v>
      </x:c>
      <x:c r="E39" s="60"/>
      <x:c r="F39" s="61"/>
      <x:c r="G39" s="4"/>
      <x:c r="H39" s="4"/>
      <x:c r="I39" s="4"/>
      <x:c r="J39" s="4"/>
      <x:c r="K39" s="4"/>
    </x:row>
    <x:row r="40" ht="32.25" customHeight="1">
      <x:c r="A40" s="62"/>
      <x:c r="B40" s="82" t="str">
        <x:f>IFERROR(VLOOKUP(A40,Passifs!A1:G111,2,FALSE),"")</x:f>
      </x:c>
      <x:c r="C40" s="82" t="str">
        <x:f>IFERROR(VLOOKUP(A40,Passifs!A1:G111,4,FALSE),"")</x:f>
      </x:c>
      <x:c r="D40" s="82" t="str">
        <x:f>IFERROR(VLOOKUP(A40,Passifs!A1:G111,7,FALSE),"")</x:f>
      </x:c>
      <x:c r="F40" s="64"/>
      <x:c r="G40" s="4"/>
      <x:c r="H40" s="4"/>
      <x:c r="I40" s="4"/>
      <x:c r="J40" s="4"/>
      <x:c r="K40" s="4"/>
    </x:row>
    <x:row r="41" ht="32.25" customHeight="1">
      <x:c r="A41" s="62"/>
      <x:c r="B41" s="82" t="str">
        <x:f>IFERROR(VLOOKUP(A41,Passifs!A2:G112,2,FALSE),"")</x:f>
      </x:c>
      <x:c r="C41" s="82" t="str">
        <x:f>IFERROR(VLOOKUP(A41,Passifs!A2:G112,4,FALSE),"")</x:f>
      </x:c>
      <x:c r="D41" s="82" t="str">
        <x:f>IFERROR(VLOOKUP(A41,Passifs!A2:G112,7,FALSE),"")</x:f>
      </x:c>
      <x:c r="F41" s="64"/>
      <x:c r="G41" s="4"/>
      <x:c r="H41" s="4"/>
      <x:c r="I41" s="4"/>
      <x:c r="J41" s="4"/>
      <x:c r="K41" s="4"/>
    </x:row>
    <x:row r="42" ht="32.25" customHeight="1">
      <x:c r="A42" s="62"/>
      <x:c r="B42" s="82" t="str">
        <x:f>IFERROR(VLOOKUP(A42,Passifs!A3:G113,2,FALSE),"")</x:f>
      </x:c>
      <x:c r="C42" s="82" t="str">
        <x:f>IFERROR(VLOOKUP(A42,Passifs!A3:G113,4,FALSE),"")</x:f>
      </x:c>
      <x:c r="D42" s="82" t="str">
        <x:f>IFERROR(VLOOKUP(A42,Passifs!A3:G113,7,FALSE),"")</x:f>
      </x:c>
      <x:c r="F42" s="64"/>
      <x:c r="G42" s="4"/>
      <x:c r="H42" s="4"/>
      <x:c r="I42" s="4"/>
      <x:c r="J42" s="4"/>
      <x:c r="K42" s="4"/>
    </x:row>
    <x:row r="43" ht="32.25" customHeight="1">
      <x:c r="A43" s="62"/>
      <x:c r="B43" s="82" t="str">
        <x:f>IFERROR(VLOOKUP(A43,Passifs!A4:G114,2,FALSE),"")</x:f>
      </x:c>
      <x:c r="C43" s="82" t="str">
        <x:f>IFERROR(VLOOKUP(A43,Passifs!A4:G114,4,FALSE),"")</x:f>
      </x:c>
      <x:c r="D43" s="82" t="str">
        <x:f>IFERROR(VLOOKUP(A43,Passifs!A4:G114,7,FALSE),"")</x:f>
      </x:c>
      <x:c r="F43" s="64"/>
      <x:c r="G43" s="4"/>
      <x:c r="H43" s="4"/>
      <x:c r="I43" s="4"/>
      <x:c r="J43" s="4"/>
      <x:c r="K43" s="4"/>
    </x:row>
    <x:row r="44" ht="32.25" customHeight="1">
      <x:c r="A44" s="65"/>
      <x:c r="B44" s="84" t="str">
        <x:f>IFERROR(VLOOKUP(A44,Passifs!A5:G115,2,FALSE),"")</x:f>
      </x:c>
      <x:c r="C44" s="84" t="str">
        <x:f>IFERROR(VLOOKUP(A44,Passifs!A5:G115,4,FALSE),"")</x:f>
      </x:c>
      <x:c r="D44" s="84" t="str">
        <x:f>IFERROR(VLOOKUP(A44,Passifs!A5:G115,7,FALSE),"")</x:f>
      </x:c>
      <x:c r="E44" s="70"/>
      <x:c r="F44" s="71"/>
      <x:c r="G44" s="4"/>
      <x:c r="H44" s="4"/>
      <x:c r="I44" s="4"/>
      <x:c r="J44" s="4"/>
      <x:c r="K44" s="4"/>
    </x:row>
    <x:row r="45" ht="14.25" customHeight="1">
      <x:c r="A45" s="4"/>
      <x:c r="B45" s="4"/>
      <x:c r="C45" s="4"/>
      <x:c r="D45" s="4"/>
      <x:c r="E45" s="4"/>
      <x:c r="F45" s="4"/>
      <x:c r="G45" s="4"/>
      <x:c r="H45" s="4"/>
      <x:c r="I45" s="4"/>
      <x:c r="J45" s="4"/>
      <x:c r="K45" s="4"/>
    </x:row>
    <x:row r="46" ht="14.25" customHeight="1">
      <x:c r="A46" s="4"/>
      <x:c r="B46" s="4"/>
      <x:c r="C46" s="4"/>
      <x:c r="D46" s="4"/>
      <x:c r="E46" s="4"/>
      <x:c r="F46" s="4"/>
      <x:c r="G46" s="4"/>
      <x:c r="H46" s="4"/>
      <x:c r="I46" s="4"/>
      <x:c r="J46" s="4"/>
      <x:c r="K46" s="4"/>
    </x:row>
    <x:row r="47" ht="14.25" customHeight="1">
      <x:c r="A47" s="4"/>
      <x:c r="B47" s="4"/>
      <x:c r="C47" s="4"/>
      <x:c r="D47" s="4"/>
      <x:c r="E47" s="4"/>
      <x:c r="F47" s="4"/>
      <x:c r="G47" s="4"/>
      <x:c r="H47" s="4"/>
      <x:c r="I47" s="4"/>
      <x:c r="J47" s="4"/>
      <x:c r="K47" s="4"/>
    </x:row>
    <x:row r="48" ht="14.25" customHeight="1">
      <x:c r="A48" s="4"/>
      <x:c r="B48" s="4"/>
      <x:c r="C48" s="4"/>
      <x:c r="D48" s="4"/>
      <x:c r="E48" s="4"/>
      <x:c r="F48" s="4"/>
      <x:c r="G48" s="4"/>
      <x:c r="H48" s="4"/>
      <x:c r="I48" s="4"/>
      <x:c r="J48" s="4"/>
      <x:c r="K48" s="4"/>
    </x:row>
    <x:row r="49" ht="14.25" customHeight="1">
      <x:c r="A49" s="4"/>
      <x:c r="B49" s="4"/>
      <x:c r="C49" s="4"/>
      <x:c r="D49" s="4"/>
      <x:c r="E49" s="4"/>
      <x:c r="F49" s="4"/>
      <x:c r="G49" s="4"/>
      <x:c r="H49" s="4"/>
      <x:c r="I49" s="4"/>
      <x:c r="J49" s="4"/>
      <x:c r="K49" s="4"/>
    </x:row>
    <x:row r="50" ht="14.25" customHeight="1">
      <x:c r="A50" s="4"/>
      <x:c r="B50" s="4"/>
      <x:c r="C50" s="4"/>
      <x:c r="D50" s="4"/>
      <x:c r="E50" s="4"/>
      <x:c r="F50" s="4"/>
      <x:c r="G50" s="4"/>
      <x:c r="H50" s="4"/>
      <x:c r="I50" s="4"/>
      <x:c r="J50" s="4"/>
      <x:c r="K50" s="4"/>
    </x:row>
    <x:row r="51" ht="14.25" customHeight="1">
      <x:c r="A51" s="4"/>
      <x:c r="B51" s="4"/>
      <x:c r="C51" s="4"/>
      <x:c r="D51" s="4"/>
      <x:c r="E51" s="4"/>
      <x:c r="F51" s="4"/>
      <x:c r="G51" s="4"/>
      <x:c r="H51" s="4"/>
      <x:c r="I51" s="4"/>
      <x:c r="J51" s="4"/>
      <x:c r="K51" s="4"/>
    </x:row>
    <x:row r="52" ht="21.75" customHeight="1">
      <x:c r="A52" s="86" t="s">
        <x:v>44</x:v>
      </x:c>
      <x:c r="B52" s="87" t="s">
        <x:v>64</x:v>
      </x:c>
      <x:c r="C52" s="87" t="s">
        <x:v>65</x:v>
      </x:c>
      <x:c r="D52" s="87" t="s">
        <x:v>66</x:v>
      </x:c>
      <x:c r="E52" s="87" t="s">
        <x:v>67</x:v>
      </x:c>
      <x:c r="F52" s="87" t="s">
        <x:v>68</x:v>
      </x:c>
      <x:c r="G52" s="88" t="s">
        <x:v>69</x:v>
      </x:c>
      <x:c r="H52" s="89" t="s">
        <x:v>70</x:v>
      </x:c>
      <x:c r="I52" s="89" t="s">
        <x:v>71</x:v>
      </x:c>
      <x:c r="J52" s="89" t="s">
        <x:v>72</x:v>
      </x:c>
      <x:c r="K52" s="89" t="s">
        <x:v>18</x:v>
      </x:c>
    </x:row>
    <x:row r="53" ht="21.75" customHeight="1">
      <x:c r="A53" s="90" t="s">
        <x:v>73</x:v>
      </x:c>
      <x:c r="B53" s="4" t="n">
        <x:f>IFERROR(VLOOKUP(Calculs!$B$5,Familles!$A$2:$AJ$200,15,FALSE),0)</x:f>
        <x:v>0</x:v>
      </x:c>
      <x:c r="C53" s="4" t="str">
        <x:f>IFERROR(VLOOKUP(Calculs!$B$5,Familles!$A$2:$AJ$200,26,FALSE),"")</x:f>
      </x:c>
      <x:c r="D53" s="51">
        <x:v>0.0</x:v>
      </x:c>
      <x:c r="E53" s="51"/>
      <x:c r="F53" s="94" t="str">
        <x:f t="shared" ref="F53:F63" si="2">IF(OR(B53&gt;0,D53&gt;0),B53+D53,"")</x:f>
      </x:c>
      <x:c r="G53" s="96" t="str">
        <x:f t="shared" ref="G53:G63" si="3">IF(OR(C53="Oui",E53="Oui"),"Oui","")</x:f>
      </x:c>
      <x:c r="H53" s="97" t="str">
        <x:v>Feu</x:v>
      </x:c>
      <x:c r="I53" s="98" t="str">
        <x:f>IFERROR(VLOOKUP(Calculs!$B$5,Familles!$A$2:$BB$200,46,FALSE),"Neutre")</x:f>
        <x:v>Résistant</x:v>
      </x:c>
      <x:c r="J53" s="4" t="str">
        <x:f>IF(I53="Résistant","resistanceA_feu",IF(I53="Vulnérable","vulnerableA_feu",""))</x:f>
        <x:v>resistanceA_feu</x:v>
      </x:c>
      <x:c r="K53" s="4" t="str">
        <x:f>Calculs!$B$5</x:f>
        <x:v>Démon</x:v>
      </x:c>
    </x:row>
    <x:row r="54" ht="21.75" customHeight="1">
      <x:c r="A54" s="90" t="s">
        <x:v>74</x:v>
      </x:c>
      <x:c r="B54" s="4" t="n">
        <x:f>IFERROR(VLOOKUP(Calculs!$B$5,Familles!$A$2:$AJ$200,16,FALSE),0)</x:f>
        <x:v>0</x:v>
      </x:c>
      <x:c r="C54" s="4" t="str">
        <x:f>IFERROR(VLOOKUP(Calculs!$B$5,Familles!$A$2:$AJ$200,27,FALSE),"")</x:f>
      </x:c>
      <x:c r="D54" s="51">
        <x:v>0.0</x:v>
      </x:c>
      <x:c r="E54" s="51"/>
      <x:c r="F54" s="94" t="str">
        <x:f t="shared" si="2"/>
      </x:c>
      <x:c r="G54" s="96" t="str">
        <x:f t="shared" si="3"/>
      </x:c>
      <x:c r="H54" s="97" t="str">
        <x:v>Air</x:v>
      </x:c>
      <x:c r="I54" s="98" t="str">
        <x:f>IFERROR(VLOOKUP(Calculs!$B$5,Familles!$A$2:$BB$200,47,FALSE),"Neutre")</x:f>
        <x:v>Neutre</x:v>
      </x:c>
      <x:c r="J54" s="4" t="str">
        <x:f>IF(I54="Résistant","resistanceA_air",IF(I54="Vulnérable","vulnerableA_air",""))</x:f>
      </x:c>
      <x:c r="K54" s="4" t="str">
        <x:f>Calculs!$B$5</x:f>
        <x:v>Démon</x:v>
      </x:c>
    </x:row>
    <x:row r="55" ht="21.75" customHeight="1">
      <x:c r="A55" s="90" t="s">
        <x:v>75</x:v>
      </x:c>
      <x:c r="B55" s="4" t="n">
        <x:f>IFERROR(VLOOKUP(Calculs!$B$5,Familles!$A$2:$AJ$200,17,FALSE),0)</x:f>
        <x:v>0</x:v>
      </x:c>
      <x:c r="C55" s="4" t="str">
        <x:f>IFERROR(VLOOKUP(Calculs!$B$5,Familles!$A$2:$AJ$200,28,FALSE),"")</x:f>
      </x:c>
      <x:c r="D55" s="51">
        <x:v>0.0</x:v>
      </x:c>
      <x:c r="E55" s="51"/>
      <x:c r="F55" s="94" t="str">
        <x:f t="shared" si="2"/>
      </x:c>
      <x:c r="G55" s="96" t="str">
        <x:f t="shared" si="3"/>
      </x:c>
      <x:c r="H55" s="97" t="str">
        <x:v>Eau</x:v>
      </x:c>
      <x:c r="I55" s="98" t="str">
        <x:f>IFERROR(VLOOKUP(Calculs!$B$5,Familles!$A$2:$BB$200,48,FALSE),"Neutre")</x:f>
        <x:v>Neutre</x:v>
      </x:c>
      <x:c r="J55" s="4" t="str">
        <x:f>IF(I55="Résistant","resistanceA_eau",IF(I55="Vulnérable","vulnerableA_eau",""))</x:f>
      </x:c>
      <x:c r="K55" s="4" t="str">
        <x:f>Calculs!$B$5</x:f>
        <x:v>Démon</x:v>
      </x:c>
    </x:row>
    <x:row r="56" ht="21.75" customHeight="1">
      <x:c r="A56" s="90" t="s">
        <x:v>76</x:v>
      </x:c>
      <x:c r="B56" s="4" t="n">
        <x:f>IFERROR(VLOOKUP(Calculs!$B$5,Familles!$A$2:$AJ$200,18,FALSE),0)</x:f>
        <x:v>2</x:v>
      </x:c>
      <x:c r="C56" s="4" t="str">
        <x:f>IFERROR(VLOOKUP(Calculs!$B$5,Familles!$A$2:$AJ$200,29,FALSE),"")</x:f>
      </x:c>
      <x:c r="D56" s="51">
        <x:v>0.0</x:v>
      </x:c>
      <x:c r="E56" s="51"/>
      <x:c r="F56" s="94">
        <x:f t="shared" si="2"/>
        <x:v>2</x:v>
      </x:c>
      <x:c r="G56" s="96" t="str">
        <x:f t="shared" si="3"/>
      </x:c>
      <x:c r="H56" s="97" t="str">
        <x:v>Terre</x:v>
      </x:c>
      <x:c r="I56" s="98" t="str">
        <x:f>IFERROR(VLOOKUP(Calculs!$B$5,Familles!$A$2:$BB$200,49,FALSE),"Neutre")</x:f>
        <x:v>Neutre</x:v>
      </x:c>
      <x:c r="J56" s="4" t="str">
        <x:f>IF(I56="Résistant","resistanceA_terre",IF(I56="Vulnérable","vulnerableA_terre",""))</x:f>
      </x:c>
      <x:c r="K56" s="4" t="str">
        <x:f>Calculs!$B$5</x:f>
        <x:v>Démon</x:v>
      </x:c>
    </x:row>
    <x:row r="57" ht="21.75" customHeight="1">
      <x:c r="A57" s="90" t="s">
        <x:v>77</x:v>
      </x:c>
      <x:c r="B57" s="4" t="n">
        <x:f>IFERROR(VLOOKUP(Calculs!$B$5,Familles!$A$2:$AJ$200,19,FALSE),0)</x:f>
        <x:v>0</x:v>
      </x:c>
      <x:c r="C57" s="4" t="str">
        <x:f>IFERROR(VLOOKUP(Calculs!$B$5,Familles!$A$2:$AJ$200,30,FALSE),"")</x:f>
      </x:c>
      <x:c r="D57" s="51">
        <x:v>0.0</x:v>
      </x:c>
      <x:c r="E57" s="51"/>
      <x:c r="F57" s="94" t="str">
        <x:f t="shared" si="2"/>
      </x:c>
      <x:c r="G57" s="96" t="str">
        <x:f t="shared" si="3"/>
      </x:c>
      <x:c r="H57" s="97" t="str">
        <x:v>Ombre</x:v>
      </x:c>
      <x:c r="I57" s="98" t="str">
        <x:f>IFERROR(VLOOKUP(Calculs!$B$5,Familles!$A$2:$BB$200,50,FALSE),"Neutre")</x:f>
        <x:v>Résistant</x:v>
      </x:c>
      <x:c r="J57" s="4" t="str">
        <x:f>IF(I57="Résistant","resistanceA_ombre",IF(I57="Vulnérable","vulnerableA_ombre",""))</x:f>
        <x:v>resistanceA_ombre</x:v>
      </x:c>
      <x:c r="K57" s="4" t="str">
        <x:f>Calculs!$B$5</x:f>
        <x:v>Démon</x:v>
      </x:c>
    </x:row>
    <x:row r="58" ht="21.75" customHeight="1">
      <x:c r="A58" s="90" t="s">
        <x:v>78</x:v>
      </x:c>
      <x:c r="B58" s="4" t="n">
        <x:f>IFERROR(VLOOKUP(Calculs!$B$5,Familles!$A$2:$AJ$200,20,FALSE),0)</x:f>
        <x:v>0</x:v>
      </x:c>
      <x:c r="C58" s="4" t="str">
        <x:f>IFERROR(VLOOKUP(Calculs!$B$5,Familles!$A$2:$AJ$200,31,FALSE),"")</x:f>
      </x:c>
      <x:c r="D58" s="51">
        <x:v>0.0</x:v>
      </x:c>
      <x:c r="E58" s="51"/>
      <x:c r="F58" s="94" t="str">
        <x:f t="shared" si="2"/>
      </x:c>
      <x:c r="G58" s="96" t="str">
        <x:f t="shared" si="3"/>
      </x:c>
      <x:c r="H58" s="97" t="str">
        <x:v>Lumière</x:v>
      </x:c>
      <x:c r="I58" s="98" t="str">
        <x:f>IFERROR(VLOOKUP(Calculs!$B$5,Familles!$A$2:$BB$200,51,FALSE),"Neutre")</x:f>
        <x:v>Vulnérable</x:v>
      </x:c>
      <x:c r="J58" s="4" t="str">
        <x:f>IF(I58="Résistant","resistanceA_lumiere",IF(I58="Vulnérable","vulnerableA_lumiere",""))</x:f>
        <x:v>vulnerableA_lumiere</x:v>
      </x:c>
      <x:c r="K58" s="4" t="str">
        <x:f>Calculs!$B$5</x:f>
        <x:v>Démon</x:v>
      </x:c>
    </x:row>
    <x:row r="59" ht="21.75" customHeight="1">
      <x:c r="A59" s="90" t="s">
        <x:v>79</x:v>
      </x:c>
      <x:c r="B59" s="4" t="n">
        <x:f>IFERROR(VLOOKUP(Calculs!$B$5,Familles!$A$2:$AJ$200,21,FALSE),0)</x:f>
        <x:v>0</x:v>
      </x:c>
      <x:c r="C59" s="4" t="str">
        <x:f>IFERROR(VLOOKUP(Calculs!$B$5,Familles!$A$2:$AJ$200,32,FALSE),"")</x:f>
      </x:c>
      <x:c r="D59" s="51">
        <x:v>0.0</x:v>
      </x:c>
      <x:c r="E59" s="51"/>
      <x:c r="F59" s="94" t="str">
        <x:f t="shared" si="2"/>
      </x:c>
      <x:c r="G59" s="96" t="str">
        <x:f t="shared" si="3"/>
      </x:c>
      <x:c r="H59" s="97" t="str">
        <x:v>Force</x:v>
      </x:c>
      <x:c r="I59" s="99" t="str">
        <x:f>IFERROR(VLOOKUP(Calculs!$B$5,Familles!$A$2:$BB$200,52,FALSE),"Neutre")</x:f>
        <x:v>Neutre</x:v>
      </x:c>
      <x:c r="J59" s="23" t="str">
        <x:f>IF(I59="Résistant","resistanceA_force",IF(I59="Vulnérable","vulnerableA_force",""))</x:f>
      </x:c>
      <x:c r="K59" s="23" t="str">
        <x:f>Calculs!$B$5</x:f>
        <x:v>Démon</x:v>
      </x:c>
    </x:row>
    <x:row r="60" ht="21.75" customHeight="1">
      <x:c r="A60" s="90" t="s">
        <x:v>80</x:v>
      </x:c>
      <x:c r="B60" s="4" t="n">
        <x:f>IFERROR(VLOOKUP(Calculs!$B$5,Familles!$A$2:$AJ$200,22,FALSE),0)</x:f>
        <x:v>0</x:v>
      </x:c>
      <x:c r="C60" s="4" t="str">
        <x:f>IFERROR(VLOOKUP(Calculs!$B$5,Familles!$A$2:$AJ$200,33,FALSE),"")</x:f>
      </x:c>
      <x:c r="D60" s="51">
        <x:v>0.0</x:v>
      </x:c>
      <x:c r="E60" s="51"/>
      <x:c r="F60" s="94" t="str">
        <x:f t="shared" si="2"/>
      </x:c>
      <x:c r="G60" s="96" t="str">
        <x:f t="shared" si="3"/>
      </x:c>
      <x:c r="H60" s="97" t="str">
        <x:v>Nature (ancien)</x:v>
      </x:c>
      <x:c r="I60" s="99" t="str">
        <x:f>IFERROR(VLOOKUP(Calculs!$B$5,Familles!$A$2:$BB$200,53,FALSE),"Neutre")</x:f>
        <x:v>Neutre</x:v>
      </x:c>
      <x:c r="J60" s="23" t="str">
        <x:f>IF(I60="Résistant","resistanceA_nature",IF(I60="Vulnérable","vulnerableA_nature",""))</x:f>
      </x:c>
      <x:c r="K60" s="23" t="str">
        <x:f>Calculs!$B$5</x:f>
        <x:v>Démon</x:v>
      </x:c>
    </x:row>
    <x:row r="61" ht="21.75" customHeight="1">
      <x:c r="A61" s="90" t="s">
        <x:v>81</x:v>
      </x:c>
      <x:c r="B61" s="4" t="n">
        <x:f>IFERROR(VLOOKUP(Calculs!$B$5,Familles!$A$2:$AJ$200,23,FALSE),0)</x:f>
        <x:v>0</x:v>
      </x:c>
      <x:c r="C61" s="4" t="str">
        <x:f>IFERROR(VLOOKUP(Calculs!$B$5,Familles!$A$2:$AJ$200,34,FALSE),"")</x:f>
        <x:v>Oui</x:v>
      </x:c>
      <x:c r="D61" s="51">
        <x:v>0.0</x:v>
      </x:c>
      <x:c r="E61" s="51"/>
      <x:c r="F61" s="94" t="str">
        <x:f t="shared" si="2"/>
      </x:c>
      <x:c r="G61" s="96" t="str">
        <x:f t="shared" si="3"/>
        <x:v>Oui</x:v>
      </x:c>
      <x:c r="H61" s="97" t="s">
        <x:v>82</x:v>
      </x:c>
      <x:c r="I61" s="23" t="str">
        <x:f>IFERROR(VLOOKUP(Calculs!$B$5,Familles!$A$2:$BH$200,60,FALSE),"")</x:f>
        <x:v>resistanceA_feu resistanceA_ombre vulnerableA_lumiere resistanceA_tranchant</x:v>
      </x:c>
    </x:row>
    <x:row r="62" ht="21.75" customHeight="1">
      <x:c r="A62" s="90" t="s">
        <x:v>83</x:v>
      </x:c>
      <x:c r="B62" s="4" t="n">
        <x:f>IFERROR(VLOOKUP(Calculs!$B$5,Familles!$A$2:$AJ$200,24,FALSE),0)</x:f>
        <x:v>1</x:v>
      </x:c>
      <x:c r="C62" s="4" t="str">
        <x:f>IFERROR(VLOOKUP(Calculs!$B$5,Familles!$A$2:$AJ$200,35,FALSE),"")</x:f>
      </x:c>
      <x:c r="D62" s="51">
        <x:v>0.0</x:v>
      </x:c>
      <x:c r="E62" s="51"/>
      <x:c r="F62" s="94">
        <x:f t="shared" si="2"/>
        <x:v>1</x:v>
      </x:c>
      <x:c r="G62" s="96" t="str">
        <x:f t="shared" si="3"/>
      </x:c>
      <x:c r="H62" s="97" t="s">
        <x:v>84</x:v>
      </x:c>
    </x:row>
    <x:row r="63" ht="45" customHeight="1">
      <x:c r="A63" s="100" t="s">
        <x:v>85</x:v>
      </x:c>
      <x:c r="B63" s="102" t="n">
        <x:f>IFERROR(VLOOKUP(Calculs!$B$5,Familles!$A$2:$AJ$200,25,FALSE),0)</x:f>
        <x:v>1</x:v>
      </x:c>
      <x:c r="C63" s="102" t="str">
        <x:f>IFERROR(VLOOKUP(Calculs!$B$5,Familles!$A$2:$AJ$200,36,FALSE),"")</x:f>
      </x:c>
      <x:c r="D63" s="55">
        <x:v>0.0</x:v>
      </x:c>
      <x:c r="E63" s="55"/>
      <x:c r="F63" s="103">
        <x:f t="shared" si="2"/>
        <x:v>1</x:v>
      </x:c>
      <x:c r="G63" s="104" t="str">
        <x:f t="shared" si="3"/>
      </x:c>
      <x:c r="H63" s="97" t="str">
        <x:v>Effet script</x:v>
      </x:c>
      <x:c r="I63" s="23" t="str">
        <x:v>Résistance = dégâts ÷2 ; vulnérabilité = dégâts ×1,5. Les nouvelles affinités sont Feu/Eau/Air/Terre/Ombre/Lumière/Force.</x:v>
      </x:c>
    </x:row>
    <x:row r="64" ht="14.25" customHeight="1">
      <x:c r="A64" s="4"/>
      <x:c r="B64" s="4"/>
      <x:c r="C64" s="4"/>
      <x:c r="D64" s="4"/>
      <x:c r="E64" s="4"/>
      <x:c r="F64" s="4"/>
      <x:c r="G64" s="4"/>
      <x:c r="H64" s="105" t="s">
        <x:v>86</x:v>
      </x:c>
    </x:row>
    <x:row r="65" ht="14.25" customHeight="1">
      <x:c r="A65" s="4"/>
      <x:c r="B65" s="4"/>
      <x:c r="C65" s="4"/>
      <x:c r="D65" s="4"/>
      <x:c r="E65" s="4"/>
      <x:c r="F65" s="4"/>
      <x:c r="G65" s="4"/>
      <x:c r="H65" s="106" t="s">
        <x:v>73</x:v>
      </x:c>
      <x:c r="I65" s="23" t="str">
        <x:f>IFERROR(IF(VLOOKUP(Calculs!$B$5,Familles!$A$2:$BH$200,55,FALSE)="Oui","Résistant","Neutre"),"Neutre")</x:f>
        <x:v>Résistant</x:v>
      </x:c>
      <x:c r="J65" s="23" t="str">
        <x:f>IF(I65="Résistant","resistanceA_tranchant","")</x:f>
        <x:v>resistanceA_tranchant</x:v>
      </x:c>
      <x:c r="K65" s="23" t="str">
        <x:f>Calculs!$B$5</x:f>
        <x:v>Démon</x:v>
      </x:c>
    </x:row>
    <x:row r="66" ht="14.25" customHeight="1">
      <x:c r="H66" s="107" t="s">
        <x:v>75</x:v>
      </x:c>
      <x:c r="I66" s="23" t="str">
        <x:f>IFERROR(IF(VLOOKUP(Calculs!$B$5,Familles!$A$2:$BH$200,56,FALSE)="Oui","Résistant","Neutre"),"Neutre")</x:f>
        <x:v>Neutre</x:v>
      </x:c>
      <x:c r="J66" s="23" t="str">
        <x:f>IF(I66="Résistant","resistanceA_percant","")</x:f>
      </x:c>
      <x:c r="K66" s="23" t="str">
        <x:f>Calculs!$B$5</x:f>
        <x:v>Démon</x:v>
      </x:c>
    </x:row>
    <x:row r="67" ht="14.25" customHeight="1">
      <x:c r="H67" s="107" t="s">
        <x:v>74</x:v>
      </x:c>
      <x:c r="I67" s="23" t="str">
        <x:f>IFERROR(IF(VLOOKUP(Calculs!$B$5,Familles!$A$2:$BH$200,57,FALSE)="Oui","Résistant","Neutre"),"Neutre")</x:f>
        <x:v>Neutre</x:v>
      </x:c>
      <x:c r="J67" s="23" t="str">
        <x:f>IF(I67="Résistant","resistanceA_contondant","")</x:f>
      </x:c>
      <x:c r="K67" s="23" t="str">
        <x:f>Calculs!$B$5</x:f>
        <x:v>Démon</x:v>
      </x:c>
    </x:row>
    <x:row r="68" ht="14.25" customHeight="1">
      <x:c r="H68" s="107" t="s">
        <x:v>87</x:v>
      </x:c>
      <x:c r="I68" s="23" t="str">
        <x:f>IFERROR(IF(VLOOKUP(Calculs!$B$5,Familles!$A$2:$BH$200,58,FALSE)="Oui","Résistant","Neutre"),"Neutre")</x:f>
        <x:v>Neutre</x:v>
      </x:c>
      <x:c r="J68" s="23" t="str">
        <x:f>IF(I68="Résistant","resistanceA_nonMagique","")</x:f>
      </x:c>
      <x:c r="K68" s="23" t="str">
        <x:f>Calculs!$B$5</x:f>
        <x:v>Démon</x:v>
      </x:c>
    </x:row>
    <x:row r="69" ht="54" customHeight="1">
      <x:c r="H69" s="107" t="s">
        <x:v>88</x:v>
      </x:c>
      <x:c r="I69" s="23" t="str">
        <x:f>IFERROR(VLOOKUP(Calculs!$B$5,Familles!$A$2:$BH$200,59,FALSE),"")</x:f>
        <x:v>Sa chair surnaturelle et coriace résiste aux lames, au feu et aux forces de l’Ombre, tandis que le radiant contrarie son essence. Résiste à Feu, Ombre par affinité ou constitution. Vulnérable à Lumière, qui perturbe directement sa nature. Sa morphologie réduit les dégâts tranchants.</x:v>
      </x:c>
    </x:row>
    <x:row r="70" ht="14.25" customHeight="1"/>
    <x:row r="71" ht="14.25" customHeight="1"/>
    <x:row r="72" ht="14.25" customHeight="1"/>
    <x:row r="73" ht="14.25" customHeight="1"/>
    <x:row r="74" ht="14.25" customHeight="1"/>
    <x:row r="75" ht="14.25" customHeight="1"/>
    <x:row r="76" ht="14.25" customHeight="1"/>
    <x:row r="77" ht="14.25" customHeight="1"/>
    <x:row r="78" ht="14.25" customHeight="1"/>
    <x:row r="79" ht="14.25" customHeight="1"/>
    <x:row r="80" ht="14.25" customHeight="1"/>
    <x:row r="81" ht="14.25" customHeight="1"/>
    <x:row r="82" ht="14.25" customHeight="1"/>
    <x:row r="83" ht="14.25" customHeight="1"/>
    <x:row r="84" ht="14.25" customHeight="1"/>
    <x:row r="85" ht="14.25" customHeight="1"/>
    <x:row r="86" ht="14.25" customHeight="1"/>
    <x:row r="87" ht="14.25" customHeight="1"/>
    <x:row r="88" ht="14.25" customHeight="1"/>
    <x:row r="89" ht="14.25" customHeight="1"/>
    <x:row r="90" ht="14.25" customHeight="1"/>
    <x:row r="91" ht="14.25" customHeight="1"/>
    <x:row r="92" ht="14.25" customHeight="1"/>
    <x:row r="93" ht="14.25" customHeight="1"/>
    <x:row r="94" ht="14.25" customHeight="1"/>
    <x:row r="95" ht="14.25" customHeight="1"/>
    <x:row r="96" ht="14.25" customHeight="1"/>
    <x:row r="97" ht="14.25" customHeight="1"/>
    <x:row r="98" ht="14.25" customHeight="1"/>
    <x:row r="99" ht="14.25" customHeight="1"/>
    <x:row r="100" ht="14.25" customHeight="1"/>
    <x:row r="101" ht="14.25" customHeight="1"/>
    <x:row r="102" ht="14.25" customHeight="1"/>
    <x:row r="103" ht="14.25" customHeight="1"/>
    <x:row r="104" ht="14.25" customHeight="1"/>
    <x:row r="105" ht="14.25" customHeight="1"/>
    <x:row r="106" ht="14.25" customHeight="1"/>
    <x:row r="107" ht="14.25" customHeight="1"/>
    <x:row r="108" ht="14.25" customHeight="1"/>
    <x:row r="109" ht="14.25" customHeight="1"/>
    <x:row r="110" ht="14.25" customHeight="1"/>
    <x:row r="111" ht="14.25" customHeight="1"/>
    <x:row r="112" ht="14.25" customHeight="1"/>
    <x:row r="113" ht="14.25" customHeight="1"/>
    <x:row r="114" ht="14.25" customHeight="1"/>
    <x:row r="115" ht="14.25" customHeight="1"/>
    <x:row r="116" ht="14.25" customHeight="1"/>
    <x:row r="117" ht="14.25" customHeight="1"/>
    <x:row r="118" ht="14.25" customHeight="1"/>
    <x:row r="119" ht="14.25" customHeight="1"/>
    <x:row r="120" ht="14.25" customHeight="1"/>
    <x:row r="121" ht="14.25" customHeight="1"/>
    <x:row r="122" ht="14.25" customHeight="1"/>
    <x:row r="123" ht="14.25" customHeight="1"/>
    <x:row r="124" ht="14.25" customHeight="1"/>
    <x:row r="125" ht="14.25" customHeight="1"/>
    <x:row r="126" ht="14.25" customHeight="1"/>
    <x:row r="127" ht="14.25" customHeight="1"/>
    <x:row r="128" ht="14.25" customHeight="1"/>
    <x:row r="129" ht="14.25" customHeight="1"/>
    <x:row r="130" ht="14.25" customHeight="1"/>
    <x:row r="131" ht="14.25" customHeight="1"/>
    <x:row r="132" ht="14.25" customHeight="1"/>
    <x:row r="133" ht="14.25" customHeight="1"/>
    <x:row r="134" ht="14.25" customHeight="1"/>
    <x:row r="135" ht="14.25" customHeight="1"/>
    <x:row r="136" ht="14.25" customHeight="1"/>
    <x:row r="137" ht="14.25" customHeight="1"/>
    <x:row r="138" ht="14.25" customHeight="1"/>
    <x:row r="139" ht="14.25" customHeight="1"/>
    <x:row r="140" ht="14.25" customHeight="1"/>
    <x:row r="141" ht="14.25" customHeight="1"/>
    <x:row r="142" ht="14.25" customHeight="1"/>
    <x:row r="143" ht="14.25" customHeight="1"/>
    <x:row r="144" ht="14.25" customHeight="1"/>
    <x:row r="145" ht="14.25" customHeight="1"/>
    <x:row r="146" ht="14.25" customHeight="1"/>
    <x:row r="147" ht="14.25" customHeight="1"/>
    <x:row r="148" ht="14.25" customHeight="1"/>
    <x:row r="149" ht="14.25" customHeight="1"/>
    <x:row r="150" ht="14.25" customHeight="1"/>
    <x:row r="151" ht="14.25" customHeight="1"/>
    <x:row r="152" ht="14.25" customHeight="1"/>
    <x:row r="153" ht="14.25" customHeight="1"/>
    <x:row r="154" ht="14.25" customHeight="1"/>
    <x:row r="155" ht="14.25" customHeight="1"/>
    <x:row r="156" ht="14.25" customHeight="1"/>
    <x:row r="157" ht="14.25" customHeight="1"/>
    <x:row r="158" ht="14.25" customHeight="1"/>
    <x:row r="159" ht="14.25" customHeight="1"/>
    <x:row r="160" ht="14.25" customHeight="1"/>
    <x:row r="161" ht="14.25" customHeight="1"/>
    <x:row r="162" ht="14.25" customHeight="1"/>
    <x:row r="163" ht="14.25" customHeight="1"/>
    <x:row r="164" ht="14.25" customHeight="1"/>
    <x:row r="165" ht="14.25" customHeight="1"/>
    <x:row r="166" ht="14.25" customHeight="1"/>
    <x:row r="167" ht="14.25" customHeight="1"/>
    <x:row r="168" ht="14.25" customHeight="1"/>
    <x:row r="169" ht="14.25" customHeight="1"/>
    <x:row r="170" ht="14.25" customHeight="1"/>
    <x:row r="171" ht="14.25" customHeight="1"/>
    <x:row r="172" ht="14.25" customHeight="1"/>
    <x:row r="173" ht="14.25" customHeight="1"/>
    <x:row r="174" ht="14.25" customHeight="1"/>
    <x:row r="175" ht="14.25" customHeight="1"/>
    <x:row r="176" ht="14.25" customHeight="1"/>
    <x:row r="177" ht="14.25" customHeight="1"/>
    <x:row r="178" ht="14.25" customHeight="1"/>
    <x:row r="179" ht="14.25" customHeight="1"/>
    <x:row r="180" ht="14.25" customHeight="1"/>
    <x:row r="181" ht="14.25" customHeight="1"/>
    <x:row r="182" ht="14.25" customHeight="1"/>
    <x:row r="183" ht="14.25" customHeight="1"/>
    <x:row r="184" ht="14.25" customHeight="1"/>
    <x:row r="185" ht="14.25" customHeight="1"/>
    <x:row r="186" ht="14.25" customHeight="1"/>
    <x:row r="187" ht="14.25" customHeight="1"/>
    <x:row r="188" ht="14.25" customHeight="1"/>
    <x:row r="189" ht="14.25" customHeight="1"/>
    <x:row r="190" ht="14.25" customHeight="1"/>
    <x:row r="191" ht="14.25" customHeight="1"/>
    <x:row r="192" ht="14.25" customHeight="1"/>
    <x:row r="193" ht="14.25" customHeight="1"/>
    <x:row r="194" ht="14.25" customHeight="1"/>
    <x:row r="195" ht="14.25" customHeight="1"/>
    <x:row r="196" ht="14.25" customHeight="1"/>
    <x:row r="197" ht="14.25" customHeight="1"/>
    <x:row r="198" ht="14.25" customHeight="1"/>
    <x:row r="199" ht="14.25" customHeight="1"/>
    <x:row r="200" ht="14.25" customHeight="1"/>
    <x:row r="201" ht="14.25" customHeight="1"/>
    <x:row r="202" ht="14.25" customHeight="1"/>
    <x:row r="203" ht="14.25" customHeight="1"/>
    <x:row r="204" ht="14.25" customHeight="1"/>
    <x:row r="205" ht="14.25" customHeight="1"/>
    <x:row r="206" ht="14.25" customHeight="1"/>
    <x:row r="207" ht="14.25" customHeight="1"/>
    <x:row r="208" ht="14.25" customHeight="1"/>
    <x:row r="209" ht="14.25" customHeight="1"/>
    <x:row r="210" ht="14.25" customHeight="1"/>
    <x:row r="211" ht="14.25" customHeight="1"/>
    <x:row r="212" ht="14.25" customHeight="1"/>
    <x:row r="213" ht="14.25" customHeight="1"/>
    <x:row r="214" ht="14.25" customHeight="1"/>
    <x:row r="215" ht="14.25" customHeight="1"/>
    <x:row r="216" ht="14.25" customHeight="1"/>
    <x:row r="217" ht="14.25" customHeight="1"/>
    <x:row r="218" ht="14.25" customHeight="1"/>
    <x:row r="219" ht="14.25" customHeight="1"/>
    <x:row r="220" ht="14.25" customHeight="1"/>
    <x:row r="221" ht="14.25" customHeight="1"/>
    <x:row r="222" ht="14.25" customHeight="1"/>
    <x:row r="223" ht="14.25" customHeight="1"/>
    <x:row r="224" ht="14.25" customHeight="1"/>
    <x:row r="225" ht="14.25" customHeight="1"/>
    <x:row r="226" ht="14.25" customHeight="1"/>
    <x:row r="227" ht="14.25" customHeight="1"/>
    <x:row r="228" ht="14.25" customHeight="1"/>
    <x:row r="229" ht="14.25" customHeight="1"/>
    <x:row r="230" ht="14.25" customHeight="1"/>
    <x:row r="231" ht="14.25" customHeight="1"/>
    <x:row r="232" ht="14.25" customHeight="1"/>
    <x:row r="233" ht="14.25" customHeight="1"/>
    <x:row r="234" ht="14.25" customHeight="1"/>
    <x:row r="235" ht="14.25" customHeight="1"/>
    <x:row r="236" ht="14.25" customHeight="1"/>
    <x:row r="237" ht="14.25" customHeight="1"/>
    <x:row r="238" ht="14.25" customHeight="1"/>
    <x:row r="239" ht="14.25" customHeight="1"/>
    <x:row r="240" ht="14.25" customHeight="1"/>
    <x:row r="241" ht="14.25" customHeight="1"/>
    <x:row r="242" ht="14.25" customHeight="1"/>
    <x:row r="243" ht="14.25" customHeight="1"/>
    <x:row r="244" ht="14.25" customHeight="1"/>
    <x:row r="245" ht="14.25" customHeight="1"/>
    <x:row r="246" ht="14.25" customHeight="1"/>
    <x:row r="247" ht="14.25" customHeight="1"/>
    <x:row r="248" ht="14.25" customHeight="1"/>
    <x:row r="249" ht="14.25" customHeight="1"/>
    <x:row r="250" ht="14.25" customHeight="1"/>
    <x:row r="251" ht="14.25" customHeight="1"/>
    <x:row r="252" ht="14.25" customHeight="1"/>
    <x:row r="253" ht="14.25" customHeight="1"/>
    <x:row r="254" ht="14.25" customHeight="1"/>
    <x:row r="255" ht="14.25" customHeight="1"/>
    <x:row r="256" ht="14.25" customHeight="1"/>
    <x:row r="257" ht="14.25" customHeight="1"/>
    <x:row r="258" ht="14.25" customHeight="1"/>
    <x:row r="259" ht="14.25" customHeight="1"/>
    <x:row r="260" ht="14.25" customHeight="1"/>
    <x:row r="261" ht="14.25" customHeight="1"/>
    <x:row r="262" ht="14.2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mergeCells>
    <x:mergeCell ref="A1:K1"/>
    <x:mergeCell ref="A16:K16"/>
    <x:mergeCell ref="A17:K17"/>
    <x:mergeCell ref="F23:G23"/>
    <x:mergeCell ref="H23:J23"/>
    <x:mergeCell ref="D24:H24"/>
    <x:mergeCell ref="D25:H25"/>
    <x:mergeCell ref="D26:H26"/>
    <x:mergeCell ref="D27:H27"/>
    <x:mergeCell ref="D28:H28"/>
    <x:mergeCell ref="D29:H29"/>
    <x:mergeCell ref="D31:H31"/>
    <x:mergeCell ref="D32:H32"/>
    <x:mergeCell ref="D33:H33"/>
    <x:mergeCell ref="D42:F42"/>
    <x:mergeCell ref="D43:F43"/>
    <x:mergeCell ref="D44:F44"/>
    <x:mergeCell ref="I61:K62"/>
    <x:mergeCell ref="I63:K63"/>
    <x:mergeCell ref="H64:K64"/>
    <x:mergeCell ref="I69:K69"/>
    <x:mergeCell ref="D34:H34"/>
    <x:mergeCell ref="D35:H35"/>
    <x:mergeCell ref="D36:H36"/>
    <x:mergeCell ref="D37:H37"/>
    <x:mergeCell ref="D39:F39"/>
    <x:mergeCell ref="D40:F40"/>
    <x:mergeCell ref="D41:F41"/>
  </x:mergeCells>
  <x:conditionalFormatting sqref="I53:I60">
    <x:cfRule type="expression" dxfId="0" priority="1">
      <x:formula>I53="Résistant"</x:formula>
    </x:cfRule>
  </x:conditionalFormatting>
  <x:conditionalFormatting sqref="I53:I60">
    <x:cfRule type="expression" dxfId="1" priority="2">
      <x:formula>I53="Vulnérable"</x:formula>
    </x:cfRule>
  </x:conditionalFormatting>
  <x:conditionalFormatting sqref="I53:I60">
    <x:cfRule type="expression" dxfId="2" priority="3">
      <x:formula>I53="Neutre"</x:formula>
    </x:cfRule>
  </x:conditionalFormatting>
  <x:dataValidations count="18">
    <x:dataValidation type="list" allowBlank="1" sqref="B8">
      <x:formula1>Tailles!$A$2:$A$7</x:formula1>
    </x:dataValidation>
    <x:dataValidation type="list" allowBlank="1" sqref="B9">
      <x:formula1>Archetypes_Physiques_Majeurs!$A$2:$A$200</x:formula1>
    </x:dataValidation>
    <x:dataValidation type="list" allowBlank="1" sqref="B10">
      <x:formula1>Archetypes_Mentaux_Majeurs!$A$2:$A$200</x:formula1>
    </x:dataValidation>
    <x:dataValidation type="list" allowBlank="1" sqref="B12">
      <x:formula1>Profils!$A$2:$A$5</x:formula1>
    </x:dataValidation>
    <x:dataValidation type="list" allowBlank="1" sqref="A34:A37">
      <x:formula1>Sorts!$A$2:$A$23</x:formula1>
    </x:dataValidation>
    <x:dataValidation type="list" allowBlank="1" sqref="B19:B21">
      <x:formula1>"CAC,Distance,Sort"</x:formula1>
    </x:dataValidation>
    <x:dataValidation type="list" allowBlank="1" sqref="B13">
      <x:formula1>Armures!$A$2:$A$7</x:formula1>
    </x:dataValidation>
    <x:dataValidation type="list" allowBlank="1" sqref="A33">
      <x:formula1>Listes_Familles!$X:$X</x:formula1>
    </x:dataValidation>
    <x:dataValidation type="list" allowBlank="1" sqref="E53:E63">
      <x:formula1>"Oui"</x:formula1>
    </x:dataValidation>
    <x:dataValidation type="list" allowBlank="1" sqref="B14">
      <x:formula1>Qualite_Equipement!$A$2:$A$8</x:formula1>
    </x:dataValidation>
    <x:dataValidation type="list" allowBlank="1" sqref="A25:A29">
      <x:formula1>Listes_Familles!$V:$V</x:formula1>
    </x:dataValidation>
    <x:dataValidation type="list" allowBlank="1" sqref="B6">
      <x:formula1>Listes_Familles!$A$2:$A$18</x:formula1>
    </x:dataValidation>
    <x:dataValidation type="decimal" operator="greaterThanOrEqual" allowBlank="1" sqref="D53:D63">
      <x:formula1>-10.0</x:formula1>
    </x:dataValidation>
    <x:dataValidation type="list" allowBlank="1" sqref="B11">
      <x:formula1>Archetypes_Mineurs!$A$2:$A$200</x:formula1>
    </x:dataValidation>
    <x:dataValidation type="list" allowBlank="1" sqref="B7">
      <x:formula1>Listes_Familles!$U$2:$U$9</x:formula1>
    </x:dataValidation>
    <x:dataValidation type="list" allowBlank="1" sqref="C19:C21">
      <x:formula1>"d4,d6,d8,d10,d12"</x:formula1>
    </x:dataValidation>
    <x:dataValidation type="list" allowBlank="1" sqref="A40:A44">
      <x:formula1>Listes_Familles!$W:$W</x:formula1>
    </x:dataValidation>
    <x:dataValidation type="list" allowBlank="1" sqref="B5">
      <x:formula1>Niveaux_NC!$A$2:$A$22</x:formula1>
    </x:dataValidation>
  </x:dataValidations>
  <x:pageMargins left="0.7" right="0.7" top="0.75" bottom="0.75" header="0.3" footer="0.3"/>
</x:worksheet>
</file>

<file path=xl/worksheets/sheet2.xml><?xml version="1.0" encoding="utf-8"?>
<x:worksheet xmlns:x="http://schemas.openxmlformats.org/spreadsheetml/2006/main">
  <x:sheetFormatPr defaultColWidth="12.630000114440918" defaultRowHeight="15"/>
  <x:cols>
    <x:col min="1" max="1" width="19.6299991607666" customWidth="1"/>
    <x:col min="2" max="2" width="70" customWidth="1"/>
    <x:col min="3" max="18" width="9" customWidth="1"/>
  </x:cols>
  <x:sheetData>
    <x:row r="1" ht="14.25" customHeight="1">
      <x:c r="A1" s="3" t="s">
        <x:v>89</x:v>
      </x:c>
    </x:row>
    <x:row r="2" ht="14.25" customHeight="1">
      <x:c r="A2" s="5" t="s">
        <x:v>1</x:v>
      </x:c>
      <x:c r="B2" s="5" t="s">
        <x:v>90</x:v>
      </x:c>
    </x:row>
    <x:row r="3" ht="14.25" customHeight="1">
      <x:c r="A3" s="7" t="s">
        <x:v>91</x:v>
      </x:c>
      <x:c r="B3" s="15" t="str">
        <x:f>SUBSTITUTE(IF(Createur!$B$4="","Créature sans nom",Createur!$B$4),CHAR(34),"'")</x:f>
        <x:v>Cultiste Rabatteur</x:v>
      </x:c>
    </x:row>
    <x:row r="4" ht="14.25" customHeight="1">
      <x:c r="A4" s="7" t="s">
        <x:v>9</x:v>
      </x:c>
      <x:c r="B4" s="15" t="n">
        <x:f>IFERROR(VALUE(Createur!$B$5),0)</x:f>
        <x:v>3</x:v>
      </x:c>
    </x:row>
    <x:row r="5" ht="14.25" customHeight="1">
      <x:c r="A5" s="7" t="s">
        <x:v>12</x:v>
      </x:c>
      <x:c r="B5" s="15" t="str">
        <x:f>IF(OR(Createur!$B$7="",Createur!$B$7="Aucune"),Createur!$B$6,Createur!$B$7)</x:f>
        <x:v>Démon</x:v>
      </x:c>
    </x:row>
    <x:row r="6" ht="14.25" customHeight="1">
      <x:c r="A6" s="7" t="s">
        <x:v>92</x:v>
      </x:c>
      <x:c r="B6" s="15" t="n">
        <x:f>IFERROR(VLOOKUP($B$5,Familles!$A$2:$AJ$200,2,FALSE),"")</x:f>
        <x:v>1004</x:v>
      </x:c>
    </x:row>
    <x:row r="7" ht="14.25" customHeight="1">
      <x:c r="A7" s="7" t="s">
        <x:v>93</x:v>
      </x:c>
      <x:c r="B7" s="15" t="str">
        <x:f>IFERROR(VLOOKUP($B$5,Familles!$A$2:$AJ$200,3,FALSE),"")</x:f>
        <x:v>fiend</x:v>
      </x:c>
    </x:row>
    <x:row r="8" ht="14.25" customHeight="1">
      <x:c r="A8" s="7" t="s">
        <x:v>94</x:v>
      </x:c>
      <x:c r="B8" s="15" t="str">
        <x:f>IFERROR(VLOOKUP($B$5,Familles!$A$2:$AJ$200,4,FALSE),"")</x:f>
        <x:v>Démon</x:v>
      </x:c>
    </x:row>
    <x:row r="9" ht="14.25" customHeight="1">
      <x:c r="A9" s="7" t="s">
        <x:v>95</x:v>
      </x:c>
      <x:c r="B9" s="15" t="str">
        <x:f>IFERROR(VLOOKUP(Createur!$B$8,Tailles!$A$2:$K$7,2,FALSE),"medium")</x:f>
        <x:v>medium</x:v>
      </x:c>
    </x:row>
    <x:row r="10" ht="14.25" customHeight="1">
      <x:c r="A10" s="7" t="s">
        <x:v>96</x:v>
      </x:c>
      <x:c r="B10" s="15" t="str">
        <x:f>IFERROR(VLOOKUP(Createur!$B$8,Tailles!$A$2:$K$7,3,FALSE),"Moyen")</x:f>
        <x:v>Moyen</x:v>
      </x:c>
    </x:row>
    <x:row r="11" ht="14.25" customHeight="1">
      <x:c r="A11" s="7" t="s">
        <x:v>97</x:v>
      </x:c>
      <x:c r="B11" s="15" t="str">
        <x:f>IFERROR(VLOOKUP(Createur!$B$12,Profils!$A$2:$L$5,2,FALSE),"standard")</x:f>
        <x:v>standard</x:v>
      </x:c>
    </x:row>
    <x:row r="12" ht="14.25" customHeight="1">
      <x:c r="A12" s="7" t="s">
        <x:v>98</x:v>
      </x:c>
      <x:c r="B12" s="15" t="str">
        <x:f>IFERROR(VLOOKUP(Createur!$B$12,Profils!$A$2:$L$5,3,FALSE),"Standard")</x:f>
        <x:v>Standard</x:v>
      </x:c>
    </x:row>
    <x:row r="13" ht="14.25" customHeight="1">
      <x:c r="A13" s="7" t="s">
        <x:v>7</x:v>
      </x:c>
      <x:c r="B13" s="15" t="n">
        <x:f>ROUND((IFERROR(VLOOKUP(Createur!$B$9,Archetypes_Physiques_Majeurs!$A$2:$P$200,3,FALSE),0)+IFERROR(VLOOKUP(Createur!$B$10,Archetypes_Mentaux_Majeurs!$A$2:$P$200,3,FALSE),0)+IFERROR(VLOOKUP(Createur!$B$11,Archetypes_Mineurs!$A$2:$P$200,3,FALSE),0)+IFERROR(VLOOKUP($B$5,Familles!$A$2:$AJ$200,5,FALSE),0)+IFERROR(VLOOKUP(Createur!$B$8,Tailles!$A$2:$K$7,4,FALSE),0))*$B$19,0)</x:f>
        <x:v>4</x:v>
      </x:c>
    </x:row>
    <x:row r="14" ht="14.25" customHeight="1">
      <x:c r="A14" s="7" t="s">
        <x:v>10</x:v>
      </x:c>
      <x:c r="B14" s="15" t="n">
        <x:f>ROUND((IFERROR(VLOOKUP(Createur!$B$9,Archetypes_Physiques_Majeurs!$A$2:$P$200,4,FALSE),0)+IFERROR(VLOOKUP(Createur!$B$10,Archetypes_Mentaux_Majeurs!$A$2:$P$200,4,FALSE),0)+IFERROR(VLOOKUP(Createur!$B$11,Archetypes_Mineurs!$A$2:$P$200,4,FALSE),0)+IFERROR(VLOOKUP($B$5,Familles!$A$2:$AJ$200,6,FALSE),0)+IFERROR(VLOOKUP(Createur!$B$8,Tailles!$A$2:$K$7,5,FALSE),0))*$B$19,0)</x:f>
        <x:v>1</x:v>
      </x:c>
    </x:row>
    <x:row r="15" ht="14.25" customHeight="1">
      <x:c r="A15" s="7" t="s">
        <x:v>14</x:v>
      </x:c>
      <x:c r="B15" s="15" t="n">
        <x:f>ROUND((IFERROR(VLOOKUP(Createur!$B$9,Archetypes_Physiques_Majeurs!$A$2:$P$200,5,FALSE),0)+IFERROR(VLOOKUP(Createur!$B$10,Archetypes_Mentaux_Majeurs!$A$2:$P$200,5,FALSE),0)+IFERROR(VLOOKUP(Createur!$B$11,Archetypes_Mineurs!$A$2:$P$200,5,FALSE),0)+IFERROR(VLOOKUP($B$5,Familles!$A$2:$AJ$200,7,FALSE),0)+IFERROR(VLOOKUP(Createur!$B$8,Tailles!$A$2:$K$7,6,FALSE),0))*$B$19,0)</x:f>
        <x:v>2</x:v>
      </x:c>
    </x:row>
    <x:row r="16" ht="14.25" customHeight="1">
      <x:c r="A16" s="7" t="s">
        <x:v>17</x:v>
      </x:c>
      <x:c r="B16" s="15" t="n">
        <x:f>ROUND((IFERROR(VLOOKUP(Createur!$B$9,Archetypes_Physiques_Majeurs!$A$2:$P$200,6,FALSE),0)+IFERROR(VLOOKUP(Createur!$B$10,Archetypes_Mentaux_Majeurs!$A$2:$P$200,6,FALSE),0)+IFERROR(VLOOKUP(Createur!$B$11,Archetypes_Mineurs!$A$2:$P$200,6,FALSE),0)+IFERROR(VLOOKUP($B$5,Familles!$A$2:$AJ$200,8,FALSE),0))*$B$19,0)</x:f>
        <x:v>0</x:v>
      </x:c>
    </x:row>
    <x:row r="17" ht="14.25" customHeight="1">
      <x:c r="A17" s="7" t="s">
        <x:v>21</x:v>
      </x:c>
      <x:c r="B17" s="15" t="n">
        <x:f>ROUND((IFERROR(VLOOKUP(Createur!$B$9,Archetypes_Physiques_Majeurs!$A$2:$P$200,7,FALSE),0)+IFERROR(VLOOKUP(Createur!$B$10,Archetypes_Mentaux_Majeurs!$A$2:$P$200,7,FALSE),0)+IFERROR(VLOOKUP(Createur!$B$11,Archetypes_Mineurs!$A$2:$P$200,7,FALSE),0)+IFERROR(VLOOKUP($B$5,Familles!$A$2:$AJ$200,9,FALSE),0))*$B$19,0)</x:f>
        <x:v>2</x:v>
      </x:c>
    </x:row>
    <x:row r="18" ht="14.25" customHeight="1">
      <x:c r="A18" s="7" t="s">
        <x:v>25</x:v>
      </x:c>
      <x:c r="B18" s="15" t="n">
        <x:f>ROUND((IFERROR(VLOOKUP(Createur!$B$9,Archetypes_Physiques_Majeurs!$A$2:$P$200,8,FALSE),0)+IFERROR(VLOOKUP(Createur!$B$10,Archetypes_Mentaux_Majeurs!$A$2:$P$200,8,FALSE),0)+IFERROR(VLOOKUP(Createur!$B$11,Archetypes_Mineurs!$A$2:$P$200,8,FALSE),0)+IFERROR(VLOOKUP($B$5,Familles!$A$2:$AJ$200,10,FALSE),0))*$B$19,0)</x:f>
        <x:v>2</x:v>
      </x:c>
    </x:row>
    <x:row r="19" ht="14.25" customHeight="1">
      <x:c r="A19" s="7"/>
      <x:c r="B19" s="15" t="n">
        <x:f>MIN(1.75,MAX(1,1+0.75*MIN(20,MAX(0,$B$4))/20))</x:f>
        <x:v>1.1125</x:v>
      </x:c>
    </x:row>
    <x:row r="20" ht="14.25" customHeight="1">
      <x:c r="A20" s="7" t="s">
        <x:v>99</x:v>
      </x:c>
      <x:c r="B20" s="15" t="n">
        <x:f>MAX(12,MIN(42,ROUND(
12+$B$4
+ROUND((
$B$14
+IFERROR(VLOOKUP(Createur!$B$9,Archetypes_Physiques_Majeurs!$A$2:$P$200,9,FALSE),0)
+IFERROR(VLOOKUP(Createur!$B$10,Archetypes_Mentaux_Majeurs!$A$2:$P$200,9,FALSE),0)
+IFERROR(VLOOKUP(Createur!$B$11,Archetypes_Mineurs!$A$2:$P$200,9,FALSE),0)
+IFERROR(VLOOKUP($B$5,Familles!$A$2:$AJ$200,11,FALSE),0)
+IFERROR(VLOOKUP(Createur!$B$8,Tailles!$A$2:$K$7,7,FALSE),0)
+IFERROR(VLOOKUP(Createur!$B$12,Profils!$A$2:$L$5,7,FALSE),0)
)*MIN(1,MAX(0.2,$B$4/20)),0)
+IFERROR(VLOOKUP(Createur!$B$13,Armures!$A$2:$C$7,2,FALSE),0),0)))</x:f>
        <x:v>17</x:v>
      </x:c>
    </x:row>
    <x:row r="21" ht="14.25" customHeight="1">
      <x:c r="A21" s="7" t="s">
        <x:v>34</x:v>
      </x:c>
      <x:c r="B21" s="15" t="n">
        <x:f>MAX(1,ROUND((4+0.6*$B$4^2)*MIN(2,MAX(0.75,1+0.2*$B$15))*MIN(2.25,MAX(0.4,IFERROR(VLOOKUP(Createur!$B$9,Archetypes_Physiques_Majeurs!$A$2:$P$200,10,FALSE),1)*IFERROR(VLOOKUP(Createur!$B$10,Archetypes_Mentaux_Majeurs!$A$2:$P$200,10,FALSE),1)*IFERROR(VLOOKUP(Createur!$B$11,Archetypes_Mineurs!$A$2:$P$200,10,FALSE),1)*IFERROR(VLOOKUP($B$5,Familles!$A$2:$AJ$200,12,FALSE),1)*IFERROR(VLOOKUP(Createur!$B$8,Tailles!$A$2:$K$7,9,FALSE),1)*IFERROR(VLOOKUP(Createur!$B$12,Profils!$A$2:$L$5,4,FALSE),1))),0))</x:f>
        <x:v>18</x:v>
      </x:c>
    </x:row>
    <x:row r="22" ht="14.25" customHeight="1">
      <x:c r="A22" s="7" t="s">
        <x:v>100</x:v>
      </x:c>
      <x:c r="B22" s="15" t="n">
        <x:f>MAX(1,ROUND(10+$B$14+IFERROR(VLOOKUP(Createur!$B$9,Archetypes_Physiques_Majeurs!$A$2:$P$200,13,FALSE),0)+IFERROR(VLOOKUP(Createur!$B$10,Archetypes_Mentaux_Majeurs!$A$2:$P$200,13,FALSE),0)+IFERROR(VLOOKUP(Createur!$B$11,Archetypes_Mineurs!$A$2:$P$200,13,FALSE),0)+IFERROR(VLOOKUP($B$5,Familles!$A$2:$AJ$200,13,FALSE),0)+IFERROR(VLOOKUP(Createur!$B$8,Tailles!$A$2:$K$7,11,FALSE),0)+IFERROR(VLOOKUP(Createur!$B$12,Profils!$A$2:$L$5,8,FALSE),0)+INT($B$4/5)-ROUND(IFERROR(VLOOKUP(Createur!$B$13,Armures!$A$2:$C$7,2,FALSE),0)/2,0),0))</x:f>
        <x:v>10</x:v>
      </x:c>
    </x:row>
    <x:row r="23" ht="14.25" customHeight="1">
      <x:c r="A23" s="7"/>
    </x:row>
    <x:row r="24" ht="14.25" customHeight="1">
      <x:c r="A24" s="7" t="s">
        <x:v>101</x:v>
      </x:c>
      <x:c r="B24" s="15" t="n">
        <x:f>IFERROR(VLOOKUP(Createur!$B$9,Archetypes_Physiques_Majeurs!$A$2:$P$200,11,FALSE),0)+IFERROR(VLOOKUP(Createur!$B$10,Archetypes_Mentaux_Majeurs!$A$2:$P$200,11,FALSE),0)+IFERROR(VLOOKUP(Createur!$B$11,Archetypes_Mineurs!$A$2:$P$200,11,FALSE),0)+IFERROR(VLOOKUP(Createur!$B$12,Profils!$A$2:$L$5,6,FALSE),0)+IFERROR(VLOOKUP(Createur!$B$8,Tailles!$A$2:$K$7,8,FALSE),0)</x:f>
        <x:v>0</x:v>
      </x:c>
    </x:row>
    <x:row r="25" ht="14.25" customHeight="1">
      <x:c r="A25" s="7" t="s">
        <x:v>102</x:v>
      </x:c>
      <x:c r="B25" s="15" t="n">
        <x:f>IFERROR(VLOOKUP(Createur!$B$9,Archetypes_Physiques_Majeurs!$A$2:$P$200,12,FALSE),0)+IFERROR(VLOOKUP(Createur!$B$10,Archetypes_Mentaux_Majeurs!$A$2:$P$200,12,FALSE),0)+IFERROR(VLOOKUP(Createur!$B$11,Archetypes_Mineurs!$A$2:$P$200,12,FALSE),0)+IFERROR(VLOOKUP(Createur!$B$8,Tailles!$A$2:$K$7,10,FALSE),0)</x:f>
        <x:v>0</x:v>
      </x:c>
    </x:row>
    <x:row r="26" ht="14.25" customHeight="1">
      <x:c r="A26" s="7" t="s">
        <x:v>103</x:v>
      </x:c>
      <x:c r="B26" s="15" t="n">
        <x:f>IFERROR(VLOOKUP(Createur!$B$12,Profils!$A$2:$L$5,5,FALSE),1)</x:f>
        <x:v>1</x:v>
      </x:c>
    </x:row>
    <x:row r="27" ht="14.25" customHeight="1">
      <x:c r="A27" s="7" t="s">
        <x:v>104</x:v>
      </x:c>
      <x:c r="B27" s="15" t="n">
        <x:f>MIN(0.8,MAX(0.6,ROUND(AVERAGE(IFERROR(VLOOKUP(Createur!$B$9,Archetypes_Physiques_Majeurs!$A$2:$P$200,14,FALSE),0.65),IFERROR(VLOOKUP(Createur!$B$10,Archetypes_Mentaux_Majeurs!$A$2:$P$200,14,FALSE),0.65),IFERROR(VLOOKUP(Createur!$B$11,Archetypes_Mineurs!$A$2:$P$200,14,FALSE),0.65),IFERROR(VLOOKUP(Createur!$B$12,Profils!$A$2:$L$5,11,FALSE),0.65)),2)))</x:f>
        <x:v>0.66</x:v>
      </x:c>
    </x:row>
    <x:row r="28" ht="14.25" customHeight="1">
      <x:c r="A28" s="7" t="s">
        <x:v>105</x:v>
      </x:c>
      <x:c r="B28" s="15" t="n">
        <x:f>IFERROR(VLOOKUP(Createur!$B$12,Profils!$A$2:$L$5,10,FALSE),0)</x:f>
        <x:v>0</x:v>
      </x:c>
    </x:row>
    <x:row r="29" ht="14.25" customHeight="1">
      <x:c r="A29" s="74" t="s">
        <x:v>106</x:v>
      </x:c>
      <x:c r="B29" s="4" t="n">
        <x:f>IFERROR(VLOOKUP($B$5,Familles!$A$2:$AL$200,14,FALSE),1)</x:f>
        <x:v>1.5</x:v>
      </x:c>
      <x:c r="C29" s="76" t="s">
        <x:v>107</x:v>
      </x:c>
      <x:c r="D29" s="40" t="n">
        <x:f>MAX(1,ROUND(25*POWER(1.45,$B$4),0))</x:f>
        <x:v>76</x:v>
      </x:c>
      <x:c r="E29" s="4"/>
      <x:c r="F29" s="4"/>
    </x:row>
    <x:row r="30" ht="14.25" customHeight="1">
      <x:c r="A30" s="74" t="s">
        <x:v>108</x:v>
      </x:c>
      <x:c r="B30" s="4" t="n">
        <x:f>SUM(F60:F64)</x:f>
        <x:v>0</x:v>
      </x:c>
      <x:c r="C30" s="76" t="s">
        <x:v>109</x:v>
      </x:c>
      <x:c r="D30" s="77" t="n">
        <x:f>IFERROR(VLOOKUP(Createur!$B$9,Archetypes_Physiques_Majeurs!$A$2:$P$200,16,FALSE),1)</x:f>
        <x:v>1</x:v>
      </x:c>
      <x:c r="E30" s="4"/>
      <x:c r="F30" s="4"/>
    </x:row>
    <x:row r="31" ht="14.25" customHeight="1">
      <x:c r="A31" s="74" t="s">
        <x:v>110</x:v>
      </x:c>
      <x:c r="B31" s="4" t="n">
        <x:f>SUM(F70:F74)</x:f>
        <x:v>0</x:v>
      </x:c>
      <x:c r="C31" s="76" t="s">
        <x:v>111</x:v>
      </x:c>
      <x:c r="D31" s="77" t="n">
        <x:f>IFERROR(VLOOKUP(Createur!$B$10,Archetypes_Mentaux_Majeurs!$A$2:$P$200,16,FALSE),1)*IFERROR(VLOOKUP(Createur!$B$11,Archetypes_Mineurs!$A$2:$P$200,16,FALSE),1)</x:f>
        <x:v>1.1</x:v>
      </x:c>
      <x:c r="E31" s="4"/>
      <x:c r="F31" s="4"/>
    </x:row>
    <x:row r="32" ht="14.25" customHeight="1">
      <x:c r="A32" s="74" t="s">
        <x:v>112</x:v>
      </x:c>
      <x:c r="B32" s="4" t="n">
        <x:f>SUM(F80:F83)</x:f>
        <x:v>0</x:v>
      </x:c>
      <x:c r="C32" s="76" t="s">
        <x:v>113</x:v>
      </x:c>
      <x:c r="D32" s="77" t="n">
        <x:f>IFERROR(VLOOKUP(Createur!$B$12,Profils!$A$2:$M$5,13,FALSE),1)</x:f>
        <x:v>1</x:v>
      </x:c>
      <x:c r="E32" s="4"/>
      <x:c r="F32" s="4"/>
    </x:row>
    <x:row r="33" ht="14.25" customHeight="1">
      <x:c r="A33" s="74" t="s">
        <x:v>8</x:v>
      </x:c>
      <x:c r="B33" s="4" t="n">
        <x:f>MAX(0,ROUND($B$4+IFERROR(VLOOKUP(Createur!$B$12,Profils!$A$2:$M$5,9,FALSE),0)+$B$30+$B$31+$B$32+($B$20-12)/4+$B$21/25,0))</x:f>
        <x:v>5</x:v>
      </x:c>
      <x:c r="C33" s="76" t="s">
        <x:v>114</x:v>
      </x:c>
      <x:c r="D33" s="77" t="n">
        <x:f>IFERROR(VLOOKUP(Createur!$B$14,Qualite_Equipement!$A$2:$D$8,2,FALSE),1)</x:f>
        <x:v>1.25</x:v>
      </x:c>
      <x:c r="E33" s="4"/>
      <x:c r="F33" s="4"/>
    </x:row>
    <x:row r="34" ht="14.25" customHeight="1">
      <x:c r="A34" s="74" t="s">
        <x:v>115</x:v>
      </x:c>
      <x:c r="B34" s="4" t="str">
        <x:f>IF($B$33&lt;=$B$4+1,"Stable",IF($B$33&lt;=$B$4+3,"Dangereux","Très dangereux"))</x:f>
        <x:v>Dangereux</x:v>
      </x:c>
      <x:c r="C34" s="76" t="s">
        <x:v>116</x:v>
      </x:c>
      <x:c r="D34" s="40" t="n">
        <x:f>MAX(1,ROUND($D$29*$B$29*$D$30*$D$31*$D$32*$D$33,0))</x:f>
        <x:v>157</x:v>
      </x:c>
      <x:c r="E34" s="4"/>
      <x:c r="F34" s="4"/>
    </x:row>
    <x:row r="35" ht="14.25" customHeight="1">
      <x:c r="A35" s="83" t="s">
        <x:v>15</x:v>
      </x:c>
      <x:c r="B35" s="4" t="str">
        <x:f>$D$36&amp;"d"&amp;$F$36&amp;IF($D$37&gt;0," + "&amp;$D$37,"")&amp;" "&amp;$D$35</x:f>
        <x:v>2d10 + 5 PA</x:v>
      </x:c>
      <x:c r="C35" s="83" t="s">
        <x:v>117</x:v>
      </x:c>
      <x:c r="D35" s="83" t="str">
        <x:f>IF($D$34&gt;=100,"PA","PC")</x:f>
        <x:v>PA</x:v>
      </x:c>
      <x:c r="E35" s="83" t="s">
        <x:v>118</x:v>
      </x:c>
      <x:c r="F35" s="40" t="n">
        <x:f>IF($D$35="PA",ROUND($D$34/10,0),$D$34)</x:f>
        <x:v>16</x:v>
      </x:c>
    </x:row>
    <x:row r="36" ht="14.25" customHeight="1">
      <x:c r="A36" s="83" t="s">
        <x:v>42</x:v>
      </x:c>
      <x:c r="B36" s="4" t="str">
        <x:f>"Vous récupérez l'équivalent de "&amp;$B$35&amp;" "&amp;$B$39&amp;" : "&amp;$B$38&amp;"."</x:f>
        <x:v>Vous récupérez l'équivalent de 2d10 + 5 PA en prélevant avec prudence les parties encore instables du corps : de l'ichor, des cornes, des crocs ou des fragments brûlés.</x:v>
      </x:c>
      <x:c r="C36" s="83" t="s">
        <x:v>119</x:v>
      </x:c>
      <x:c r="D36" s="83" t="n">
        <x:f>MAX(1,ROUND(($F$35*0.7)/(($F$36+1)/2),0))</x:f>
        <x:v>2</x:v>
      </x:c>
      <x:c r="E36" s="83" t="s">
        <x:v>45</x:v>
      </x:c>
      <x:c r="F36" s="4" t="n">
        <x:f>IF(ROUND($F$35*0.7,0)&gt;=80,100,10)</x:f>
        <x:v>10</x:v>
      </x:c>
    </x:row>
    <x:row r="37" ht="14.25" customHeight="1">
      <x:c r="A37" s="83" t="s">
        <x:v>120</x:v>
      </x:c>
      <x:c r="B37" s="4" t="str">
        <x:f>"&lt;p&gt;"&amp;SUBSTITUTE($B$42,CHAR(10),"&lt;br /&gt;")&amp;"&lt;/p&gt;"</x:f>
        <x:v>&lt;p&gt;[LOOT]&lt;br /&gt;TYPE: CREATURE&lt;br /&gt;NAME: Cultiste Rabatteur&lt;br /&gt;VALUE: [[2d10 + 5]] PA&lt;br /&gt;FAMILY: Démon&lt;br /&gt;TIER: 2-4&lt;br /&gt;RARITY: Utile&lt;br /&gt;ACTION: en prélevant avec prudence les parties encore instables du corps&lt;br /&gt;RESOURCES: de l'ichor, des cornes, des crocs ou des fragments brûlés&lt;br /&gt;[/LOOT]&lt;/p&gt;</x:v>
      </x:c>
      <x:c r="C37" s="83" t="s">
        <x:v>121</x:v>
      </x:c>
      <x:c r="D37" s="83" t="n">
        <x:f>MAX(0,ROUND($F$35-$D$36*(($F$36+1)/2),0))</x:f>
        <x:v>5</x:v>
      </x:c>
      <x:c r="E37" s="83"/>
      <x:c r="F37" s="4"/>
    </x:row>
    <x:row r="38" ht="14.25" customHeight="1">
      <x:c r="A38" s="85" t="s">
        <x:v>122</x:v>
      </x:c>
      <x:c r="B38" s="4" t="str">
        <x:f>IFERROR(VLOOKUP($B$5&amp;"|"&amp;IF($B$4&lt;=1,"0-1",IF($B$4&lt;=4,"2-4",IF($B$4&lt;=7,"5-7",IF($B$4&lt;=10,"8-10","11+")))),Butin_NC!$A$2:$H$76,7,FALSE),IFERROR(VLOOKUP(Createur!$B$6&amp;"|"&amp;IF($B$4&lt;=1,"0-1",IF($B$4&lt;=4,"2-4",IF($B$4&lt;=7,"5-7",IF($B$4&lt;=10,"8-10","11+")))),Butin_NC!$A$2:$H$76,7,FALSE),"ressources diverses"))</x:f>
        <x:v>de l'ichor, des cornes, des crocs ou des fragments brûlés</x:v>
      </x:c>
      <x:c r="D38" s="92" t="s">
        <x:v>91</x:v>
      </x:c>
      <x:c r="E38" s="92" t="s">
        <x:v>44</x:v>
      </x:c>
      <x:c r="F38" s="92" t="s">
        <x:v>123</x:v>
      </x:c>
      <x:c r="G38" s="92" t="s">
        <x:v>124</x:v>
      </x:c>
      <x:c r="H38" s="92" t="s">
        <x:v>125</x:v>
      </x:c>
      <x:c r="I38" s="92" t="s">
        <x:v>126</x:v>
      </x:c>
      <x:c r="J38" s="92" t="s">
        <x:v>45</x:v>
      </x:c>
      <x:c r="K38" s="92" t="s">
        <x:v>127</x:v>
      </x:c>
      <x:c r="L38" s="92" t="s">
        <x:v>128</x:v>
      </x:c>
      <x:c r="M38" s="92" t="s">
        <x:v>119</x:v>
      </x:c>
      <x:c r="N38" s="92" t="s">
        <x:v>129</x:v>
      </x:c>
      <x:c r="O38" s="92" t="s">
        <x:v>130</x:v>
      </x:c>
      <x:c r="P38" s="92" t="s">
        <x:v>131</x:v>
      </x:c>
      <x:c r="Q38" s="92" t="s">
        <x:v>132</x:v>
      </x:c>
      <x:c r="R38" s="15" t="s">
        <x:v>133</x:v>
      </x:c>
    </x:row>
    <x:row r="39" ht="14.25" customHeight="1">
      <x:c r="A39" s="85" t="s">
        <x:v>134</x:v>
      </x:c>
      <x:c r="B39" s="4" t="str">
        <x:f>IFERROR(VLOOKUP($B$5&amp;"|"&amp;IF($B$4&lt;=1,"0-1",IF($B$4&lt;=4,"2-4",IF($B$4&lt;=7,"5-7",IF($B$4&lt;=10,"8-10","11+")))),Butin_NC!$A$2:$H$76,8,FALSE),IFERROR(VLOOKUP(Createur!$B$6&amp;"|"&amp;IF($B$4&lt;=1,"0-1",IF($B$4&lt;=4,"2-4",IF($B$4&lt;=7,"5-7",IF($B$4&lt;=10,"8-10","11+")))),Butin_NC!$A$2:$H$76,8,FALSE),"en inspectant les restes de la créature"))</x:f>
        <x:v>en prélevant avec prudence les parties encore instables du corps</x:v>
      </x:c>
      <x:c r="D39" s="15" t="str">
        <x:f>SUBSTITUTE(Createur!A19,CHAR(34),"'")</x:f>
        <x:v>Crochet</x:v>
      </x:c>
      <x:c r="E39" s="15" t="str">
        <x:f>Createur!B19</x:f>
        <x:v>CAC</x:v>
      </x:c>
      <x:c r="F39" s="15" t="str">
        <x:f t="shared" ref="F39:F41" si="1">IF(E39="CAC","FOR",IF(E39="Distance","DEX","INT"))</x:f>
        <x:v>FOR</x:v>
      </x:c>
      <x:c r="G39" s="15" t="n">
        <x:f t="shared" ref="G39:G41" si="2">IF(E39="CAC",$B$13,IF(E39="Distance",$B$14,$B$16))</x:f>
        <x:v>4</x:v>
      </x:c>
      <x:c r="H39" s="15" t="n">
        <x:f>IF(D39="","",MAX(-5,MIN(17,G39+ROUND(7*MIN(20,MAX(0,$B$4))/20,0)+$B$24+IFERROR(Createur!E19,0))))</x:f>
        <x:v>5</x:v>
      </x:c>
      <x:c r="I39" s="15" t="n">
        <x:f>IF(D39="","",MAX(1,ROUND((1+$B$4*0.3+G39*0.8+($B$25+IFERROR(Createur!F19,0))*0.65)*$B$26,0)))</x:f>
        <x:v>5</x:v>
      </x:c>
      <x:c r="J39" s="15" t="n">
        <x:f>IFERROR(VALUE(SUBSTITUTE(Createur!C19,"d","")),6)</x:f>
        <x:v>4</x:v>
      </x:c>
      <x:c r="K39" s="15" t="n">
        <x:f t="shared" ref="K39:K41" si="3">(J39+1)/2</x:f>
        <x:v>2.5</x:v>
      </x:c>
      <x:c r="L39" s="15" t="n">
        <x:f t="shared" ref="L39:L41" si="4">$B$27</x:f>
        <x:v>0.66</x:v>
      </x:c>
      <x:c r="M39" s="15" t="n">
        <x:f t="shared" ref="M39:M41" si="5">IF(D39="","",MAX(1,MIN(4,ROUND(I39*L39/K39,0))))</x:f>
        <x:v>1</x:v>
      </x:c>
      <x:c r="N39" s="15" t="n">
        <x:f t="shared" ref="N39:N41" si="6">IF(D39="","",MAX(-3,ROUND(I39-M39*K39,0)))</x:f>
        <x:v>3</x:v>
      </x:c>
      <x:c r="O39" s="15" t="str">
        <x:f t="shared" ref="O39:O41" si="7">IF(D39="","",IF(H39&gt;=0,"+"&amp;H39,H39))</x:f>
        <x:v>+5</x:v>
      </x:c>
      <x:c r="P39" s="15" t="str">
        <x:f>IF(D39="","",M39&amp;Createur!C19&amp;IF(N39&gt;0,"+"&amp;N39,IF(N39&lt;0,N39,"")))</x:f>
        <x:v>1d4+3</x:v>
      </x:c>
      <x:c r="Q39" s="15" t="str">
        <x:f>IF(D39="","","&lt;strong&gt;"&amp;D39&amp;IF(Createur!D19&lt;&gt;""," ("&amp;Createur!D19&amp;" mètres)","")&amp;"&lt;/strong&gt; "&amp;O39&amp;" &lt;strong&gt;DM&lt;/strong&gt; "&amp;P39&amp;IF(Createur!G19&lt;&gt;""," - "&amp;SUBSTITUTE(Createur!G19,CHAR(34),"'"),"")&amp;"&lt;br /&gt;")</x:f>
        <x:v>&lt;strong&gt;Crochet&lt;/strong&gt; +5 &lt;strong&gt;DM&lt;/strong&gt; 1d4+3&lt;br /&gt;</x:v>
      </x:c>
      <x:c r="R39" s="15" t="str">
        <x:f>IF(D39="","","{""name"":"""&amp;D39&amp;IF(Createur!D19&lt;&gt;""," ("&amp;Createur!D19&amp;" mètres)","")&amp;""",""test"":"""&amp;O39&amp;""",""dm"":"""&amp;P39&amp;""",""special"":"&amp;IF(Createur!G19&lt;&gt;"",""""&amp;SUBSTITUTE(Createur!G19,CHAR(34),"'")&amp;"""","null")&amp;",""reach"":"&amp;IF(Createur!D19&lt;&gt;"",""""&amp;Createur!D19&amp;"""","null")&amp;"}")</x:f>
        <x:v>{"name":"Crochet","test":"+5","dm":"1d4+3","special":null,"reach":null}</x:v>
      </x:c>
    </x:row>
    <x:row r="40" ht="14.25" customHeight="1">
      <x:c r="A40" s="85" t="s">
        <x:v>135</x:v>
      </x:c>
      <x:c r="B40" s="4" t="str">
        <x:f>IFERROR(VLOOKUP($B$5&amp;"|"&amp;IF($B$4&lt;=1,"0-1",IF($B$4&lt;=4,"2-4",IF($B$4&lt;=7,"5-7",IF($B$4&lt;=10,"8-10","11+")))),Butin_NC!$A$2:$H$76,6,FALSE),"Variable")</x:f>
        <x:v>Utile</x:v>
      </x:c>
      <x:c r="D40" s="15" t="str">
        <x:f>SUBSTITUTE(Createur!A20,CHAR(34),"'")</x:f>
        <x:v>Crochet a distance</x:v>
      </x:c>
      <x:c r="E40" s="15" t="str">
        <x:f>Createur!B20</x:f>
        <x:v>Distance</x:v>
      </x:c>
      <x:c r="F40" s="15" t="str">
        <x:f t="shared" si="1"/>
        <x:v>DEX</x:v>
      </x:c>
      <x:c r="G40" s="15">
        <x:f t="shared" si="2"/>
        <x:v>1</x:v>
      </x:c>
      <x:c r="H40" s="15" t="n">
        <x:f>IF(D40="","",MAX(-5,MIN(17,G40+ROUND(7*MIN(20,MAX(0,$B$4))/20,0)+$B$24+IFERROR(Createur!E20,0))))</x:f>
        <x:v>2</x:v>
      </x:c>
      <x:c r="I40" s="15" t="n">
        <x:f>IF(D40="","",MAX(1,ROUND((1+$B$4*0.3+G40*0.8+($B$25+IFERROR(Createur!F20,0))*0.65)*$B$26,0)))</x:f>
        <x:v>3</x:v>
      </x:c>
      <x:c r="J40" s="15" t="n">
        <x:f>IFERROR(VALUE(SUBSTITUTE(Createur!C20,"d","")),6)</x:f>
        <x:v>4</x:v>
      </x:c>
      <x:c r="K40" s="15">
        <x:f t="shared" si="3"/>
        <x:v>2.5</x:v>
      </x:c>
      <x:c r="L40" s="15">
        <x:f t="shared" si="4"/>
        <x:v>0.66</x:v>
      </x:c>
      <x:c r="M40" s="15">
        <x:f t="shared" si="5"/>
        <x:v>1</x:v>
      </x:c>
      <x:c r="N40" s="15">
        <x:f t="shared" si="6"/>
        <x:v>1</x:v>
      </x:c>
      <x:c r="O40" s="15" t="str">
        <x:f t="shared" si="7"/>
        <x:v>+2</x:v>
      </x:c>
      <x:c r="P40" s="15" t="str">
        <x:f>IF(D40="","",M40&amp;Createur!C20&amp;IF(N40&gt;0,"+"&amp;N40,IF(N40&lt;0,N40,"")))</x:f>
        <x:v>1d4+1</x:v>
      </x:c>
      <x:c r="Q40" s="15" t="str">
        <x:f>IF(D40="","","&lt;strong&gt;"&amp;D40&amp;IF(Createur!D20&lt;&gt;""," ("&amp;Createur!D20&amp;" mètres)","")&amp;"&lt;/strong&gt; "&amp;O40&amp;" &lt;strong&gt;DM&lt;/strong&gt; "&amp;P40&amp;IF(Createur!G20&lt;&gt;""," - "&amp;SUBSTITUTE(Createur!G20,CHAR(34),"'"),"")&amp;"&lt;br /&gt;")</x:f>
        <x:v>&lt;strong&gt;Crochet a distance&lt;/strong&gt; +2 &lt;strong&gt;DM&lt;/strong&gt; 1d4+1&lt;br /&gt;</x:v>
      </x:c>
      <x:c r="R40" s="15" t="str">
        <x:f>IF(D40="","","{""name"":"""&amp;D40&amp;IF(Createur!D20&lt;&gt;""," ("&amp;Createur!D20&amp;" mètres)","")&amp;""",""test"":"""&amp;O40&amp;""",""dm"":"""&amp;P40&amp;""",""special"":"&amp;IF(Createur!G20&lt;&gt;"",""""&amp;SUBSTITUTE(Createur!G20,CHAR(34),"'")&amp;"""","null")&amp;",""reach"":"&amp;IF(Createur!D20&lt;&gt;"",""""&amp;Createur!D20&amp;"""","null")&amp;"}")</x:f>
        <x:v>{"name":"Crochet a distance","test":"+2","dm":"1d4+1","special":null,"reach":null}</x:v>
      </x:c>
    </x:row>
    <x:row r="41" ht="14.25" customHeight="1">
      <x:c r="A41" s="101" t="s">
        <x:v>136</x:v>
      </x:c>
      <x:c r="B41" s="101" t="str">
        <x:f>IF($B$4&lt;=1,"0-1",IF($B$4&lt;=4,"2-4",IF($B$4&lt;=7,"5-7",IF($B$4&lt;=10,"8-10","11+"))))</x:f>
        <x:v>2-4</x:v>
      </x:c>
      <x:c r="D41" s="15" t="str">
        <x:f>SUBSTITUTE(Createur!A21,CHAR(34),"'")</x:f>
      </x:c>
      <x:c r="E41" s="15" t="n">
        <x:f>Createur!B21</x:f>
        <x:v>0</x:v>
      </x:c>
      <x:c r="F41" s="15" t="str">
        <x:f t="shared" si="1"/>
        <x:v>INT</x:v>
      </x:c>
      <x:c r="G41" s="15">
        <x:f t="shared" si="2"/>
        <x:v>0</x:v>
      </x:c>
      <x:c r="H41" s="15" t="str">
        <x:f>IF(D41="","",MAX(-5,MIN(17,G41+ROUND(7*MIN(20,MAX(0,$B$4))/20,0)+$B$24+IFERROR(Createur!E21,0))))</x:f>
      </x:c>
      <x:c r="I41" s="15" t="str">
        <x:f>IF(D41="","",MAX(1,ROUND((1+$B$4*0.3+G41*0.8+($B$25+IFERROR(Createur!F21,0))*0.65)*$B$26,0)))</x:f>
      </x:c>
      <x:c r="J41" s="15" t="n">
        <x:f>IFERROR(VALUE(SUBSTITUTE(Createur!C21,"d","")),6)</x:f>
        <x:v>0</x:v>
      </x:c>
      <x:c r="K41" s="15">
        <x:f t="shared" si="3"/>
        <x:v>0.5</x:v>
      </x:c>
      <x:c r="L41" s="15">
        <x:f t="shared" si="4"/>
        <x:v>0.66</x:v>
      </x:c>
      <x:c r="M41" s="15" t="str">
        <x:f t="shared" si="5"/>
      </x:c>
      <x:c r="N41" s="15" t="str">
        <x:f t="shared" si="6"/>
      </x:c>
      <x:c r="O41" s="15" t="str">
        <x:f t="shared" si="7"/>
      </x:c>
      <x:c r="P41" s="15" t="str">
        <x:f>IF(D41="","",M41&amp;Createur!C21&amp;IF(N41&gt;0,"+"&amp;N41,IF(N41&lt;0,N41,"")))</x:f>
      </x:c>
      <x:c r="Q41" s="15" t="str">
        <x:f>IF(D41="","","&lt;strong&gt;"&amp;D41&amp;IF(Createur!D21&lt;&gt;""," ("&amp;Createur!D21&amp;" mètres)","")&amp;"&lt;/strong&gt; "&amp;O41&amp;" &lt;strong&gt;DM&lt;/strong&gt; "&amp;P41&amp;IF(Createur!G21&lt;&gt;""," - "&amp;SUBSTITUTE(Createur!G21,CHAR(34),"'"),"")&amp;"&lt;br /&gt;")</x:f>
      </x:c>
      <x:c r="R41" s="15" t="str">
        <x:f>IF(D41="","","{""name"":"""&amp;D41&amp;IF(Createur!D21&lt;&gt;""," ("&amp;Createur!D21&amp;" mètres)","")&amp;""",""test"":"""&amp;O41&amp;""",""dm"":"""&amp;P41&amp;""",""special"":"&amp;IF(Createur!G21&lt;&gt;"",""""&amp;SUBSTITUTE(Createur!G21,CHAR(34),"'")&amp;"""","null")&amp;",""reach"":"&amp;IF(Createur!D21&lt;&gt;"",""""&amp;Createur!D21&amp;"""","null")&amp;"}")</x:f>
      </x:c>
    </x:row>
    <x:row r="42" ht="14.25" customHeight="1">
      <x:c r="A42" s="101" t="s">
        <x:v>137</x:v>
      </x:c>
      <x:c r="B42" s="101" t="str">
        <x:f>"[LOOT]"&amp;CHAR(10)&amp;"TYPE: CREATURE"&amp;CHAR(10)&amp;"NAME: "&amp;SUBSTITUTE($B$3,CHAR(34),"'")&amp;CHAR(10)&amp;"VALUE: [["&amp;TRIM(SUBSTITUTE($B$35," "&amp;$D$35,""))&amp;"]] "&amp;$D$35&amp;CHAR(10)&amp;"FAMILY: "&amp;SUBSTITUTE($B$5,CHAR(34),"'")&amp;CHAR(10)&amp;"TIER: "&amp;$B$41&amp;CHAR(10)&amp;"RARITY: "&amp;SUBSTITUTE($B$40,CHAR(34),"'")&amp;CHAR(10)&amp;"ACTION: "&amp;SUBSTITUTE($B$39,CHAR(34),"'")&amp;CHAR(10)&amp;"RESOURCES: "&amp;SUBSTITUTE($B$38,CHAR(34),"'")&amp;CHAR(10)&amp;"[/LOOT]"</x:f>
        <x:v>[LOOT]
TYPE: CREATURE
NAME: Cultiste Rabatteur
VALUE: [[2d10 + 5]] PA
FAMILY: Démon
TIER: 2-4
RARITY: Utile
ACTION: en prélevant avec prudence les parties encore instables du corps
RESOURCES: de l'ichor, des cornes, des crocs ou des fragments brûlés
[/LOOT]</x:v>
      </x:c>
    </x:row>
    <x:row r="43" ht="14.25" customHeight="1"/>
    <x:row r="44" ht="14.25" customHeight="1"/>
    <x:row r="45" ht="14.25" customHeight="1"/>
    <x:row r="46" ht="14.25" customHeight="1"/>
    <x:row r="47" ht="14.25" customHeight="1"/>
    <x:row r="48" ht="14.25" customHeight="1"/>
    <x:row r="49" ht="14.25" customHeight="1"/>
    <x:row r="50" ht="14.25" customHeight="1">
      <x:c r="A50" s="15" t="s">
        <x:v>138</x:v>
      </x:c>
      <x:c r="B50" s="15" t="str">
        <x:f>"&lt;p&gt;"&amp;Q39&amp;Q40&amp;Q41&amp;"&lt;/p&gt;"</x:f>
        <x:v>&lt;p&gt;&lt;strong&gt;Crochet&lt;/strong&gt; +5 &lt;strong&gt;DM&lt;/strong&gt; 1d4+3&lt;br /&gt;&lt;strong&gt;Crochet a distance&lt;/strong&gt; +2 &lt;strong&gt;DM&lt;/strong&gt; 1d4+1&lt;br /&gt;&lt;/p&gt;</x:v>
      </x:c>
    </x:row>
    <x:row r="51" ht="14.25" customHeight="1">
      <x:c r="A51" s="15" t="s">
        <x:v>139</x:v>
      </x:c>
      <x:c r="B51" s="15" t="str">
        <x:f>""&amp;IF(AND(FALSE,R39&lt;&gt;""),",","")&amp;IF(R39&lt;&gt;"",R39,"")&amp;IF(AND(OR(FALSE,R39&lt;&gt;""),R40&lt;&gt;""),",","")&amp;IF(R40&lt;&gt;"",R40,"")&amp;IF(AND(OR(OR(FALSE,R39&lt;&gt;""),R40&lt;&gt;""),R41&lt;&gt;""),",","")&amp;IF(R41&lt;&gt;"",R41,"")</x:f>
        <x:v>{"name":"Crochet","test":"+5","dm":"1d4+3","special":null,"reach":null},{"name":"Crochet a distance","test":"+2","dm":"1d4+1","special":null,"reach":null}</x:v>
      </x:c>
    </x:row>
    <x:row r="52" ht="14.25" customHeight="1">
      <x:c r="A52" s="15" t="s">
        <x:v>140</x:v>
      </x:c>
      <x:c r="B52" s="15" t="str">
        <x:f>"{""value"":"""&amp;SUBSTITUTE(B50,CHAR(34),CHAR(39))&amp;""",""format"":""simple_html"",""data"":["&amp;B51&amp;"]}"</x:f>
        <x:v>{"value":"&lt;p&gt;&lt;strong&gt;Crochet&lt;/strong&gt; +5 &lt;strong&gt;DM&lt;/strong&gt; 1d4+3&lt;br /&gt;&lt;strong&gt;Crochet a distance&lt;/strong&gt; +2 &lt;strong&gt;DM&lt;/strong&gt; 1d4+1&lt;br /&gt;&lt;/p&gt;","format":"simple_html","data":[{"name":"Crochet","test":"+5","dm":"1d4+3","special":null,"reach":null},{"name":"Crochet a distance","test":"+2","dm":"1d4+1","special":null,"reach":null}]}</x:v>
      </x:c>
    </x:row>
    <x:row r="53" ht="14.25" customHeight="1"/>
    <x:row r="54" ht="14.25" customHeight="1"/>
    <x:row r="55" ht="14.25" customHeight="1"/>
    <x:row r="56" ht="14.25" customHeight="1"/>
    <x:row r="57" ht="14.25" customHeight="1"/>
    <x:row r="58" ht="14.25" customHeight="1"/>
    <x:row r="59" ht="14.25" customHeight="1"/>
    <x:row r="60" ht="14.25" customHeight="1">
      <x:c r="D60" s="15" t="str">
        <x:f>SUBSTITUTE(Createur!A25,CHAR(34),"'")</x:f>
      </x:c>
      <x:c r="E60" s="15" t="str">
        <x:f>IFERROR(VLOOKUP(Createur!A25,Capacites!$A$2:$F$34,2,FALSE),"")</x:f>
      </x:c>
      <x:c r="F60" s="15" t="n">
        <x:f>IFERROR(VLOOKUP(Createur!A25,Capacites!$A$2:$F$34,4,FALSE),0)</x:f>
        <x:v>0</x:v>
      </x:c>
      <x:c r="G60" s="15" t="str">
        <x:f>SUBSTITUTE(IFERROR(VLOOKUP(Createur!A25,Capacites!$A$2:$F$34,6,FALSE),""),CHAR(34),"'")</x:f>
      </x:c>
      <x:c r="H60" s="15" t="str">
        <x:f t="shared" ref="H60:H64" si="8">IF(D60="","","{""name"":"""&amp;D60&amp;""",""kind"":""activable"",""category"":"""&amp;E60&amp;""",""description"":"""&amp;G60&amp;"""}")</x:f>
      </x:c>
      <x:c r="K60" s="15" t="str">
        <x:f t="shared" ref="K60:K64" si="9">IF(D60="","","&lt;strong&gt;"&amp;D60&amp;"&lt;/strong&gt; : "&amp;G60&amp;"&lt;br /&gt;")</x:f>
      </x:c>
      <x:c r="L60" s="15" t="str">
        <x:f t="shared" ref="L60:L64" si="10">IF(D60="","","{""value"":"""&amp;D60&amp;"""}")</x:f>
      </x:c>
    </x:row>
    <x:row r="61" ht="14.25" customHeight="1">
      <x:c r="D61" s="15" t="str">
        <x:f>SUBSTITUTE(Createur!A26,CHAR(34),"'")</x:f>
      </x:c>
      <x:c r="E61" s="15" t="str">
        <x:f>IFERROR(VLOOKUP(Createur!A26,Capacites!$A$2:$F$34,2,FALSE),"")</x:f>
      </x:c>
      <x:c r="F61" s="15" t="n">
        <x:f>IFERROR(VLOOKUP(Createur!A26,Capacites!$A$2:$F$34,4,FALSE),0)</x:f>
        <x:v>0</x:v>
      </x:c>
      <x:c r="G61" s="15" t="str">
        <x:f>SUBSTITUTE(IFERROR(VLOOKUP(Createur!A26,Capacites!$A$2:$F$34,6,FALSE),""),CHAR(34),"'")</x:f>
      </x:c>
      <x:c r="H61" s="15" t="str">
        <x:f t="shared" si="8"/>
      </x:c>
      <x:c r="K61" s="15" t="str">
        <x:f t="shared" si="9"/>
      </x:c>
      <x:c r="L61" s="15" t="str">
        <x:f t="shared" si="10"/>
      </x:c>
    </x:row>
    <x:row r="62" ht="14.25" customHeight="1">
      <x:c r="D62" s="15" t="str">
        <x:f>SUBSTITUTE(Createur!A27,CHAR(34),"'")</x:f>
      </x:c>
      <x:c r="E62" s="15" t="str">
        <x:f>IFERROR(VLOOKUP(Createur!A27,Capacites!$A$2:$F$34,2,FALSE),"")</x:f>
      </x:c>
      <x:c r="F62" s="15" t="n">
        <x:f>IFERROR(VLOOKUP(Createur!A27,Capacites!$A$2:$F$34,4,FALSE),0)</x:f>
        <x:v>0</x:v>
      </x:c>
      <x:c r="G62" s="15" t="str">
        <x:f>SUBSTITUTE(IFERROR(VLOOKUP(Createur!A27,Capacites!$A$2:$F$34,6,FALSE),""),CHAR(34),"'")</x:f>
      </x:c>
      <x:c r="H62" s="15" t="str">
        <x:f t="shared" si="8"/>
      </x:c>
      <x:c r="K62" s="15" t="str">
        <x:f t="shared" si="9"/>
      </x:c>
      <x:c r="L62" s="15" t="str">
        <x:f t="shared" si="10"/>
      </x:c>
    </x:row>
    <x:row r="63" ht="14.25" customHeight="1">
      <x:c r="D63" s="15" t="str">
        <x:f>SUBSTITUTE(Createur!A28,CHAR(34),"'")</x:f>
      </x:c>
      <x:c r="E63" s="15" t="str">
        <x:f>IFERROR(VLOOKUP(Createur!A28,Capacites!$A$2:$F$34,2,FALSE),"")</x:f>
      </x:c>
      <x:c r="F63" s="15" t="n">
        <x:f>IFERROR(VLOOKUP(Createur!A28,Capacites!$A$2:$F$34,4,FALSE),0)</x:f>
        <x:v>0</x:v>
      </x:c>
      <x:c r="G63" s="15" t="str">
        <x:f>SUBSTITUTE(IFERROR(VLOOKUP(Createur!A28,Capacites!$A$2:$F$34,6,FALSE),""),CHAR(34),"'")</x:f>
      </x:c>
      <x:c r="H63" s="15" t="str">
        <x:f t="shared" si="8"/>
      </x:c>
      <x:c r="K63" s="15" t="str">
        <x:f t="shared" si="9"/>
      </x:c>
      <x:c r="L63" s="15" t="str">
        <x:f t="shared" si="10"/>
      </x:c>
    </x:row>
    <x:row r="64" ht="14.25" customHeight="1">
      <x:c r="D64" s="15" t="str">
        <x:f>SUBSTITUTE(Createur!A29,CHAR(34),"'")</x:f>
      </x:c>
      <x:c r="E64" s="15" t="str">
        <x:f>IFERROR(VLOOKUP(Createur!A29,Capacites!$A$2:$F$34,2,FALSE),"")</x:f>
      </x:c>
      <x:c r="F64" s="15" t="n">
        <x:f>IFERROR(VLOOKUP(Createur!A29,Capacites!$A$2:$F$34,4,FALSE),0)</x:f>
        <x:v>0</x:v>
      </x:c>
      <x:c r="G64" s="15" t="str">
        <x:f>SUBSTITUTE(IFERROR(VLOOKUP(Createur!A29,Capacites!$A$2:$F$34,6,FALSE),""),CHAR(34),"'")</x:f>
      </x:c>
      <x:c r="H64" s="15" t="str">
        <x:f t="shared" si="8"/>
      </x:c>
      <x:c r="K64" s="15" t="str">
        <x:f t="shared" si="9"/>
      </x:c>
      <x:c r="L64" s="15" t="str">
        <x:f t="shared" si="10"/>
      </x:c>
    </x:row>
    <x:row r="65" ht="14.25" customHeight="1"/>
    <x:row r="66" ht="14.25" customHeight="1"/>
    <x:row r="67" ht="14.25" customHeight="1"/>
    <x:row r="68" ht="14.25" customHeight="1"/>
    <x:row r="69" ht="14.25" customHeight="1"/>
    <x:row r="70" ht="14.25" customHeight="1">
      <x:c r="D70" s="15" t="str">
        <x:f>SUBSTITUTE(Createur!A40,CHAR(34),"'")</x:f>
      </x:c>
      <x:c r="E70" s="15" t="str">
        <x:f>IFERROR(VLOOKUP(Createur!A40,Passifs!$A$2:$E$26,2,FALSE),"")</x:f>
      </x:c>
      <x:c r="F70" s="15" t="n">
        <x:f>IFERROR(VLOOKUP(Createur!A40,Passifs!$A$2:$E$26,4,FALSE),0)</x:f>
        <x:v>0</x:v>
      </x:c>
      <x:c r="G70" s="15" t="str">
        <x:f>SUBSTITUTE(IFERROR(VLOOKUP(Createur!A40,Passifs!$A$2:$E$26,5,FALSE),""),CHAR(34),"'")</x:f>
      </x:c>
      <x:c r="H70" s="15" t="str">
        <x:f t="shared" ref="H70:H74" si="11">IF(D70="","","{""name"":"""&amp;D70&amp;""",""kind"":""passif"",""category"":"""&amp;E70&amp;""",""description"":"""&amp;G70&amp;"""}")</x:f>
      </x:c>
      <x:c r="K70" s="15" t="str">
        <x:f t="shared" ref="K70:K74" si="12">IF(D70="","","&lt;strong&gt;"&amp;D70&amp;"&lt;/strong&gt; (passif) : "&amp;G70&amp;"&lt;br /&gt;")</x:f>
      </x:c>
      <x:c r="L70" s="15" t="str">
        <x:f t="shared" ref="L70:L74" si="13">IF(D70="","","{""value"":"""&amp;D70&amp;"""}")</x:f>
      </x:c>
    </x:row>
    <x:row r="71" ht="14.25" customHeight="1">
      <x:c r="D71" s="15" t="str">
        <x:f>SUBSTITUTE(Createur!A41,CHAR(34),"'")</x:f>
      </x:c>
      <x:c r="E71" s="15" t="str">
        <x:f>IFERROR(VLOOKUP(Createur!A41,Passifs!$A$2:$E$26,2,FALSE),"")</x:f>
      </x:c>
      <x:c r="F71" s="15" t="n">
        <x:f>IFERROR(VLOOKUP(Createur!A41,Passifs!$A$2:$E$26,4,FALSE),0)</x:f>
        <x:v>0</x:v>
      </x:c>
      <x:c r="G71" s="15" t="str">
        <x:f>SUBSTITUTE(IFERROR(VLOOKUP(Createur!A41,Passifs!$A$2:$E$26,5,FALSE),""),CHAR(34),"'")</x:f>
      </x:c>
      <x:c r="H71" s="15" t="str">
        <x:f t="shared" si="11"/>
      </x:c>
      <x:c r="K71" s="15" t="str">
        <x:f t="shared" si="12"/>
      </x:c>
      <x:c r="L71" s="15" t="str">
        <x:f t="shared" si="13"/>
      </x:c>
    </x:row>
    <x:row r="72" ht="14.25" customHeight="1">
      <x:c r="D72" s="15" t="str">
        <x:f>SUBSTITUTE(Createur!A42,CHAR(34),"'")</x:f>
      </x:c>
      <x:c r="E72" s="15" t="str">
        <x:f>IFERROR(VLOOKUP(Createur!A42,Passifs!$A$2:$E$26,2,FALSE),"")</x:f>
      </x:c>
      <x:c r="F72" s="15" t="n">
        <x:f>IFERROR(VLOOKUP(Createur!A42,Passifs!$A$2:$E$26,4,FALSE),0)</x:f>
        <x:v>0</x:v>
      </x:c>
      <x:c r="G72" s="15" t="str">
        <x:f>SUBSTITUTE(IFERROR(VLOOKUP(Createur!A42,Passifs!$A$2:$E$26,5,FALSE),""),CHAR(34),"'")</x:f>
      </x:c>
      <x:c r="H72" s="15" t="str">
        <x:f t="shared" si="11"/>
      </x:c>
      <x:c r="K72" s="15" t="str">
        <x:f t="shared" si="12"/>
      </x:c>
      <x:c r="L72" s="15" t="str">
        <x:f t="shared" si="13"/>
      </x:c>
    </x:row>
    <x:row r="73" ht="14.25" customHeight="1">
      <x:c r="D73" s="15" t="str">
        <x:f>SUBSTITUTE(Createur!A43,CHAR(34),"'")</x:f>
      </x:c>
      <x:c r="E73" s="15" t="str">
        <x:f>IFERROR(VLOOKUP(Createur!A43,Passifs!$A$2:$E$26,2,FALSE),"")</x:f>
      </x:c>
      <x:c r="F73" s="15" t="n">
        <x:f>IFERROR(VLOOKUP(Createur!A43,Passifs!$A$2:$E$26,4,FALSE),0)</x:f>
        <x:v>0</x:v>
      </x:c>
      <x:c r="G73" s="15" t="str">
        <x:f>SUBSTITUTE(IFERROR(VLOOKUP(Createur!A43,Passifs!$A$2:$E$26,5,FALSE),""),CHAR(34),"'")</x:f>
      </x:c>
      <x:c r="H73" s="15" t="str">
        <x:f t="shared" si="11"/>
      </x:c>
      <x:c r="K73" s="15" t="str">
        <x:f t="shared" si="12"/>
      </x:c>
      <x:c r="L73" s="15" t="str">
        <x:f t="shared" si="13"/>
      </x:c>
    </x:row>
    <x:row r="74" ht="14.25" customHeight="1">
      <x:c r="D74" s="15" t="str">
        <x:f>SUBSTITUTE(Createur!A44,CHAR(34),"'")</x:f>
      </x:c>
      <x:c r="E74" s="15" t="str">
        <x:f>IFERROR(VLOOKUP(Createur!A44,Passifs!$A$2:$E$26,2,FALSE),"")</x:f>
      </x:c>
      <x:c r="F74" s="15" t="n">
        <x:f>IFERROR(VLOOKUP(Createur!A44,Passifs!$A$2:$E$26,4,FALSE),0)</x:f>
        <x:v>0</x:v>
      </x:c>
      <x:c r="G74" s="15" t="str">
        <x:f>SUBSTITUTE(IFERROR(VLOOKUP(Createur!A44,Passifs!$A$2:$E$26,5,FALSE),""),CHAR(34),"'")</x:f>
      </x:c>
      <x:c r="H74" s="15" t="str">
        <x:f t="shared" si="11"/>
      </x:c>
      <x:c r="K74" s="15" t="str">
        <x:f t="shared" si="12"/>
      </x:c>
      <x:c r="L74" s="15" t="str">
        <x:f t="shared" si="13"/>
      </x:c>
    </x:row>
    <x:row r="75" ht="14.25" customHeight="1"/>
    <x:row r="76" ht="14.25" customHeight="1"/>
    <x:row r="77" ht="14.25" customHeight="1"/>
    <x:row r="78" ht="14.25" customHeight="1"/>
    <x:row r="79" ht="14.25" customHeight="1"/>
    <x:row r="80" ht="14.25" customHeight="1">
      <x:c r="D80" s="15" t="str">
        <x:f>SUBSTITUTE(Createur!A33,CHAR(34),"'")</x:f>
      </x:c>
      <x:c r="E80" s="15" t="str">
        <x:f>IFERROR(VLOOKUP(Createur!A33,Sorts!$A$2:$G$23,2,FALSE),"")</x:f>
      </x:c>
      <x:c r="F80" s="15" t="n">
        <x:f>IFERROR(VLOOKUP(Createur!A33,Sorts!$A$2:$G$23,4,FALSE),0)</x:f>
        <x:v>0</x:v>
      </x:c>
      <x:c r="G80" s="15" t="str">
        <x:f>SUBSTITUTE(IFERROR(VLOOKUP(Createur!A33,Sorts!$A$2:$G$23,8,FALSE),""),CHAR(34),"'")</x:f>
      </x:c>
      <x:c r="H80" s="15" t="str">
        <x:f t="shared" ref="H80:H83" si="14">IF(D80="","","{""name"":"""&amp;D80&amp;""",""kind"":""sort"",""school"":"""&amp;E80&amp;""",""description"":"""&amp;G80&amp;"""}")</x:f>
      </x:c>
      <x:c r="K80" s="15" t="str">
        <x:f t="shared" ref="K80:K83" si="15">IF(D80="","","&lt;strong&gt;"&amp;D80&amp;"&lt;/strong&gt; (sort) : "&amp;G80&amp;"&lt;br /&gt;")</x:f>
      </x:c>
      <x:c r="L80" s="15" t="str">
        <x:f t="shared" ref="L80:L83" si="16">IF(D80="","","{""value"":"""&amp;D80&amp;"""}")</x:f>
      </x:c>
    </x:row>
    <x:row r="81" ht="14.25" customHeight="1">
      <x:c r="D81" s="15" t="str">
        <x:f>SUBSTITUTE(Createur!A34,CHAR(34),"'")</x:f>
      </x:c>
      <x:c r="E81" s="15" t="str">
        <x:f>IFERROR(VLOOKUP(Createur!A34,Sorts!$A$2:$G$23,2,FALSE),"")</x:f>
      </x:c>
      <x:c r="F81" s="15" t="n">
        <x:f>IFERROR(VLOOKUP(Createur!A34,Sorts!$A$2:$G$23,4,FALSE),0)</x:f>
        <x:v>0</x:v>
      </x:c>
      <x:c r="G81" s="15" t="str">
        <x:f>SUBSTITUTE(IFERROR(VLOOKUP(Createur!A34,Sorts!$A$2:$G$23,8,FALSE),""),CHAR(34),"'")</x:f>
      </x:c>
      <x:c r="H81" s="15" t="str">
        <x:f t="shared" si="14"/>
      </x:c>
      <x:c r="K81" s="15" t="str">
        <x:f t="shared" si="15"/>
      </x:c>
      <x:c r="L81" s="15" t="str">
        <x:f t="shared" si="16"/>
      </x:c>
    </x:row>
    <x:row r="82" ht="14.25" customHeight="1">
      <x:c r="D82" s="15" t="str">
        <x:f>SUBSTITUTE(Createur!A35,CHAR(34),"'")</x:f>
      </x:c>
      <x:c r="E82" s="15" t="str">
        <x:f>IFERROR(VLOOKUP(Createur!A35,Sorts!$A$2:$G$23,2,FALSE),"")</x:f>
      </x:c>
      <x:c r="F82" s="15" t="n">
        <x:f>IFERROR(VLOOKUP(Createur!A35,Sorts!$A$2:$G$23,4,FALSE),0)</x:f>
        <x:v>0</x:v>
      </x:c>
      <x:c r="G82" s="15" t="str">
        <x:f>SUBSTITUTE(IFERROR(VLOOKUP(Createur!A35,Sorts!$A$2:$G$23,8,FALSE),""),CHAR(34),"'")</x:f>
      </x:c>
      <x:c r="H82" s="15" t="str">
        <x:f t="shared" si="14"/>
      </x:c>
      <x:c r="K82" s="15" t="str">
        <x:f t="shared" si="15"/>
      </x:c>
      <x:c r="L82" s="15" t="str">
        <x:f t="shared" si="16"/>
      </x:c>
    </x:row>
    <x:row r="83" ht="14.25" customHeight="1">
      <x:c r="D83" s="15" t="str">
        <x:f>SUBSTITUTE(Createur!A36,CHAR(34),"'")</x:f>
      </x:c>
      <x:c r="E83" s="15" t="str">
        <x:f>IFERROR(VLOOKUP(Createur!A36,Sorts!$A$2:$G$23,2,FALSE),"")</x:f>
      </x:c>
      <x:c r="F83" s="15" t="n">
        <x:f>IFERROR(VLOOKUP(Createur!A36,Sorts!$A$2:$G$23,4,FALSE),0)</x:f>
        <x:v>0</x:v>
      </x:c>
      <x:c r="G83" s="15" t="str">
        <x:f>SUBSTITUTE(IFERROR(VLOOKUP(Createur!A36,Sorts!$A$2:$G$23,8,FALSE),""),CHAR(34),"'")</x:f>
      </x:c>
      <x:c r="H83" s="15" t="str">
        <x:f t="shared" si="14"/>
      </x:c>
      <x:c r="K83" s="15" t="str">
        <x:f t="shared" si="15"/>
      </x:c>
      <x:c r="L83" s="15" t="str">
        <x:f t="shared" si="16"/>
      </x:c>
    </x:row>
    <x:row r="84" ht="14.25" customHeight="1"/>
    <x:row r="85" ht="14.25" customHeight="1"/>
    <x:row r="86" ht="14.25" customHeight="1">
      <x:c r="A86" s="15" t="s">
        <x:v>141</x:v>
      </x:c>
      <x:c r="B86" s="15" t="str">
        <x:f>""&amp;IF(AND(FALSE,H60&lt;&gt;""),",","")&amp;IF(H60&lt;&gt;"",H60,"")&amp;IF(AND(OR(FALSE,H60&lt;&gt;""),H61&lt;&gt;""),",","")&amp;IF(H61&lt;&gt;"",H61,"")&amp;IF(AND(OR(OR(FALSE,H60&lt;&gt;""),H61&lt;&gt;""),H62&lt;&gt;""),",","")&amp;IF(H62&lt;&gt;"",H62,"")&amp;IF(AND(OR(OR(OR(FALSE,H60&lt;&gt;""),H61&lt;&gt;""),H62&lt;&gt;""),H63&lt;&gt;""),",","")&amp;IF(H63&lt;&gt;"",H63,"")&amp;IF(AND(OR(OR(OR(OR(FALSE,H60&lt;&gt;""),H61&lt;&gt;""),H62&lt;&gt;""),H63&lt;&gt;""),H64&lt;&gt;""),",","")&amp;IF(H64&lt;&gt;"",H64,"")</x:f>
      </x:c>
    </x:row>
    <x:row r="87" ht="14.25" customHeight="1">
      <x:c r="A87" s="15" t="s">
        <x:v>142</x:v>
      </x:c>
      <x:c r="B87" s="15" t="str">
        <x:f>""&amp;IF(AND(FALSE,H70&lt;&gt;""),",","")&amp;IF(H70&lt;&gt;"",H70,"")&amp;IF(AND(OR(FALSE,H70&lt;&gt;""),H71&lt;&gt;""),",","")&amp;IF(H71&lt;&gt;"",H71,"")&amp;IF(AND(OR(OR(FALSE,H70&lt;&gt;""),H71&lt;&gt;""),H72&lt;&gt;""),",","")&amp;IF(H72&lt;&gt;"",H72,"")&amp;IF(AND(OR(OR(OR(FALSE,H70&lt;&gt;""),H71&lt;&gt;""),H72&lt;&gt;""),H73&lt;&gt;""),",","")&amp;IF(H73&lt;&gt;"",H73,"")&amp;IF(AND(OR(OR(OR(OR(FALSE,H70&lt;&gt;""),H71&lt;&gt;""),H72&lt;&gt;""),H73&lt;&gt;""),H74&lt;&gt;""),",","")&amp;IF(H74&lt;&gt;"",H74,"")</x:f>
      </x:c>
    </x:row>
    <x:row r="88" ht="14.25" customHeight="1">
      <x:c r="A88" s="15" t="s">
        <x:v>143</x:v>
      </x:c>
      <x:c r="B88" s="15" t="str">
        <x:f>""&amp;IF(AND(FALSE,H80&lt;&gt;""),",","")&amp;IF(H80&lt;&gt;"",H80,"")&amp;IF(AND(OR(FALSE,H80&lt;&gt;""),H81&lt;&gt;""),",","")&amp;IF(H81&lt;&gt;"",H81,"")&amp;IF(AND(OR(OR(FALSE,H80&lt;&gt;""),H81&lt;&gt;""),H82&lt;&gt;""),",","")&amp;IF(H82&lt;&gt;"",H82,"")&amp;IF(AND(OR(OR(OR(FALSE,H80&lt;&gt;""),H81&lt;&gt;""),H82&lt;&gt;""),H83&lt;&gt;""),",","")&amp;IF(H83&lt;&gt;"",H83,"")</x:f>
      </x:c>
    </x:row>
    <x:row r="89" ht="14.25" customHeight="1">
      <x:c r="A89" s="15" t="s">
        <x:v>144</x:v>
      </x:c>
      <x:c r="B89" s="15" t="str">
        <x:f>""&amp;IF(AND(FALSE,B86&lt;&gt;""),",","")&amp;IF(B86&lt;&gt;"",B86,"")&amp;IF(AND(OR(FALSE,B86&lt;&gt;""),B87&lt;&gt;""),",","")&amp;IF(B87&lt;&gt;"",B87,"")&amp;IF(AND(OR(OR(FALSE,B86&lt;&gt;""),B87&lt;&gt;""),B88&lt;&gt;""),",","")&amp;IF(B88&lt;&gt;"",B88,"")</x:f>
      </x:c>
    </x:row>
    <x:row r="90" ht="14.25" customHeight="1">
      <x:c r="A90" s="15" t="s">
        <x:v>145</x:v>
      </x:c>
      <x:c r="B90" s="15" t="str">
        <x:f>"&lt;p&gt;"&amp;K60&amp;K61&amp;K62&amp;K63&amp;K64&amp;K70&amp;K71&amp;K72&amp;K73&amp;K74&amp;K80&amp;K81&amp;K82&amp;K83&amp;B93&amp;"&lt;/p&gt;"</x:f>
        <x:v>&lt;p&gt;&lt;strong&gt;Prédicats Roll20&lt;/strong&gt; : resistanceA_feu resistanceA_ombre vulnerableA_lumiere resistanceA_tranchant&lt;br /&gt;&lt;/p&gt;</x:v>
      </x:c>
    </x:row>
    <x:row r="91" ht="14.25" customHeight="1">
      <x:c r="A91" s="15" t="s">
        <x:v>146</x:v>
      </x:c>
      <x:c r="B91" s="15" t="str">
        <x:f>""&amp;IF(AND(FALSE,L60&lt;&gt;""),",","")&amp;IF(L60&lt;&gt;"",L60,"")&amp;IF(AND(OR(FALSE,L60&lt;&gt;""),L61&lt;&gt;""),",","")&amp;IF(L61&lt;&gt;"",L61,"")&amp;IF(AND(OR(OR(FALSE,L60&lt;&gt;""),L61&lt;&gt;""),L62&lt;&gt;""),",","")&amp;IF(L62&lt;&gt;"",L62,"")&amp;IF(AND(OR(OR(OR(FALSE,L60&lt;&gt;""),L61&lt;&gt;""),L62&lt;&gt;""),L63&lt;&gt;""),",","")&amp;IF(L63&lt;&gt;"",L63,"")&amp;IF(AND(OR(OR(OR(OR(FALSE,L60&lt;&gt;""),L61&lt;&gt;""),L62&lt;&gt;""),L63&lt;&gt;""),L64&lt;&gt;""),",","")&amp;IF(L64&lt;&gt;"",L64,"")&amp;IF(AND(OR(OR(OR(OR(OR(FALSE,L60&lt;&gt;""),L61&lt;&gt;""),L62&lt;&gt;""),L63&lt;&gt;""),L64&lt;&gt;""),L70&lt;&gt;""),",","")&amp;IF(L70&lt;&gt;"",L70,"")&amp;IF(AND(OR(OR(OR(OR(OR(OR(FALSE,L60&lt;&gt;""),L61&lt;&gt;""),L62&lt;&gt;""),L63&lt;&gt;""),L64&lt;&gt;""),L70&lt;&gt;""),L71&lt;&gt;""),",","")&amp;IF(L71&lt;&gt;"",L71,"")&amp;IF(AND(OR(OR(OR(OR(OR(OR(OR(FALSE,L60&lt;&gt;""),L61&lt;&gt;""),L62&lt;&gt;""),L63&lt;&gt;""),L64&lt;&gt;""),L70&lt;&gt;""),L71&lt;&gt;""),L72&lt;&gt;""),",","")&amp;IF(L72&lt;&gt;"",L72,"")&amp;IF(AND(OR(OR(OR(OR(OR(OR(OR(OR(FALSE,L60&lt;&gt;""),L61&lt;&gt;""),L62&lt;&gt;""),L63&lt;&gt;""),L64&lt;&gt;""),L70&lt;&gt;""),L71&lt;&gt;""),L72&lt;&gt;""),L73&lt;&gt;""),",","")&amp;IF(L73&lt;&gt;"",L73,"")&amp;IF(AND(OR(OR(OR(OR(OR(OR(OR(OR(OR(FALSE,L60&lt;&gt;""),L61&lt;&gt;""),L62&lt;&gt;""),L63&lt;&gt;""),L64&lt;&gt;""),L70&lt;&gt;""),L71&lt;&gt;""),L72&lt;&gt;""),L73&lt;&gt;""),L74&lt;&gt;""),",","")&amp;IF(L74&lt;&gt;"",L74,"")&amp;IF(AND(OR(OR(OR(OR(OR(OR(OR(OR(OR(OR(FALSE,L60&lt;&gt;""),L61&lt;&gt;""),L62&lt;&gt;""),L63&lt;&gt;""),L64&lt;&gt;""),L70&lt;&gt;""),L71&lt;&gt;""),L72&lt;&gt;""),L73&lt;&gt;""),L74&lt;&gt;""),L80&lt;&gt;""),",","")&amp;IF(L80&lt;&gt;"",L80,"")&amp;IF(AND(OR(OR(OR(OR(OR(OR(OR(OR(OR(OR(OR(FALSE,L60&lt;&gt;""),L61&lt;&gt;""),L62&lt;&gt;""),L63&lt;&gt;""),L64&lt;&gt;""),L70&lt;&gt;""),L71&lt;&gt;""),L72&lt;&gt;""),L73&lt;&gt;""),L74&lt;&gt;""),L80&lt;&gt;""),L81&lt;&gt;""),",","")&amp;IF(L81&lt;&gt;"",L81,"")&amp;IF(AND(OR(OR(OR(OR(OR(OR(OR(OR(OR(OR(OR(OR(FALSE,L60&lt;&gt;""),L61&lt;&gt;""),L62&lt;&gt;""),L63&lt;&gt;""),L64&lt;&gt;""),L70&lt;&gt;""),L71&lt;&gt;""),L72&lt;&gt;""),L73&lt;&gt;""),L74&lt;&gt;""),L80&lt;&gt;""),L81&lt;&gt;""),L82&lt;&gt;""),",","")&amp;IF(L82&lt;&gt;"",L82,"")&amp;IF(AND(OR(OR(OR(OR(OR(OR(OR(OR(OR(OR(OR(OR(OR(FALSE,L60&lt;&gt;""),L61&lt;&gt;""),L62&lt;&gt;""),L63&lt;&gt;""),L64&lt;&gt;""),L70&lt;&gt;""),L71&lt;&gt;""),L72&lt;&gt;""),L73&lt;&gt;""),L74&lt;&gt;""),L80&lt;&gt;""),L81&lt;&gt;""),L82&lt;&gt;""),L83&lt;&gt;""),",","")&amp;IF(L83&lt;&gt;"",L83,"")</x:f>
      </x:c>
    </x:row>
    <x:row r="92" ht="14.25" customHeight="1">
      <x:c r="A92" s="109" t="s">
        <x:v>82</x:v>
      </x:c>
      <x:c r="B92" s="109" t="str">
        <x:f>IFERROR(VLOOKUP($B$5,Familles!$A$2:$BH$200,60,FALSE),"")</x:f>
        <x:v>resistanceA_feu resistanceA_ombre vulnerableA_lumiere resistanceA_tranchant</x:v>
      </x:c>
    </x:row>
    <x:row r="93" ht="14.25" customHeight="1">
      <x:c r="A93" s="109" t="s">
        <x:v>147</x:v>
      </x:c>
      <x:c r="B93" s="109" t="str">
        <x:f>IF(B92="","","&lt;strong&gt;Prédicats Roll20&lt;/strong&gt; : "&amp;B92&amp;"&lt;br /&gt;")</x:f>
        <x:v>&lt;strong&gt;Prédicats Roll20&lt;/strong&gt; : resistanceA_feu resistanceA_ombre vulnerableA_lumiere resistanceA_tranchant&lt;br /&gt;</x:v>
      </x:c>
    </x:row>
    <x:row r="94" ht="14.25" customHeight="1"/>
    <x:row r="95" ht="14.25" customHeight="1"/>
    <x:row r="96" ht="14.25" customHeight="1"/>
    <x:row r="97" ht="14.25" customHeight="1"/>
    <x:row r="98" ht="14.25" customHeight="1"/>
    <x:row r="99" ht="14.25" customHeight="1"/>
    <x:row r="100" ht="14.25" customHeight="1">
      <x:c r="A100" s="110" t="s">
        <x:v>148</x:v>
      </x:c>
      <x:c r="B100" s="110" t="s">
        <x:v>149</x:v>
      </x:c>
      <x:c r="C100" s="110" t="s">
        <x:v>150</x:v>
      </x:c>
    </x:row>
    <x:row r="101" ht="14.25" customHeight="1">
      <x:c r="A101" s="15" t="s">
        <x:v>151</x:v>
      </x:c>
      <x:c r="B101" s="15" t="s">
        <x:v>73</x:v>
      </x:c>
      <x:c r="C101" s="15" t="str">
        <x:f>IF(Createur!F53&lt;&gt;"",$A101&amp;":"&amp;Createur!F53,"")</x:f>
      </x:c>
    </x:row>
    <x:row r="102" ht="14.25" customHeight="1">
      <x:c r="A102" s="15" t="s">
        <x:v>152</x:v>
      </x:c>
      <x:c r="B102" s="15" t="s">
        <x:v>74</x:v>
      </x:c>
      <x:c r="C102" s="15" t="str">
        <x:f>IF(Createur!F54&lt;&gt;"",$A102&amp;":"&amp;Createur!F54,"")</x:f>
      </x:c>
    </x:row>
    <x:row r="103" ht="14.25" customHeight="1">
      <x:c r="A103" s="15" t="s">
        <x:v>153</x:v>
      </x:c>
      <x:c r="B103" s="15" t="s">
        <x:v>75</x:v>
      </x:c>
      <x:c r="C103" s="15" t="str">
        <x:f>IF(Createur!F55&lt;&gt;"",$A103&amp;":"&amp;Createur!F55,"")</x:f>
      </x:c>
    </x:row>
    <x:row r="104" ht="14.25" customHeight="1">
      <x:c r="A104" s="15" t="s">
        <x:v>154</x:v>
      </x:c>
      <x:c r="B104" s="15" t="s">
        <x:v>76</x:v>
      </x:c>
      <x:c r="C104" s="15" t="str">
        <x:f>IF(Createur!F56&lt;&gt;"",$A104&amp;":"&amp;Createur!F56,"")</x:f>
        <x:v>feu:2</x:v>
      </x:c>
    </x:row>
    <x:row r="105" ht="14.25" customHeight="1">
      <x:c r="A105" s="15" t="s">
        <x:v>155</x:v>
      </x:c>
      <x:c r="B105" s="15" t="s">
        <x:v>77</x:v>
      </x:c>
      <x:c r="C105" s="15" t="str">
        <x:f>IF(Createur!F57&lt;&gt;"",$A105&amp;":"&amp;Createur!F57,"")</x:f>
      </x:c>
    </x:row>
    <x:row r="106" ht="14.25" customHeight="1">
      <x:c r="A106" s="15" t="s">
        <x:v>156</x:v>
      </x:c>
      <x:c r="B106" s="15" t="s">
        <x:v>78</x:v>
      </x:c>
      <x:c r="C106" s="15" t="str">
        <x:f>IF(Createur!F58&lt;&gt;"",$A106&amp;":"&amp;Createur!F58,"")</x:f>
      </x:c>
    </x:row>
    <x:row r="107" ht="14.25" customHeight="1">
      <x:c r="A107" s="15" t="s">
        <x:v>157</x:v>
      </x:c>
      <x:c r="B107" s="15" t="s">
        <x:v>79</x:v>
      </x:c>
      <x:c r="C107" s="15" t="str">
        <x:f>IF(Createur!F59&lt;&gt;"",$A107&amp;":"&amp;Createur!F59,"")</x:f>
      </x:c>
    </x:row>
    <x:row r="108" ht="14.25" customHeight="1">
      <x:c r="A108" s="15" t="s">
        <x:v>158</x:v>
      </x:c>
      <x:c r="B108" s="15" t="s">
        <x:v>80</x:v>
      </x:c>
      <x:c r="C108" s="15" t="str">
        <x:f>IF(Createur!F60&lt;&gt;"",$A108&amp;":"&amp;Createur!F60,"")</x:f>
      </x:c>
    </x:row>
    <x:row r="109" ht="14.25" customHeight="1">
      <x:c r="A109" s="15" t="s">
        <x:v>159</x:v>
      </x:c>
      <x:c r="B109" s="15" t="s">
        <x:v>81</x:v>
      </x:c>
      <x:c r="C109" s="15" t="str">
        <x:f>IF(Createur!F61&lt;&gt;"",$A109&amp;":"&amp;Createur!F61,"")</x:f>
      </x:c>
    </x:row>
    <x:row r="110" ht="14.25" customHeight="1">
      <x:c r="A110" s="15" t="s">
        <x:v>160</x:v>
      </x:c>
      <x:c r="B110" s="15" t="s">
        <x:v>83</x:v>
      </x:c>
      <x:c r="C110" s="15" t="str">
        <x:f>IF(Createur!F62&lt;&gt;"",$A110&amp;":"&amp;Createur!F62,"")</x:f>
        <x:v>poison:1</x:v>
      </x:c>
    </x:row>
    <x:row r="111" ht="14.25" customHeight="1">
      <x:c r="A111" s="15" t="s">
        <x:v>161</x:v>
      </x:c>
      <x:c r="B111" s="15" t="s">
        <x:v>85</x:v>
      </x:c>
      <x:c r="C111" s="15" t="str">
        <x:f>IF(Createur!F63&lt;&gt;"",$A111&amp;":"&amp;Createur!F63,"")</x:f>
        <x:v>magique:1</x:v>
      </x:c>
    </x:row>
    <x:row r="112" ht="14.25" customHeight="1"/>
    <x:row r="113" ht="14.25" customHeight="1"/>
    <x:row r="114" ht="14.25" customHeight="1">
      <x:c r="B114" s="15" t="s">
        <x:v>162</x:v>
      </x:c>
      <x:c r="C114" s="15" t="str">
        <x:f>""&amp;IF(AND(FALSE,C101&lt;&gt;""),",","")&amp;IF(C101&lt;&gt;"",C101,"")&amp;IF(AND(OR(FALSE,C101&lt;&gt;""),C102&lt;&gt;""),",","")&amp;IF(C102&lt;&gt;"",C102,"")&amp;IF(AND(OR(OR(FALSE,C101&lt;&gt;""),C102&lt;&gt;""),C103&lt;&gt;""),",","")&amp;IF(C103&lt;&gt;"",C103,"")&amp;IF(AND(OR(OR(OR(FALSE,C101&lt;&gt;""),C102&lt;&gt;""),C103&lt;&gt;""),C104&lt;&gt;""),",","")&amp;IF(C104&lt;&gt;"",C104,"")&amp;IF(AND(OR(OR(OR(OR(FALSE,C101&lt;&gt;""),C102&lt;&gt;""),C103&lt;&gt;""),C104&lt;&gt;""),C105&lt;&gt;""),",","")&amp;IF(C105&lt;&gt;"",C105,"")&amp;IF(AND(OR(OR(OR(OR(OR(FALSE,C101&lt;&gt;""),C102&lt;&gt;""),C103&lt;&gt;""),C104&lt;&gt;""),C105&lt;&gt;""),C106&lt;&gt;""),",","")&amp;IF(C106&lt;&gt;"",C106,"")&amp;IF(AND(OR(OR(OR(OR(OR(OR(FALSE,C101&lt;&gt;""),C102&lt;&gt;""),C103&lt;&gt;""),C104&lt;&gt;""),C105&lt;&gt;""),C106&lt;&gt;""),C107&lt;&gt;""),",","")&amp;IF(C107&lt;&gt;"",C107,"")&amp;IF(AND(OR(OR(OR(OR(OR(OR(OR(FALSE,C101&lt;&gt;""),C102&lt;&gt;""),C103&lt;&gt;""),C104&lt;&gt;""),C105&lt;&gt;""),C106&lt;&gt;""),C107&lt;&gt;""),C108&lt;&gt;""),",","")&amp;IF(C108&lt;&gt;"",C108,"")&amp;IF(AND(OR(OR(OR(OR(OR(OR(OR(OR(FALSE,C101&lt;&gt;""),C102&lt;&gt;""),C103&lt;&gt;""),C104&lt;&gt;""),C105&lt;&gt;""),C106&lt;&gt;""),C107&lt;&gt;""),C108&lt;&gt;""),C109&lt;&gt;""),",","")&amp;IF(C109&lt;&gt;"",C109,"")&amp;IF(AND(OR(OR(OR(OR(OR(OR(OR(OR(OR(FALSE,C101&lt;&gt;""),C102&lt;&gt;""),C103&lt;&gt;""),C104&lt;&gt;""),C105&lt;&gt;""),C106&lt;&gt;""),C107&lt;&gt;""),C108&lt;&gt;""),C109&lt;&gt;""),C110&lt;&gt;""),",","")&amp;IF(C110&lt;&gt;"",C110,"")&amp;IF(AND(OR(OR(OR(OR(OR(OR(OR(OR(OR(OR(FALSE,C101&lt;&gt;""),C102&lt;&gt;""),C103&lt;&gt;""),C104&lt;&gt;""),C105&lt;&gt;""),C106&lt;&gt;""),C107&lt;&gt;""),C108&lt;&gt;""),C109&lt;&gt;""),C110&lt;&gt;""),C111&lt;&gt;""),",","")&amp;IF(C111&lt;&gt;"",C111,"")</x:f>
        <x:v>feu:2,poison:1,magique:1</x:v>
      </x:c>
    </x:row>
    <x:row r="115" ht="14.25" customHeight="1"/>
    <x:row r="116" ht="14.25" customHeight="1"/>
    <x:row r="117" ht="14.25" customHeight="1"/>
    <x:row r="118" ht="14.25" customHeight="1"/>
    <x:row r="119" ht="14.25" customHeight="1"/>
    <x:row r="120" ht="14.25" customHeight="1">
      <x:c r="A120" s="3" t="s">
        <x:v>163</x:v>
      </x:c>
      <x:c r="B120" s="3" t="str">
        <x:f>"{""name"":[{""value"":"""&amp;$B$3&amp;"""}],""appearance"":[],""description"":[],""creature_family"":[{""target_id"":"""&amp;$B$6&amp;""",""label"":"""&amp;$B$5&amp;"""}],""environment"":[],"</x:f>
        <x:v>{"name":[{"value":"Cultiste Rabatteur"}],"appearance":[],"description":[],"creature_family":[{"target_id":"1004","label":"Démon"}],"environment":[],</x:v>
      </x:c>
    </x:row>
    <x:row r="121" ht="14.25" customHeight="1">
      <x:c r="A121" s="15" t="s">
        <x:v>164</x:v>
      </x:c>
      <x:c r="B121" s="15" t="str">
        <x:f>"""archetype"":[{""value"":"""&amp;$B$11&amp;""",""label"":"""&amp;$B$12&amp;"""}],""major_archetype"":[{""value"":"""&amp;SUBSTITUTE("Physique majeur : "&amp;Createur!$B$9&amp;" | Mental majeur : "&amp;Createur!$B$10,CHAR(34),"'")&amp;""",""label"":"""&amp;SUBSTITUTE("Physique majeur : "&amp;Createur!$B$9&amp;" | Mental majeur : "&amp;Createur!$B$10,CHAR(34),"'")&amp;"""}],""minor_archetype"":[{""value"":"""&amp;SUBSTITUTE(Createur!$B$11,CHAR(34),"'")&amp;""",""label"":"""&amp;SUBSTITUTE(Createur!$B$11,CHAR(34),"'")&amp;"""}],""boss_type"":[],""boss_rank"":[],"</x:f>
        <x:v>"archetype":[{"value":"standard","label":"Standard"}],"major_archetype":[{"value":"Physique majeur : Ravageur - Simple B = FOR +2, DEX +1 | Mental majeur : Vigilant - Simple B = SAG +2, CON +1","label":"Physique majeur : Ravageur - Simple B = FOR +2, DEX +1 | Mental majeur : Vigilant - Simple B = SAG +2, CON +1"}],"minor_archetype":[{"value":"Bousculeur - Simple = FOR +1","label":"Bousculeur - Simple = FOR +1"}],"boss_type":[],"boss_rank":[],</x:v>
      </x:c>
    </x:row>
    <x:row r="122" ht="14.25" customHeight="1">
      <x:c r="A122" s="15" t="s">
        <x:v>165</x:v>
      </x:c>
      <x:c r="B122" s="15" t="str">
        <x:f>"""level"":[{""value"":"""&amp;$B$4&amp;"""}],""category"":[{""value"":"""&amp;$B$7&amp;""",""label"":"""&amp;$B$8&amp;"""}],""size"":[{""value"":"""&amp;$B$9&amp;""",""label"":"""&amp;$B$10&amp;"""}],""str_mod"":[{""value"":"""&amp;$B$13&amp;"""}],""str_comment"":[],""dex_mod"":[{""value"":"""&amp;$B$14&amp;"""}],""dex_comment"":[],"</x:f>
        <x:v>"level":[{"value":"3"}],"category":[{"value":"fiend","label":"Démon"}],"size":[{"value":"medium","label":"Moyen"}],"str_mod":[{"value":"4"}],"str_comment":[],"dex_mod":[{"value":"1"}],"dex_comment":[],</x:v>
      </x:c>
    </x:row>
    <x:row r="123" ht="14.25" customHeight="1">
      <x:c r="A123" s="15" t="s">
        <x:v>166</x:v>
      </x:c>
      <x:c r="B123" s="15" t="str">
        <x:f>"""con_mod"":[{""value"":"""&amp;$B$15&amp;"""}],""con_comment"":[],""int_mod"":[{""value"":"""&amp;$B$16&amp;"""}],""int_comment"":[],""wis_mod"":[{""value"":"""&amp;$B$17&amp;"""}],""wis_comment"":[],""cha_mod"":[{""value"":"""&amp;$B$18&amp;"""}],""cha_comment"":[],"</x:f>
        <x:v>"con_mod":[{"value":"2"}],"con_comment":[],"int_mod":[{"value":"0"}],"int_comment":[],"wis_mod":[{"value":"2"}],"wis_comment":[],"cha_mod":[{"value":"2"}],"cha_comment":[],</x:v>
      </x:c>
    </x:row>
    <x:row r="124" ht="14.25" customHeight="1">
      <x:c r="A124" s="15" t="s">
        <x:v>167</x:v>
      </x:c>
      <x:c r="B124" s="15" t="str">
        <x:f>"""sup_abilities"":[],""defense"":[{""value"":"""&amp;$B$20&amp;"""}],""health_point"":[{""value"":"""&amp;$B$21&amp;"""}],""dmg_reduction"":"&amp;IF($C$114&lt;&gt;"","[{""value"":"""&amp;SUBSTITUTE($C$114,CHAR(34),CHAR(39))&amp;"""}]","[]")&amp;",""init"":[{""value"":"""&amp;$B$22&amp;"""}],""attacks"":["&amp;$B$52&amp;"],"</x:f>
        <x:v>"sup_abilities":[],"defense":[{"value":"17"}],"health_point":[{"value":"18"}],"dmg_reduction":[{"value":"feu:2,poison:1,magique:1"}],"init":[{"value":"10"}],"attacks":[{"value":"&lt;p&gt;&lt;strong&gt;Crochet&lt;/strong&gt; +5 &lt;strong&gt;DM&lt;/strong&gt; 1d4+3&lt;br /&gt;&lt;strong&gt;Crochet a distance&lt;/strong&gt; +2 &lt;strong&gt;DM&lt;/strong&gt; 1d4+1&lt;br /&gt;&lt;/p&gt;","format":"simple_html","data":[{"name":"Crochet","test":"+5","dm":"1d4+3","special":null,"reach":null},{"name":"Crochet a distance","test":"+2","dm":"1d4+1","special":null,"reach":null}]}],</x:v>
      </x:c>
    </x:row>
    <x:row r="125" ht="14.25" customHeight="1">
      <x:c r="A125" s="15" t="s">
        <x:v>168</x:v>
      </x:c>
      <x:c r="B125" s="15" t="str">
        <x:f>"""profile"":[],""profile_level"":[],""paths"":[],""special_capabilities"":[{""value"":"""&amp;SUBSTITUTE($B$90,CHAR(34),CHAR(39))&amp;""",""format"":""simple_html""}],""structured_capabilities"":["&amp;$B$89&amp;"],"</x:f>
        <x:v>"profile":[],"profile_level":[],"paths":[],"special_capabilities":[{"value":"&lt;p&gt;&lt;strong&gt;Prédicats Roll20&lt;/strong&gt; : resistanceA_feu resistanceA_ombre vulnerableA_lumiere resistanceA_tranchant&lt;br /&gt;&lt;/p&gt;","format":"simple_html"}],"structured_capabilities":[],</x:v>
      </x:c>
    </x:row>
    <x:row r="126" ht="14.25" customHeight="1">
      <x:c r="A126" s="15" t="s">
        <x:v>169</x:v>
      </x:c>
      <x:c r="B126" s="15" t="str">
        <x:f>"""capabilities"":["&amp;$B$91&amp;"],""spells"":["&amp;$B$88&amp;"],""loot"":[{""type"":""CREATURE"",""value"":"""&amp;SUBSTITUTE($B$35,CHAR(34),CHAR(39))&amp;""",""family"":"""&amp;SUBSTITUTE($B$5,CHAR(34),CHAR(39))&amp;""",""tier"":"""&amp;SUBSTITUTE($B$41,CHAR(34),CHAR(39))&amp;""",""resources"":"""&amp;SUBSTITUTE($B$38,CHAR(34),CHAR(39))&amp;""",""action"":"""&amp;SUBSTITUTE($B$39,CHAR(34),CHAR(39))&amp;""",""rarity"":"""&amp;SUBSTITUTE($B$40,CHAR(34),CHAR(39))&amp;""",""rp"":"""&amp;SUBSTITUTE($B$36,CHAR(34),CHAR(39))&amp;"""}],""comments"":[{""value"":"""&amp;SUBSTITUTE($B$37,CHAR(34),CHAR(39))&amp;""",""format"":""simple_html""}],""picture"":[]}"</x:f>
        <x:v>"capabilities":[],"spells":[],"loot":[{"type":"CREATURE","value":"2d10 + 5 PA","family":"Démon","tier":"2-4","resources":"de l'ichor, des cornes, des crocs ou des fragments brûlés","action":"en prélevant avec prudence les parties encore instables du corps","rarity":"Utile","rp":"Vous récupérez l'équivalent de 2d10 + 5 PA en prélevant avec prudence les parties encore instables du corps : de l'ichor, des cornes, des crocs ou des fragments brûlés."}],"comments":[{"value":"&lt;p&gt;[LOOT]&lt;br /&gt;TYPE: CREATURE&lt;br /&gt;NAME: Cultiste Rabatteur&lt;br /&gt;VALUE: [[2d10 + 5]] PA&lt;br /&gt;FAMILY: Démon&lt;br /&gt;TIER: 2-4&lt;br /&gt;RARITY: Utile&lt;br /&gt;ACTION: en prélevant avec prudence les parties encore instables du corps&lt;br /&gt;RESOURCES: de l'ichor, des cornes, des crocs ou des fragments brûlés&lt;br /&gt;[/LOOT]&lt;/p&gt;","format":"simple_html"}],"picture":[]}</x:v>
      </x:c>
    </x:row>
    <x:row r="127" ht="14.25" customHeight="1">
      <x:c r="A127" s="15" t="s">
        <x:v>170</x:v>
      </x:c>
      <x:c r="B127" s="15" t="str">
        <x:f>B120&amp;B121&amp;B122&amp;B123&amp;B124&amp;B125&amp;B126</x:f>
        <x:v>{"name":[{"value":"Cultiste Rabatteur"}],"appearance":[],"description":[],"creature_family":[{"target_id":"1004","label":"Démon"}],"environment":[],"archetype":[{"value":"standard","label":"Standard"}],"major_archetype":[{"value":"Physique majeur : Ravageur - Simple B = FOR +2, DEX +1 | Mental majeur : Vigilant - Simple B = SAG +2, CON +1","label":"Physique majeur : Ravageur - Simple B = FOR +2, DEX +1 | Mental majeur : Vigilant - Simple B = SAG +2, CON +1"}],"minor_archetype":[{"value":"Bousculeur - Simple = FOR +1","label":"Bousculeur - Simple = FOR +1"}],"boss_type":[],"boss_rank":[],"level":[{"value":"3"}],"category":[{"value":"fiend","label":"Démon"}],"size":[{"value":"medium","label":"Moyen"}],"str_mod":[{"value":"4"}],"str_comment":[],"dex_mod":[{"value":"1"}],"dex_comment":[],"con_mod":[{"value":"2"}],"con_comment":[],"int_mod":[{"value":"0"}],"int_comment":[],"wis_mod":[{"value":"2"}],"wis_comment":[],"cha_mod":[{"value":"2"}],"cha_comment":[],"sup_abilities":[],"defense":[{"value":"17"}],"health_point":[{"value":"18"}],"dmg_reduction":[{"value":"feu:2,poison:1,magique:1"}],"init":[{"value":"10"}],"attacks":[{"value":"&lt;p&gt;&lt;strong&gt;Crochet&lt;/strong&gt; +5 &lt;strong&gt;DM&lt;/strong&gt; 1d4+3&lt;br /&gt;&lt;strong&gt;Crochet a distance&lt;/strong&gt; +2 &lt;strong&gt;DM&lt;/strong&gt; 1d4+1&lt;br /&gt;&lt;/p&gt;","format":"simple_html","data":[{"name":"Crochet","test":"+5","dm":"1d4+3","special":null,"reach":null},{"name":"Crochet a distance","test":"+2","dm":"1d4+1","special":null,"reach":null}]}],"profile":[],"profile_level":[],"paths":[],"special_capabilities":[{"value":"&lt;p&gt;&lt;strong&gt;Prédicats Roll20&lt;/strong&gt; : resistanceA_feu resistanceA_ombre vulnerableA_lumiere resistanceA_tranchant&lt;br /&gt;&lt;/p&gt;","format":"simple_html"}],"structured_capabilities":[],"capabilities":[],"spells":[],"loot":[{"type":"CREATURE","value":"2d10 + 5 PA","family":"Démon","tier":"2-4","resources":"de l'ichor, des cornes, des crocs ou des fragments brûlés","action":"en prélevant avec prudence les parties encore instables du corps","rarity":"Utile","rp":"Vous récupérez l'équivalent de 2d10 + 5 PA en prélevant avec prudence les parties encore instables du corps : de l'ichor, des cornes, des crocs ou des fragments brûlés."}],"comments":[{"value":"&lt;p&gt;[LOOT]&lt;br /&gt;TYPE: CREATURE&lt;br /&gt;NAME: Cultiste Rabatteur&lt;br /&gt;VALUE: [[2d10 + 5]] PA&lt;br /&gt;FAMILY: Démon&lt;br /&gt;TIER: 2-4&lt;br /&gt;RARITY: Utile&lt;br /&gt;ACTION: en prélevant avec prudence les parties encore instables du corps&lt;br /&gt;RESOURCES: de l'ichor, des cornes, des crocs ou des fragments brûlés&lt;br /&gt;[/LOOT]&lt;/p&gt;","format":"simple_html"}],"picture":[]}</x:v>
      </x:c>
    </x:row>
    <x:row r="128" ht="14.25" customHeight="1"/>
    <x:row r="129" ht="14.25" customHeight="1"/>
    <x:row r="130" ht="14.25" customHeight="1"/>
    <x:row r="131" ht="14.25" customHeight="1"/>
    <x:row r="132" ht="14.25" customHeight="1"/>
    <x:row r="133" ht="14.25" customHeight="1"/>
    <x:row r="134" ht="14.25" customHeight="1"/>
    <x:row r="135" ht="14.25" customHeight="1"/>
    <x:row r="136" ht="14.25" customHeight="1"/>
    <x:row r="137" ht="14.25" customHeight="1"/>
    <x:row r="138" ht="14.25" customHeight="1"/>
    <x:row r="139" ht="14.25" customHeight="1"/>
    <x:row r="140" ht="14.25" customHeight="1"/>
    <x:row r="141" ht="14.25" customHeight="1"/>
    <x:row r="142" ht="14.25" customHeight="1"/>
    <x:row r="143" ht="14.25" customHeight="1"/>
    <x:row r="144" ht="14.25" customHeight="1"/>
    <x:row r="145" ht="14.25" customHeight="1"/>
    <x:row r="146" ht="14.25" customHeight="1"/>
    <x:row r="147" ht="14.25" customHeight="1"/>
    <x:row r="148" ht="14.25" customHeight="1"/>
    <x:row r="149" ht="14.25" customHeight="1"/>
    <x:row r="150" ht="14.25" customHeight="1"/>
    <x:row r="151" ht="14.25" customHeight="1"/>
    <x:row r="152" ht="14.25" customHeight="1"/>
    <x:row r="153" ht="14.25" customHeight="1"/>
    <x:row r="154" ht="14.25" customHeight="1"/>
    <x:row r="155" ht="14.25" customHeight="1"/>
    <x:row r="156" ht="14.25" customHeight="1"/>
    <x:row r="157" ht="14.25" customHeight="1"/>
    <x:row r="158" ht="14.25" customHeight="1"/>
    <x:row r="159" ht="14.25" customHeight="1"/>
    <x:row r="160" ht="14.25" customHeight="1"/>
    <x:row r="161" ht="14.25" customHeight="1"/>
    <x:row r="162" ht="14.25" customHeight="1"/>
    <x:row r="163" ht="14.25" customHeight="1"/>
    <x:row r="164" ht="14.25" customHeight="1"/>
    <x:row r="165" ht="14.25" customHeight="1"/>
    <x:row r="166" ht="14.25" customHeight="1"/>
    <x:row r="167" ht="14.25" customHeight="1"/>
    <x:row r="168" ht="14.25" customHeight="1"/>
    <x:row r="169" ht="14.25" customHeight="1"/>
    <x:row r="170" ht="14.25" customHeight="1"/>
    <x:row r="171" ht="14.25" customHeight="1"/>
    <x:row r="172" ht="14.25" customHeight="1"/>
    <x:row r="173" ht="14.25" customHeight="1"/>
    <x:row r="174" ht="14.25" customHeight="1"/>
    <x:row r="175" ht="14.25" customHeight="1"/>
    <x:row r="176" ht="14.25" customHeight="1"/>
    <x:row r="177" ht="14.25" customHeight="1"/>
    <x:row r="178" ht="14.25" customHeight="1"/>
    <x:row r="179" ht="14.25" customHeight="1"/>
    <x:row r="180" ht="14.25" customHeight="1"/>
    <x:row r="181" ht="14.25" customHeight="1"/>
    <x:row r="182" ht="14.25" customHeight="1"/>
    <x:row r="183" ht="14.25" customHeight="1"/>
    <x:row r="184" ht="14.25" customHeight="1"/>
    <x:row r="185" ht="14.25" customHeight="1"/>
    <x:row r="186" ht="14.25" customHeight="1"/>
    <x:row r="187" ht="14.25" customHeight="1"/>
    <x:row r="188" ht="14.25" customHeight="1"/>
    <x:row r="189" ht="14.25" customHeight="1"/>
    <x:row r="190" ht="14.25" customHeight="1"/>
    <x:row r="191" ht="14.25" customHeight="1"/>
    <x:row r="192" ht="14.25" customHeight="1"/>
    <x:row r="193" ht="14.25" customHeight="1"/>
    <x:row r="194" ht="14.25" customHeight="1"/>
    <x:row r="195" ht="14.25" customHeight="1"/>
    <x:row r="196" ht="14.25" customHeight="1"/>
    <x:row r="197" ht="14.25" customHeight="1"/>
    <x:row r="198" ht="14.25" customHeight="1"/>
    <x:row r="199" ht="14.25" customHeight="1"/>
    <x:row r="200" ht="14.25" customHeight="1"/>
    <x:row r="201" ht="14.25" customHeight="1"/>
    <x:row r="202" ht="14.25" customHeight="1"/>
    <x:row r="203" ht="14.25" customHeight="1"/>
    <x:row r="204" ht="14.25" customHeight="1"/>
    <x:row r="205" ht="14.25" customHeight="1"/>
    <x:row r="206" ht="14.25" customHeight="1"/>
    <x:row r="207" ht="14.25" customHeight="1"/>
    <x:row r="208" ht="14.25" customHeight="1"/>
    <x:row r="209" ht="14.25" customHeight="1"/>
    <x:row r="210" ht="14.25" customHeight="1"/>
    <x:row r="211" ht="14.25" customHeight="1"/>
    <x:row r="212" ht="14.25" customHeight="1"/>
    <x:row r="213" ht="14.25" customHeight="1"/>
    <x:row r="214" ht="14.25" customHeight="1"/>
    <x:row r="215" ht="14.25" customHeight="1"/>
    <x:row r="216" ht="14.25" customHeight="1"/>
    <x:row r="217" ht="14.25" customHeight="1"/>
    <x:row r="218" ht="14.25" customHeight="1"/>
    <x:row r="219" ht="14.25" customHeight="1"/>
    <x:row r="220" ht="14.25" customHeight="1"/>
    <x:row r="221" ht="14.25" customHeight="1"/>
    <x:row r="222" ht="14.25" customHeight="1"/>
    <x:row r="223" ht="14.25" customHeight="1"/>
    <x:row r="224" ht="14.25" customHeight="1"/>
    <x:row r="225" ht="14.25" customHeight="1"/>
    <x:row r="226" ht="14.25" customHeight="1"/>
    <x:row r="227" ht="14.25" customHeight="1"/>
    <x:row r="228" ht="14.25" customHeight="1"/>
    <x:row r="229" ht="14.25" customHeight="1"/>
    <x:row r="230" ht="14.25" customHeight="1"/>
    <x:row r="231" ht="14.25" customHeight="1"/>
    <x:row r="232" ht="14.25" customHeight="1"/>
    <x:row r="233" ht="14.25" customHeight="1"/>
    <x:row r="234" ht="14.25" customHeight="1"/>
    <x:row r="235" ht="14.25" customHeight="1"/>
    <x:row r="236" ht="14.25" customHeight="1"/>
    <x:row r="237" ht="14.25" customHeight="1"/>
    <x:row r="238" ht="14.25" customHeight="1"/>
    <x:row r="239" ht="14.25" customHeight="1"/>
    <x:row r="240" ht="14.25" customHeight="1"/>
    <x:row r="241" ht="14.25" customHeight="1"/>
    <x:row r="242" ht="14.25" customHeight="1"/>
    <x:row r="243" ht="14.25" customHeight="1"/>
    <x:row r="244" ht="14.25" customHeight="1"/>
    <x:row r="245" ht="14.25" customHeight="1"/>
    <x:row r="246" ht="14.25" customHeight="1"/>
    <x:row r="247" ht="14.25" customHeight="1"/>
    <x:row r="248" ht="14.25" customHeight="1"/>
    <x:row r="249" ht="14.25" customHeight="1"/>
    <x:row r="250" ht="14.25" customHeight="1"/>
    <x:row r="251" ht="14.25" customHeight="1"/>
    <x:row r="252" ht="14.25" customHeight="1"/>
    <x:row r="253" ht="14.25" customHeight="1"/>
    <x:row r="254" ht="14.25" customHeight="1"/>
    <x:row r="255" ht="14.25" customHeight="1"/>
    <x:row r="256" ht="14.25" customHeight="1"/>
    <x:row r="257" ht="14.25" customHeight="1"/>
    <x:row r="258" ht="14.25" customHeight="1"/>
    <x:row r="259" ht="14.25" customHeight="1"/>
    <x:row r="260" ht="14.25" customHeight="1"/>
    <x:row r="261" ht="14.25" customHeight="1"/>
    <x:row r="262" ht="14.25" customHeight="1"/>
    <x:row r="263" ht="14.25" customHeight="1"/>
    <x:row r="264" ht="14.25" customHeight="1"/>
    <x:row r="265" ht="14.25" customHeight="1"/>
    <x:row r="266" ht="14.25" customHeight="1"/>
    <x:row r="267" ht="14.25" customHeight="1"/>
    <x:row r="268" ht="14.25" customHeight="1"/>
    <x:row r="269" ht="14.25" customHeight="1"/>
    <x:row r="270" ht="14.25" customHeight="1"/>
    <x:row r="271" ht="14.25" customHeight="1"/>
    <x:row r="272" ht="14.25" customHeight="1"/>
    <x:row r="273" ht="14.25" customHeight="1"/>
    <x:row r="274" ht="14.25" customHeight="1"/>
    <x:row r="275" ht="14.25" customHeight="1"/>
    <x:row r="276" ht="14.25" customHeight="1"/>
    <x:row r="277" ht="14.25" customHeight="1"/>
    <x:row r="278" ht="14.25" customHeight="1"/>
    <x:row r="279" ht="14.25" customHeight="1"/>
    <x:row r="280" ht="14.25" customHeight="1"/>
    <x:row r="281" ht="14.25" customHeight="1"/>
    <x:row r="282" ht="14.25" customHeight="1"/>
    <x:row r="283" ht="14.25" customHeight="1"/>
    <x:row r="284" ht="14.25" customHeight="1"/>
    <x:row r="285" ht="14.25" customHeight="1"/>
    <x:row r="286" ht="14.25" customHeight="1"/>
    <x:row r="287" ht="14.25" customHeight="1"/>
    <x:row r="288" ht="14.25" customHeight="1"/>
    <x:row r="289" ht="14.25" customHeight="1"/>
    <x:row r="290" ht="14.25" customHeight="1"/>
    <x:row r="291" ht="14.25" customHeight="1"/>
    <x:row r="292" ht="14.25" customHeight="1"/>
    <x:row r="293" ht="14.25" customHeight="1"/>
    <x:row r="294" ht="14.25" customHeight="1"/>
    <x:row r="295" ht="14.25" customHeight="1"/>
    <x:row r="296" ht="14.25" customHeight="1"/>
    <x:row r="297" ht="14.25" customHeight="1"/>
    <x:row r="298" ht="14.25" customHeight="1"/>
    <x:row r="299" ht="14.25" customHeight="1"/>
    <x:row r="300" ht="14.25" customHeight="1"/>
    <x:row r="301" ht="14.25" customHeight="1"/>
    <x:row r="302" ht="14.25" customHeight="1"/>
    <x:row r="303" ht="14.25" customHeight="1"/>
    <x:row r="304" ht="14.25" customHeight="1"/>
    <x:row r="305" ht="14.25" customHeight="1"/>
    <x:row r="306" ht="14.25" customHeight="1"/>
    <x:row r="307" ht="14.25" customHeight="1"/>
    <x:row r="308" ht="14.25" customHeight="1"/>
    <x:row r="309" ht="14.25" customHeight="1"/>
    <x:row r="310" ht="14.25" customHeight="1"/>
    <x:row r="311" ht="14.25" customHeight="1"/>
    <x:row r="312" ht="14.25" customHeight="1"/>
    <x:row r="313" ht="14.25" customHeight="1"/>
    <x:row r="314" ht="14.25" customHeight="1"/>
    <x:row r="315" ht="14.25" customHeight="1"/>
    <x:row r="316" ht="14.25" customHeight="1"/>
    <x:row r="317" ht="14.25" customHeight="1"/>
    <x:row r="318" ht="14.25" customHeight="1"/>
    <x:row r="319" ht="14.25" customHeight="1"/>
    <x:row r="320" ht="14.25" customHeight="1"/>
    <x:row r="321" ht="14.25" customHeight="1"/>
    <x:row r="322" ht="14.25" customHeight="1"/>
    <x:row r="323" ht="14.25" customHeight="1"/>
    <x:row r="324" ht="14.25" customHeight="1"/>
    <x:row r="325" ht="14.25" customHeight="1"/>
    <x:row r="326" ht="14.25" customHeight="1"/>
    <x:row r="327" ht="14.2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mergeCells>
    <x:mergeCell ref="A1:D1"/>
  </x:mergeCells>
  <x:pageMargins left="0.7" right="0.7" top="0.75" bottom="0.75" header="0.3" footer="0.3"/>
</x:worksheet>
</file>

<file path=xl/worksheets/sheet3.xml><?xml version="1.0" encoding="utf-8"?>
<x:worksheet xmlns:x="http://schemas.openxmlformats.org/spreadsheetml/2006/main">
  <x:sheetFormatPr defaultColWidth="12.630000114440918" defaultRowHeight="15"/>
  <x:cols>
    <x:col min="1" max="1" width="70" customWidth="1"/>
    <x:col min="2" max="6" width="9" customWidth="1"/>
  </x:cols>
  <x:sheetData>
    <x:row r="1" ht="14.25" customHeight="1">
      <x:c r="A1" s="6" t="s">
        <x:v>171</x:v>
      </x:c>
    </x:row>
    <x:row r="2" ht="180" customHeight="1">
      <x:c r="A2" s="18" t="str">
        <x:f>Calculs!B127</x:f>
        <x:v>{"name":[{"value":"Cultiste Rabatteur"}],"appearance":[],"description":[],"creature_family":[{"target_id":"1004","label":"Démon"}],"environment":[],"archetype":[{"value":"standard","label":"Standard"}],"major_archetype":[{"value":"Physique majeur : Ravageur - Simple B = FOR +2, DEX +1 | Mental majeur : Vigilant - Simple B = SAG +2, CON +1","label":"Physique majeur : Ravageur - Simple B = FOR +2, DEX +1 | Mental majeur : Vigilant - Simple B = SAG +2, CON +1"}],"minor_archetype":[{"value":"Bousculeur - Simple = FOR +1","label":"Bousculeur - Simple = FOR +1"}],"boss_type":[],"boss_rank":[],"level":[{"value":"3"}],"category":[{"value":"fiend","label":"Démon"}],"size":[{"value":"medium","label":"Moyen"}],"str_mod":[{"value":"4"}],"str_comment":[],"dex_mod":[{"value":"1"}],"dex_comment":[],"con_mod":[{"value":"2"}],"con_comment":[],"int_mod":[{"value":"0"}],"int_comment":[],"wis_mod":[{"value":"2"}],"wis_comment":[],"cha_mod":[{"value":"2"}],"cha_comment":[],"sup_abilities":[],"defense":[{"value":"17"}],"health_point":[{"value":"18"}],"dmg_reduction":[{"value":"feu:2,poison:1,magique:1"}],"init":[{"value":"10"}],"attacks":[{"value":"&lt;p&gt;&lt;strong&gt;Crochet&lt;/strong&gt; +5 &lt;strong&gt;DM&lt;/strong&gt; 1d4+3&lt;br /&gt;&lt;strong&gt;Crochet a distance&lt;/strong&gt; +2 &lt;strong&gt;DM&lt;/strong&gt; 1d4+1&lt;br /&gt;&lt;/p&gt;","format":"simple_html","data":[{"name":"Crochet","test":"+5","dm":"1d4+3","special":null,"reach":null},{"name":"Crochet a distance","test":"+2","dm":"1d4+1","special":null,"reach":null}]}],"profile":[],"profile_level":[],"paths":[],"special_capabilities":[{"value":"&lt;p&gt;&lt;strong&gt;Prédicats Roll20&lt;/strong&gt; : resistanceA_feu resistanceA_ombre vulnerableA_lumiere resistanceA_tranchant&lt;br /&gt;&lt;/p&gt;","format":"simple_html"}],"structured_capabilities":[],"capabilities":[],"spells":[],"loot":[{"type":"CREATURE","value":"2d10 + 5 PA","family":"Démon","tier":"2-4","resources":"de l'ichor, des cornes, des crocs ou des fragments brûlés","action":"en prélevant avec prudence les parties encore instables du corps","rarity":"Utile","rp":"Vous récupérez l'équivalent de 2d10 + 5 PA en prélevant avec prudence les parties encore instables du corps : de l'ichor, des cornes, des crocs ou des fragments brûlés."}],"comments":[{"value":"&lt;p&gt;[LOOT]&lt;br /&gt;TYPE: CREATURE&lt;br /&gt;NAME: Cultiste Rabatteur&lt;br /&gt;VALUE: [[2d10 + 5]] PA&lt;br /&gt;FAMILY: Démon&lt;br /&gt;TIER: 2-4&lt;br /&gt;RARITY: Utile&lt;br /&gt;ACTION: en prélevant avec prudence les parties encore instables du corps&lt;br /&gt;RESOURCES: de l'ichor, des cornes, des crocs ou des fragments brûlés&lt;br /&gt;[/LOOT]&lt;/p&gt;","format":"simple_html"}],"picture":[]}</x:v>
      </x:c>
    </x:row>
    <x:row r="3" ht="14.25" customHeight="1">
      <x:c r="A3" s="20" t="s">
        <x:v>172</x:v>
      </x:c>
    </x:row>
    <x:row r="4" ht="14.25" customHeight="1">
      <x:c r="A4" s="23" t="str">
        <x:f>Calculs!B92</x:f>
        <x:v>resistanceA_feu resistanceA_ombre vulnerableA_lumiere resistanceA_tranchant</x:v>
      </x:c>
    </x:row>
    <x:row r="5" ht="14.25" customHeight="1">
      <x:c r="A5" s="24" t="s">
        <x:v>173</x:v>
      </x:c>
    </x:row>
    <x:row r="6" ht="14.25" customHeight="1">
      <x:c r="A6" s="24" t="str">
        <x:f>Calculs!B42</x:f>
        <x:v>[LOOT]
TYPE: CREATURE
NAME: Cultiste Rabatteur
VALUE: [[2d10 + 5]] PA
FAMILY: Démon
TIER: 2-4
RARITY: Utile
ACTION: en prélevant avec prudence les parties encore instables du corps
RESOURCES: de l'ichor, des cornes, des crocs ou des fragments brûlés
[/LOOT]</x:v>
      </x:c>
    </x:row>
    <x:row r="7" ht="14.25" customHeight="1"/>
    <x:row r="8" ht="14.25" customHeight="1"/>
    <x:row r="9" ht="14.25" customHeight="1"/>
    <x:row r="10" ht="14.25" customHeight="1"/>
    <x:row r="11" ht="14.25" customHeight="1"/>
    <x:row r="12" ht="14.25" customHeight="1"/>
    <x:row r="13" ht="14.25" customHeight="1"/>
    <x:row r="14" ht="14.25" customHeight="1"/>
    <x:row r="15" ht="14.25" customHeight="1"/>
    <x:row r="16" ht="14.25" customHeight="1"/>
    <x:row r="17" ht="14.25" customHeight="1"/>
    <x:row r="18" ht="14.25" customHeight="1"/>
    <x:row r="19" ht="14.25" customHeight="1"/>
    <x:row r="20" ht="14.25" customHeight="1"/>
    <x:row r="21" ht="14.25" customHeight="1"/>
    <x:row r="22" ht="14.25" customHeight="1"/>
    <x:row r="23" ht="14.25" customHeight="1"/>
    <x:row r="24" ht="14.25" customHeight="1"/>
    <x:row r="25" ht="14.25" customHeight="1"/>
    <x:row r="26" ht="14.25" customHeight="1"/>
    <x:row r="27" ht="14.25" customHeight="1"/>
    <x:row r="28" ht="14.25" customHeight="1"/>
    <x:row r="29" ht="14.25" customHeight="1"/>
    <x:row r="30" ht="14.25" customHeight="1"/>
    <x:row r="31" ht="14.25" customHeight="1"/>
    <x:row r="32" ht="14.25" customHeight="1"/>
    <x:row r="33" ht="14.25" customHeight="1"/>
    <x:row r="34" ht="14.25" customHeight="1"/>
    <x:row r="35" ht="14.25" customHeight="1"/>
    <x:row r="36" ht="14.25" customHeight="1"/>
    <x:row r="37" ht="14.25" customHeight="1"/>
    <x:row r="38" ht="14.25" customHeight="1"/>
    <x:row r="39" ht="14.25" customHeight="1"/>
    <x:row r="40" ht="14.25" customHeight="1"/>
    <x:row r="41" ht="14.25" customHeight="1"/>
    <x:row r="42" ht="14.25" customHeight="1"/>
    <x:row r="43" ht="14.25" customHeight="1"/>
    <x:row r="44" ht="14.25" customHeight="1"/>
    <x:row r="45" ht="14.25" customHeight="1"/>
    <x:row r="46" ht="14.25" customHeight="1"/>
    <x:row r="47" ht="14.25" customHeight="1"/>
    <x:row r="48" ht="14.25" customHeight="1"/>
    <x:row r="49" ht="14.25" customHeight="1"/>
    <x:row r="50" ht="14.25" customHeight="1"/>
    <x:row r="51" ht="14.25" customHeight="1"/>
    <x:row r="52" ht="14.25" customHeight="1"/>
    <x:row r="53" ht="14.25" customHeight="1"/>
    <x:row r="54" ht="14.25" customHeight="1"/>
    <x:row r="55" ht="14.25" customHeight="1"/>
    <x:row r="56" ht="14.25" customHeight="1"/>
    <x:row r="57" ht="14.25" customHeight="1"/>
    <x:row r="58" ht="14.25" customHeight="1"/>
    <x:row r="59" ht="14.25" customHeight="1"/>
    <x:row r="60" ht="14.25" customHeight="1"/>
    <x:row r="61" ht="14.25" customHeight="1"/>
    <x:row r="62" ht="14.25" customHeight="1"/>
    <x:row r="63" ht="14.25" customHeight="1"/>
    <x:row r="64" ht="14.25" customHeight="1"/>
    <x:row r="65" ht="14.25" customHeight="1"/>
    <x:row r="66" ht="14.25" customHeight="1"/>
    <x:row r="67" ht="14.25" customHeight="1"/>
    <x:row r="68" ht="14.25" customHeight="1"/>
    <x:row r="69" ht="14.25" customHeight="1"/>
    <x:row r="70" ht="14.25" customHeight="1"/>
    <x:row r="71" ht="14.25" customHeight="1"/>
    <x:row r="72" ht="14.25" customHeight="1"/>
    <x:row r="73" ht="14.25" customHeight="1"/>
    <x:row r="74" ht="14.25" customHeight="1"/>
    <x:row r="75" ht="14.25" customHeight="1"/>
    <x:row r="76" ht="14.25" customHeight="1"/>
    <x:row r="77" ht="14.25" customHeight="1"/>
    <x:row r="78" ht="14.25" customHeight="1"/>
    <x:row r="79" ht="14.25" customHeight="1"/>
    <x:row r="80" ht="14.25" customHeight="1"/>
    <x:row r="81" ht="14.25" customHeight="1"/>
    <x:row r="82" ht="14.25" customHeight="1"/>
    <x:row r="83" ht="14.25" customHeight="1"/>
    <x:row r="84" ht="14.25" customHeight="1"/>
    <x:row r="85" ht="14.25" customHeight="1"/>
    <x:row r="86" ht="14.25" customHeight="1"/>
    <x:row r="87" ht="14.25" customHeight="1"/>
    <x:row r="88" ht="14.25" customHeight="1"/>
    <x:row r="89" ht="14.25" customHeight="1"/>
    <x:row r="90" ht="14.25" customHeight="1"/>
    <x:row r="91" ht="14.25" customHeight="1"/>
    <x:row r="92" ht="14.25" customHeight="1"/>
    <x:row r="93" ht="14.25" customHeight="1"/>
    <x:row r="94" ht="14.25" customHeight="1"/>
    <x:row r="95" ht="14.25" customHeight="1"/>
    <x:row r="96" ht="14.25" customHeight="1"/>
    <x:row r="97" ht="14.25" customHeight="1"/>
    <x:row r="98" ht="14.25" customHeight="1"/>
    <x:row r="99" ht="14.25" customHeight="1"/>
    <x:row r="100" ht="14.25" customHeight="1"/>
    <x:row r="101" ht="14.25" customHeight="1"/>
    <x:row r="102" ht="14.25" customHeight="1"/>
    <x:row r="103" ht="14.25" customHeight="1"/>
    <x:row r="104" ht="14.25" customHeight="1"/>
    <x:row r="105" ht="14.25" customHeight="1"/>
    <x:row r="106" ht="14.25" customHeight="1"/>
    <x:row r="107" ht="14.25" customHeight="1"/>
    <x:row r="108" ht="14.25" customHeight="1"/>
    <x:row r="109" ht="14.25" customHeight="1"/>
    <x:row r="110" ht="14.25" customHeight="1"/>
    <x:row r="111" ht="14.25" customHeight="1"/>
    <x:row r="112" ht="14.25" customHeight="1"/>
    <x:row r="113" ht="14.25" customHeight="1"/>
    <x:row r="114" ht="14.25" customHeight="1"/>
    <x:row r="115" ht="14.25" customHeight="1"/>
    <x:row r="116" ht="14.25" customHeight="1"/>
    <x:row r="117" ht="14.25" customHeight="1"/>
    <x:row r="118" ht="14.25" customHeight="1"/>
    <x:row r="119" ht="14.25" customHeight="1"/>
    <x:row r="120" ht="14.25" customHeight="1"/>
    <x:row r="121" ht="14.25" customHeight="1"/>
    <x:row r="122" ht="14.25" customHeight="1"/>
    <x:row r="123" ht="14.25" customHeight="1"/>
    <x:row r="124" ht="14.25" customHeight="1"/>
    <x:row r="125" ht="14.25" customHeight="1"/>
    <x:row r="126" ht="14.25" customHeight="1"/>
    <x:row r="127" ht="14.25" customHeight="1"/>
    <x:row r="128" ht="14.25" customHeight="1"/>
    <x:row r="129" ht="14.25" customHeight="1"/>
    <x:row r="130" ht="14.25" customHeight="1"/>
    <x:row r="131" ht="14.25" customHeight="1"/>
    <x:row r="132" ht="14.25" customHeight="1"/>
    <x:row r="133" ht="14.25" customHeight="1"/>
    <x:row r="134" ht="14.25" customHeight="1"/>
    <x:row r="135" ht="14.25" customHeight="1"/>
    <x:row r="136" ht="14.25" customHeight="1"/>
    <x:row r="137" ht="14.25" customHeight="1"/>
    <x:row r="138" ht="14.25" customHeight="1"/>
    <x:row r="139" ht="14.25" customHeight="1"/>
    <x:row r="140" ht="14.25" customHeight="1"/>
    <x:row r="141" ht="14.25" customHeight="1"/>
    <x:row r="142" ht="14.25" customHeight="1"/>
    <x:row r="143" ht="14.25" customHeight="1"/>
    <x:row r="144" ht="14.25" customHeight="1"/>
    <x:row r="145" ht="14.25" customHeight="1"/>
    <x:row r="146" ht="14.25" customHeight="1"/>
    <x:row r="147" ht="14.25" customHeight="1"/>
    <x:row r="148" ht="14.25" customHeight="1"/>
    <x:row r="149" ht="14.25" customHeight="1"/>
    <x:row r="150" ht="14.25" customHeight="1"/>
    <x:row r="151" ht="14.25" customHeight="1"/>
    <x:row r="152" ht="14.25" customHeight="1"/>
    <x:row r="153" ht="14.25" customHeight="1"/>
    <x:row r="154" ht="14.25" customHeight="1"/>
    <x:row r="155" ht="14.25" customHeight="1"/>
    <x:row r="156" ht="14.25" customHeight="1"/>
    <x:row r="157" ht="14.25" customHeight="1"/>
    <x:row r="158" ht="14.25" customHeight="1"/>
    <x:row r="159" ht="14.25" customHeight="1"/>
    <x:row r="160" ht="14.25" customHeight="1"/>
    <x:row r="161" ht="14.25" customHeight="1"/>
    <x:row r="162" ht="14.25" customHeight="1"/>
    <x:row r="163" ht="14.25" customHeight="1"/>
    <x:row r="164" ht="14.25" customHeight="1"/>
    <x:row r="165" ht="14.25" customHeight="1"/>
    <x:row r="166" ht="14.25" customHeight="1"/>
    <x:row r="167" ht="14.25" customHeight="1"/>
    <x:row r="168" ht="14.25" customHeight="1"/>
    <x:row r="169" ht="14.25" customHeight="1"/>
    <x:row r="170" ht="14.25" customHeight="1"/>
    <x:row r="171" ht="14.25" customHeight="1"/>
    <x:row r="172" ht="14.25" customHeight="1"/>
    <x:row r="173" ht="14.25" customHeight="1"/>
    <x:row r="174" ht="14.25" customHeight="1"/>
    <x:row r="175" ht="14.25" customHeight="1"/>
    <x:row r="176" ht="14.25" customHeight="1"/>
    <x:row r="177" ht="14.25" customHeight="1"/>
    <x:row r="178" ht="14.25" customHeight="1"/>
    <x:row r="179" ht="14.25" customHeight="1"/>
    <x:row r="180" ht="14.25" customHeight="1"/>
    <x:row r="181" ht="14.25" customHeight="1"/>
    <x:row r="182" ht="14.25" customHeight="1"/>
    <x:row r="183" ht="14.25" customHeight="1"/>
    <x:row r="184" ht="14.25" customHeight="1"/>
    <x:row r="185" ht="14.25" customHeight="1"/>
    <x:row r="186" ht="14.25" customHeight="1"/>
    <x:row r="187" ht="14.25" customHeight="1"/>
    <x:row r="188" ht="14.25" customHeight="1"/>
    <x:row r="189" ht="14.25" customHeight="1"/>
    <x:row r="190" ht="14.25" customHeight="1"/>
    <x:row r="191" ht="14.25" customHeight="1"/>
    <x:row r="192" ht="14.25" customHeight="1"/>
    <x:row r="193" ht="14.25" customHeight="1"/>
    <x:row r="194" ht="14.25" customHeight="1"/>
    <x:row r="195" ht="14.25" customHeight="1"/>
    <x:row r="196" ht="14.25" customHeight="1"/>
    <x:row r="197" ht="14.25" customHeight="1"/>
    <x:row r="198" ht="14.25" customHeight="1"/>
    <x:row r="199" ht="14.25" customHeight="1"/>
    <x:row r="200" ht="14.25" customHeight="1"/>
    <x:row r="201" ht="14.25" customHeight="1"/>
    <x:row r="202" ht="14.25" customHeight="1"/>
    <x:row r="203" ht="14.25" customHeight="1"/>
    <x:row r="204" ht="14.25" customHeight="1"/>
    <x:row r="205" ht="14.25" customHeight="1"/>
    <x:row r="206" ht="14.25" customHeight="1"/>
    <x:row r="207" ht="14.25" customHeight="1"/>
    <x:row r="208" ht="14.25" customHeight="1"/>
    <x:row r="209" ht="14.25" customHeight="1"/>
    <x:row r="210" ht="14.25" customHeight="1"/>
    <x:row r="211" ht="14.25" customHeight="1"/>
    <x:row r="212" ht="14.25" customHeight="1"/>
    <x:row r="213" ht="14.25" customHeight="1"/>
    <x:row r="214" ht="14.25" customHeight="1"/>
    <x:row r="215" ht="14.25" customHeight="1"/>
    <x:row r="216" ht="14.25" customHeight="1"/>
    <x:row r="217" ht="14.25" customHeight="1"/>
    <x:row r="218" ht="14.25" customHeight="1"/>
    <x:row r="219" ht="14.25" customHeight="1"/>
    <x:row r="220" ht="14.2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pageMargins left="0.7" right="0.7" top="0.75" bottom="0.75" header="0.3" footer="0.3"/>
</x:worksheet>
</file>

<file path=xl/worksheets/sheet4.xml><?xml version="1.0" encoding="utf-8"?>
<x:worksheet xmlns:x="http://schemas.openxmlformats.org/spreadsheetml/2006/main">
  <x:sheetFormatPr defaultColWidth="12.630000114440918" defaultRowHeight="15"/>
  <x:cols>
    <x:col min="1" max="1" width="24" customWidth="1"/>
    <x:col min="2" max="2" width="31" customWidth="1"/>
    <x:col min="3" max="14" width="8" customWidth="1"/>
    <x:col min="15" max="15" width="42" customWidth="1"/>
    <x:col min="16" max="16" width="10" customWidth="1"/>
    <x:col min="17" max="18" width="9" customWidth="1"/>
  </x:cols>
  <x:sheetData>
    <x:row r="1" ht="21.75" customHeight="1">
      <x:c r="A1" s="1" t="s">
        <x:v>32</x:v>
      </x:c>
      <x:c r="B1" s="1" t="s">
        <x:v>174</x:v>
      </x:c>
      <x:c r="C1" s="1" t="s">
        <x:v>7</x:v>
      </x:c>
      <x:c r="D1" s="1" t="s">
        <x:v>10</x:v>
      </x:c>
      <x:c r="E1" s="1" t="s">
        <x:v>14</x:v>
      </x:c>
      <x:c r="F1" s="1" t="s">
        <x:v>17</x:v>
      </x:c>
      <x:c r="G1" s="1" t="s">
        <x:v>21</x:v>
      </x:c>
      <x:c r="H1" s="1" t="s">
        <x:v>25</x:v>
      </x:c>
      <x:c r="I1" s="1" t="s">
        <x:v>30</x:v>
      </x:c>
      <x:c r="J1" s="1" t="s">
        <x:v>175</x:v>
      </x:c>
      <x:c r="K1" s="1" t="s">
        <x:v>176</x:v>
      </x:c>
      <x:c r="L1" s="1" t="s">
        <x:v>177</x:v>
      </x:c>
      <x:c r="M1" s="1" t="s">
        <x:v>37</x:v>
      </x:c>
      <x:c r="N1" s="1" t="s">
        <x:v>178</x:v>
      </x:c>
      <x:c r="O1" s="1" t="s">
        <x:v>51</x:v>
      </x:c>
      <x:c r="P1" s="1" t="s">
        <x:v>179</x:v>
      </x:c>
    </x:row>
    <x:row r="2" ht="14.25" customHeight="1">
      <x:c r="A2" s="10" t="str">
        <x:f t="shared" ref="A2:A55" si="1">R2&amp;" = "&amp;B2</x:f>
        <x:v>Agressif - Simple = FOR +1</x:v>
      </x:c>
      <x:c r="B2" s="10" t="s">
        <x:v>180</x:v>
      </x:c>
      <x:c r="C2" s="13">
        <x:v>1.0</x:v>
      </x:c>
      <x:c r="D2" s="13">
        <x:v>0.0</x:v>
      </x:c>
      <x:c r="E2" s="13">
        <x:v>0.0</x:v>
      </x:c>
      <x:c r="F2" s="13">
        <x:v>0.0</x:v>
      </x:c>
      <x:c r="G2" s="13">
        <x:v>0.0</x:v>
      </x:c>
      <x:c r="H2" s="13">
        <x:v>0.0</x:v>
      </x:c>
      <x:c r="I2" s="15">
        <x:v>0.0</x:v>
      </x:c>
      <x:c r="J2" s="17">
        <x:v>1.0</x:v>
      </x:c>
      <x:c r="K2" s="15">
        <x:v>0.0</x:v>
      </x:c>
      <x:c r="L2" s="15">
        <x:v>0.0</x:v>
      </x:c>
      <x:c r="M2" s="15">
        <x:v>0.0</x:v>
      </x:c>
      <x:c r="N2" s="17">
        <x:v>0.62</x:v>
      </x:c>
      <x:c r="O2" s="10" t="s">
        <x:v>181</x:v>
      </x:c>
      <x:c r="P2" s="17">
        <x:v>1.0</x:v>
      </x:c>
      <x:c r="R2" s="10" t="s">
        <x:v>182</x:v>
      </x:c>
    </x:row>
    <x:row r="3" ht="14.25" customHeight="1">
      <x:c r="A3" s="10" t="str">
        <x:f t="shared" si="1"/>
        <x:v>Agressif - Avancé = FOR +1, CHA +1</x:v>
      </x:c>
      <x:c r="B3" s="10" t="s">
        <x:v>183</x:v>
      </x:c>
      <x:c r="C3" s="13">
        <x:v>1.0</x:v>
      </x:c>
      <x:c r="D3" s="13">
        <x:v>0.0</x:v>
      </x:c>
      <x:c r="E3" s="13">
        <x:v>0.0</x:v>
      </x:c>
      <x:c r="F3" s="13">
        <x:v>0.0</x:v>
      </x:c>
      <x:c r="G3" s="13">
        <x:v>0.0</x:v>
      </x:c>
      <x:c r="H3" s="13">
        <x:v>1.0</x:v>
      </x:c>
      <x:c r="I3" s="15">
        <x:v>0.0</x:v>
      </x:c>
      <x:c r="J3" s="17">
        <x:v>1.0</x:v>
      </x:c>
      <x:c r="K3" s="15">
        <x:v>0.0</x:v>
      </x:c>
      <x:c r="L3" s="15">
        <x:v>0.0</x:v>
      </x:c>
      <x:c r="M3" s="15">
        <x:v>0.0</x:v>
      </x:c>
      <x:c r="N3" s="17">
        <x:v>0.62</x:v>
      </x:c>
      <x:c r="O3" s="10" t="s">
        <x:v>184</x:v>
      </x:c>
      <x:c r="P3" s="17">
        <x:v>1.0</x:v>
      </x:c>
      <x:c r="R3" s="10" t="s">
        <x:v>185</x:v>
      </x:c>
    </x:row>
    <x:row r="4" ht="14.25" customHeight="1">
      <x:c r="A4" s="10" t="str">
        <x:f t="shared" si="1"/>
        <x:v>Agressif - Expert = FOR +2, CHA +1</x:v>
      </x:c>
      <x:c r="B4" s="10" t="s">
        <x:v>186</x:v>
      </x:c>
      <x:c r="C4" s="13">
        <x:v>2.0</x:v>
      </x:c>
      <x:c r="D4" s="13">
        <x:v>0.0</x:v>
      </x:c>
      <x:c r="E4" s="13">
        <x:v>0.0</x:v>
      </x:c>
      <x:c r="F4" s="13">
        <x:v>0.0</x:v>
      </x:c>
      <x:c r="G4" s="13">
        <x:v>0.0</x:v>
      </x:c>
      <x:c r="H4" s="13">
        <x:v>1.0</x:v>
      </x:c>
      <x:c r="I4" s="15">
        <x:v>0.0</x:v>
      </x:c>
      <x:c r="J4" s="17">
        <x:v>1.0</x:v>
      </x:c>
      <x:c r="K4" s="15">
        <x:v>0.0</x:v>
      </x:c>
      <x:c r="L4" s="15">
        <x:v>0.0</x:v>
      </x:c>
      <x:c r="M4" s="15">
        <x:v>0.0</x:v>
      </x:c>
      <x:c r="N4" s="17">
        <x:v>0.62</x:v>
      </x:c>
      <x:c r="O4" s="10" t="s">
        <x:v>187</x:v>
      </x:c>
      <x:c r="P4" s="17">
        <x:v>1.0</x:v>
      </x:c>
      <x:c r="R4" s="10" t="s">
        <x:v>188</x:v>
      </x:c>
    </x:row>
    <x:row r="5" ht="14.25" customHeight="1">
      <x:c r="A5" s="10" t="str">
        <x:f t="shared" si="1"/>
        <x:v>Féroce - Simple = FOR +1</x:v>
      </x:c>
      <x:c r="B5" s="10" t="s">
        <x:v>180</x:v>
      </x:c>
      <x:c r="C5" s="13">
        <x:v>1.0</x:v>
      </x:c>
      <x:c r="D5" s="13">
        <x:v>0.0</x:v>
      </x:c>
      <x:c r="E5" s="13">
        <x:v>0.0</x:v>
      </x:c>
      <x:c r="F5" s="13">
        <x:v>0.0</x:v>
      </x:c>
      <x:c r="G5" s="13">
        <x:v>0.0</x:v>
      </x:c>
      <x:c r="H5" s="13">
        <x:v>0.0</x:v>
      </x:c>
      <x:c r="I5" s="15">
        <x:v>0.0</x:v>
      </x:c>
      <x:c r="J5" s="17">
        <x:v>1.1</x:v>
      </x:c>
      <x:c r="K5" s="15">
        <x:v>0.0</x:v>
      </x:c>
      <x:c r="L5" s="15">
        <x:v>0.0</x:v>
      </x:c>
      <x:c r="M5" s="15">
        <x:v>0.0</x:v>
      </x:c>
      <x:c r="N5" s="17">
        <x:v>0.62</x:v>
      </x:c>
      <x:c r="O5" s="10" t="s">
        <x:v>189</x:v>
      </x:c>
      <x:c r="P5" s="17">
        <x:v>1.0</x:v>
      </x:c>
      <x:c r="R5" s="10" t="s">
        <x:v>190</x:v>
      </x:c>
    </x:row>
    <x:row r="6" ht="14.25" customHeight="1">
      <x:c r="A6" s="10" t="str">
        <x:f t="shared" si="1"/>
        <x:v>Féroce - Avancé = FOR +1, CON +1</x:v>
      </x:c>
      <x:c r="B6" s="10" t="s">
        <x:v>191</x:v>
      </x:c>
      <x:c r="C6" s="13">
        <x:v>1.0</x:v>
      </x:c>
      <x:c r="D6" s="13">
        <x:v>0.0</x:v>
      </x:c>
      <x:c r="E6" s="13">
        <x:v>1.0</x:v>
      </x:c>
      <x:c r="F6" s="13">
        <x:v>0.0</x:v>
      </x:c>
      <x:c r="G6" s="13">
        <x:v>0.0</x:v>
      </x:c>
      <x:c r="H6" s="13">
        <x:v>0.0</x:v>
      </x:c>
      <x:c r="I6" s="15">
        <x:v>0.0</x:v>
      </x:c>
      <x:c r="J6" s="17">
        <x:v>1.1</x:v>
      </x:c>
      <x:c r="K6" s="15">
        <x:v>0.0</x:v>
      </x:c>
      <x:c r="L6" s="15">
        <x:v>0.0</x:v>
      </x:c>
      <x:c r="M6" s="15">
        <x:v>0.0</x:v>
      </x:c>
      <x:c r="N6" s="17">
        <x:v>0.62</x:v>
      </x:c>
      <x:c r="O6" s="10" t="s">
        <x:v>192</x:v>
      </x:c>
      <x:c r="P6" s="17">
        <x:v>1.0</x:v>
      </x:c>
      <x:c r="R6" s="10" t="s">
        <x:v>193</x:v>
      </x:c>
    </x:row>
    <x:row r="7" ht="14.25" customHeight="1">
      <x:c r="A7" s="10" t="str">
        <x:f t="shared" si="1"/>
        <x:v>Féroce - Expert = FOR +2, CON +1</x:v>
      </x:c>
      <x:c r="B7" s="10" t="s">
        <x:v>194</x:v>
      </x:c>
      <x:c r="C7" s="13">
        <x:v>2.0</x:v>
      </x:c>
      <x:c r="D7" s="13">
        <x:v>0.0</x:v>
      </x:c>
      <x:c r="E7" s="13">
        <x:v>1.0</x:v>
      </x:c>
      <x:c r="F7" s="13">
        <x:v>0.0</x:v>
      </x:c>
      <x:c r="G7" s="13">
        <x:v>0.0</x:v>
      </x:c>
      <x:c r="H7" s="13">
        <x:v>0.0</x:v>
      </x:c>
      <x:c r="I7" s="15">
        <x:v>0.0</x:v>
      </x:c>
      <x:c r="J7" s="17">
        <x:v>1.1</x:v>
      </x:c>
      <x:c r="K7" s="15">
        <x:v>0.0</x:v>
      </x:c>
      <x:c r="L7" s="15">
        <x:v>0.0</x:v>
      </x:c>
      <x:c r="M7" s="15">
        <x:v>0.0</x:v>
      </x:c>
      <x:c r="N7" s="17">
        <x:v>0.62</x:v>
      </x:c>
      <x:c r="O7" s="10" t="s">
        <x:v>195</x:v>
      </x:c>
      <x:c r="P7" s="17">
        <x:v>1.0</x:v>
      </x:c>
      <x:c r="R7" s="10" t="s">
        <x:v>196</x:v>
      </x:c>
    </x:row>
    <x:row r="8" ht="14.25" customHeight="1">
      <x:c r="A8" s="10" t="str">
        <x:f t="shared" si="1"/>
        <x:v>Bousculeur - Simple = FOR +1</x:v>
      </x:c>
      <x:c r="B8" s="10" t="s">
        <x:v>180</x:v>
      </x:c>
      <x:c r="C8" s="13">
        <x:v>1.0</x:v>
      </x:c>
      <x:c r="D8" s="13">
        <x:v>0.0</x:v>
      </x:c>
      <x:c r="E8" s="13">
        <x:v>0.0</x:v>
      </x:c>
      <x:c r="F8" s="13">
        <x:v>0.0</x:v>
      </x:c>
      <x:c r="G8" s="13">
        <x:v>0.0</x:v>
      </x:c>
      <x:c r="H8" s="13">
        <x:v>0.0</x:v>
      </x:c>
      <x:c r="I8" s="15">
        <x:v>0.0</x:v>
      </x:c>
      <x:c r="J8" s="17">
        <x:v>1.0</x:v>
      </x:c>
      <x:c r="K8" s="15">
        <x:v>0.0</x:v>
      </x:c>
      <x:c r="L8" s="15">
        <x:v>0.0</x:v>
      </x:c>
      <x:c r="M8" s="15">
        <x:v>0.0</x:v>
      </x:c>
      <x:c r="N8" s="17">
        <x:v>0.64</x:v>
      </x:c>
      <x:c r="O8" s="10" t="s">
        <x:v>197</x:v>
      </x:c>
      <x:c r="P8" s="17">
        <x:v>1.0</x:v>
      </x:c>
      <x:c r="R8" s="10" t="s">
        <x:v>198</x:v>
      </x:c>
    </x:row>
    <x:row r="9" ht="14.25" customHeight="1">
      <x:c r="A9" s="10" t="str">
        <x:f t="shared" si="1"/>
        <x:v>Bousculeur - Avancé = FOR +1, DEX +1</x:v>
      </x:c>
      <x:c r="B9" s="10" t="s">
        <x:v>199</x:v>
      </x:c>
      <x:c r="C9" s="13">
        <x:v>1.0</x:v>
      </x:c>
      <x:c r="D9" s="13">
        <x:v>1.0</x:v>
      </x:c>
      <x:c r="E9" s="13">
        <x:v>0.0</x:v>
      </x:c>
      <x:c r="F9" s="13">
        <x:v>0.0</x:v>
      </x:c>
      <x:c r="G9" s="13">
        <x:v>0.0</x:v>
      </x:c>
      <x:c r="H9" s="13">
        <x:v>0.0</x:v>
      </x:c>
      <x:c r="I9" s="15">
        <x:v>0.0</x:v>
      </x:c>
      <x:c r="J9" s="17">
        <x:v>1.0</x:v>
      </x:c>
      <x:c r="K9" s="15">
        <x:v>0.0</x:v>
      </x:c>
      <x:c r="L9" s="15">
        <x:v>0.0</x:v>
      </x:c>
      <x:c r="M9" s="15">
        <x:v>0.0</x:v>
      </x:c>
      <x:c r="N9" s="17">
        <x:v>0.64</x:v>
      </x:c>
      <x:c r="O9" s="10" t="s">
        <x:v>200</x:v>
      </x:c>
      <x:c r="P9" s="17">
        <x:v>1.0</x:v>
      </x:c>
      <x:c r="R9" s="10" t="s">
        <x:v>201</x:v>
      </x:c>
    </x:row>
    <x:row r="10" ht="14.25" customHeight="1">
      <x:c r="A10" s="10" t="str">
        <x:f t="shared" si="1"/>
        <x:v>Bousculeur - Expert = FOR +2, DEX +1</x:v>
      </x:c>
      <x:c r="B10" s="10" t="s">
        <x:v>202</x:v>
      </x:c>
      <x:c r="C10" s="13">
        <x:v>2.0</x:v>
      </x:c>
      <x:c r="D10" s="13">
        <x:v>1.0</x:v>
      </x:c>
      <x:c r="E10" s="13">
        <x:v>0.0</x:v>
      </x:c>
      <x:c r="F10" s="13">
        <x:v>0.0</x:v>
      </x:c>
      <x:c r="G10" s="13">
        <x:v>0.0</x:v>
      </x:c>
      <x:c r="H10" s="13">
        <x:v>0.0</x:v>
      </x:c>
      <x:c r="I10" s="15">
        <x:v>0.0</x:v>
      </x:c>
      <x:c r="J10" s="17">
        <x:v>1.0</x:v>
      </x:c>
      <x:c r="K10" s="15">
        <x:v>0.0</x:v>
      </x:c>
      <x:c r="L10" s="15">
        <x:v>0.0</x:v>
      </x:c>
      <x:c r="M10" s="15">
        <x:v>0.0</x:v>
      </x:c>
      <x:c r="N10" s="17">
        <x:v>0.64</x:v>
      </x:c>
      <x:c r="O10" s="10" t="s">
        <x:v>203</x:v>
      </x:c>
      <x:c r="P10" s="17">
        <x:v>1.0</x:v>
      </x:c>
      <x:c r="R10" s="10" t="s">
        <x:v>204</x:v>
      </x:c>
    </x:row>
    <x:row r="11" ht="14.25" customHeight="1">
      <x:c r="A11" s="10" t="str">
        <x:f t="shared" si="1"/>
        <x:v>Rapide - Simple = DEX +1</x:v>
      </x:c>
      <x:c r="B11" s="10" t="s">
        <x:v>205</x:v>
      </x:c>
      <x:c r="C11" s="13">
        <x:v>0.0</x:v>
      </x:c>
      <x:c r="D11" s="13">
        <x:v>1.0</x:v>
      </x:c>
      <x:c r="E11" s="13">
        <x:v>0.0</x:v>
      </x:c>
      <x:c r="F11" s="13">
        <x:v>0.0</x:v>
      </x:c>
      <x:c r="G11" s="13">
        <x:v>0.0</x:v>
      </x:c>
      <x:c r="H11" s="13">
        <x:v>0.0</x:v>
      </x:c>
      <x:c r="I11" s="15">
        <x:v>0.0</x:v>
      </x:c>
      <x:c r="J11" s="17">
        <x:v>1.0</x:v>
      </x:c>
      <x:c r="K11" s="15">
        <x:v>0.0</x:v>
      </x:c>
      <x:c r="L11" s="15">
        <x:v>0.0</x:v>
      </x:c>
      <x:c r="M11" s="15">
        <x:v>0.0</x:v>
      </x:c>
      <x:c r="N11" s="17">
        <x:v>0.74</x:v>
      </x:c>
      <x:c r="O11" s="10" t="s">
        <x:v>206</x:v>
      </x:c>
      <x:c r="P11" s="17">
        <x:v>1.0</x:v>
      </x:c>
      <x:c r="R11" s="10" t="s">
        <x:v>207</x:v>
      </x:c>
    </x:row>
    <x:row r="12" ht="14.25" customHeight="1">
      <x:c r="A12" s="10" t="str">
        <x:f t="shared" si="1"/>
        <x:v>Rapide - Avancé = DEX +1, SAG +1</x:v>
      </x:c>
      <x:c r="B12" s="10" t="s">
        <x:v>208</x:v>
      </x:c>
      <x:c r="C12" s="13">
        <x:v>0.0</x:v>
      </x:c>
      <x:c r="D12" s="13">
        <x:v>1.0</x:v>
      </x:c>
      <x:c r="E12" s="13">
        <x:v>0.0</x:v>
      </x:c>
      <x:c r="F12" s="13">
        <x:v>0.0</x:v>
      </x:c>
      <x:c r="G12" s="13">
        <x:v>1.0</x:v>
      </x:c>
      <x:c r="H12" s="13">
        <x:v>0.0</x:v>
      </x:c>
      <x:c r="I12" s="15">
        <x:v>0.0</x:v>
      </x:c>
      <x:c r="J12" s="17">
        <x:v>1.0</x:v>
      </x:c>
      <x:c r="K12" s="15">
        <x:v>0.0</x:v>
      </x:c>
      <x:c r="L12" s="15">
        <x:v>0.0</x:v>
      </x:c>
      <x:c r="M12" s="15">
        <x:v>0.0</x:v>
      </x:c>
      <x:c r="N12" s="17">
        <x:v>0.74</x:v>
      </x:c>
      <x:c r="O12" s="10" t="s">
        <x:v>209</x:v>
      </x:c>
      <x:c r="P12" s="17">
        <x:v>1.0</x:v>
      </x:c>
      <x:c r="R12" s="10" t="s">
        <x:v>210</x:v>
      </x:c>
    </x:row>
    <x:row r="13" ht="14.25" customHeight="1">
      <x:c r="A13" s="10" t="str">
        <x:f t="shared" si="1"/>
        <x:v>Rapide - Expert = DEX +2, SAG +1</x:v>
      </x:c>
      <x:c r="B13" s="10" t="s">
        <x:v>211</x:v>
      </x:c>
      <x:c r="C13" s="13">
        <x:v>0.0</x:v>
      </x:c>
      <x:c r="D13" s="13">
        <x:v>2.0</x:v>
      </x:c>
      <x:c r="E13" s="13">
        <x:v>0.0</x:v>
      </x:c>
      <x:c r="F13" s="13">
        <x:v>0.0</x:v>
      </x:c>
      <x:c r="G13" s="13">
        <x:v>1.0</x:v>
      </x:c>
      <x:c r="H13" s="13">
        <x:v>0.0</x:v>
      </x:c>
      <x:c r="I13" s="15">
        <x:v>0.0</x:v>
      </x:c>
      <x:c r="J13" s="17">
        <x:v>1.0</x:v>
      </x:c>
      <x:c r="K13" s="15">
        <x:v>0.0</x:v>
      </x:c>
      <x:c r="L13" s="15">
        <x:v>0.0</x:v>
      </x:c>
      <x:c r="M13" s="15">
        <x:v>0.0</x:v>
      </x:c>
      <x:c r="N13" s="17">
        <x:v>0.74</x:v>
      </x:c>
      <x:c r="O13" s="10" t="s">
        <x:v>212</x:v>
      </x:c>
      <x:c r="P13" s="17">
        <x:v>1.0</x:v>
      </x:c>
      <x:c r="R13" s="10" t="s">
        <x:v>213</x:v>
      </x:c>
    </x:row>
    <x:row r="14" ht="14.25" customHeight="1">
      <x:c r="A14" s="10" t="str">
        <x:f t="shared" si="1"/>
        <x:v>Souple - Simple = DEX +1</x:v>
      </x:c>
      <x:c r="B14" s="10" t="s">
        <x:v>205</x:v>
      </x:c>
      <x:c r="C14" s="13">
        <x:v>0.0</x:v>
      </x:c>
      <x:c r="D14" s="13">
        <x:v>1.0</x:v>
      </x:c>
      <x:c r="E14" s="13">
        <x:v>0.0</x:v>
      </x:c>
      <x:c r="F14" s="13">
        <x:v>0.0</x:v>
      </x:c>
      <x:c r="G14" s="13">
        <x:v>0.0</x:v>
      </x:c>
      <x:c r="H14" s="13">
        <x:v>0.0</x:v>
      </x:c>
      <x:c r="I14" s="15">
        <x:v>0.0</x:v>
      </x:c>
      <x:c r="J14" s="17">
        <x:v>1.0</x:v>
      </x:c>
      <x:c r="K14" s="15">
        <x:v>0.0</x:v>
      </x:c>
      <x:c r="L14" s="15">
        <x:v>0.0</x:v>
      </x:c>
      <x:c r="M14" s="15">
        <x:v>0.0</x:v>
      </x:c>
      <x:c r="N14" s="17">
        <x:v>0.74</x:v>
      </x:c>
      <x:c r="O14" s="10" t="s">
        <x:v>214</x:v>
      </x:c>
      <x:c r="P14" s="17">
        <x:v>1.0</x:v>
      </x:c>
      <x:c r="R14" s="10" t="s">
        <x:v>215</x:v>
      </x:c>
    </x:row>
    <x:row r="15" ht="14.25" customHeight="1">
      <x:c r="A15" s="10" t="str">
        <x:f t="shared" si="1"/>
        <x:v>Souple - Avancé = DEX +1, CON +1</x:v>
      </x:c>
      <x:c r="B15" s="10" t="s">
        <x:v>216</x:v>
      </x:c>
      <x:c r="C15" s="13">
        <x:v>0.0</x:v>
      </x:c>
      <x:c r="D15" s="13">
        <x:v>1.0</x:v>
      </x:c>
      <x:c r="E15" s="13">
        <x:v>1.0</x:v>
      </x:c>
      <x:c r="F15" s="13">
        <x:v>0.0</x:v>
      </x:c>
      <x:c r="G15" s="13">
        <x:v>0.0</x:v>
      </x:c>
      <x:c r="H15" s="13">
        <x:v>0.0</x:v>
      </x:c>
      <x:c r="I15" s="15">
        <x:v>0.0</x:v>
      </x:c>
      <x:c r="J15" s="17">
        <x:v>1.0</x:v>
      </x:c>
      <x:c r="K15" s="15">
        <x:v>0.0</x:v>
      </x:c>
      <x:c r="L15" s="15">
        <x:v>0.0</x:v>
      </x:c>
      <x:c r="M15" s="15">
        <x:v>0.0</x:v>
      </x:c>
      <x:c r="N15" s="17">
        <x:v>0.74</x:v>
      </x:c>
      <x:c r="O15" s="10" t="s">
        <x:v>217</x:v>
      </x:c>
      <x:c r="P15" s="17">
        <x:v>1.0</x:v>
      </x:c>
      <x:c r="R15" s="10" t="s">
        <x:v>218</x:v>
      </x:c>
    </x:row>
    <x:row r="16" ht="14.25" customHeight="1">
      <x:c r="A16" s="10" t="str">
        <x:f t="shared" si="1"/>
        <x:v>Souple - Expert = DEX +2, CON +1</x:v>
      </x:c>
      <x:c r="B16" s="10" t="s">
        <x:v>219</x:v>
      </x:c>
      <x:c r="C16" s="13">
        <x:v>0.0</x:v>
      </x:c>
      <x:c r="D16" s="13">
        <x:v>2.0</x:v>
      </x:c>
      <x:c r="E16" s="13">
        <x:v>1.0</x:v>
      </x:c>
      <x:c r="F16" s="13">
        <x:v>0.0</x:v>
      </x:c>
      <x:c r="G16" s="13">
        <x:v>0.0</x:v>
      </x:c>
      <x:c r="H16" s="13">
        <x:v>0.0</x:v>
      </x:c>
      <x:c r="I16" s="15">
        <x:v>0.0</x:v>
      </x:c>
      <x:c r="J16" s="17">
        <x:v>1.0</x:v>
      </x:c>
      <x:c r="K16" s="15">
        <x:v>0.0</x:v>
      </x:c>
      <x:c r="L16" s="15">
        <x:v>0.0</x:v>
      </x:c>
      <x:c r="M16" s="15">
        <x:v>0.0</x:v>
      </x:c>
      <x:c r="N16" s="17">
        <x:v>0.74</x:v>
      </x:c>
      <x:c r="O16" s="10" t="s">
        <x:v>220</x:v>
      </x:c>
      <x:c r="P16" s="17">
        <x:v>1.0</x:v>
      </x:c>
      <x:c r="R16" s="10" t="s">
        <x:v>221</x:v>
      </x:c>
    </x:row>
    <x:row r="17" ht="14.25" customHeight="1">
      <x:c r="A17" s="10" t="str">
        <x:f t="shared" si="1"/>
        <x:v>Précis - Simple = DEX +1</x:v>
      </x:c>
      <x:c r="B17" s="10" t="s">
        <x:v>205</x:v>
      </x:c>
      <x:c r="C17" s="13">
        <x:v>0.0</x:v>
      </x:c>
      <x:c r="D17" s="13">
        <x:v>1.0</x:v>
      </x:c>
      <x:c r="E17" s="13">
        <x:v>0.0</x:v>
      </x:c>
      <x:c r="F17" s="13">
        <x:v>0.0</x:v>
      </x:c>
      <x:c r="G17" s="13">
        <x:v>0.0</x:v>
      </x:c>
      <x:c r="H17" s="13">
        <x:v>0.0</x:v>
      </x:c>
      <x:c r="I17" s="15">
        <x:v>0.0</x:v>
      </x:c>
      <x:c r="J17" s="17">
        <x:v>1.0</x:v>
      </x:c>
      <x:c r="K17" s="15">
        <x:v>0.0</x:v>
      </x:c>
      <x:c r="L17" s="15">
        <x:v>0.0</x:v>
      </x:c>
      <x:c r="M17" s="15">
        <x:v>0.0</x:v>
      </x:c>
      <x:c r="N17" s="17">
        <x:v>0.7</x:v>
      </x:c>
      <x:c r="O17" s="10" t="s">
        <x:v>222</x:v>
      </x:c>
      <x:c r="P17" s="17">
        <x:v>1.1</x:v>
      </x:c>
      <x:c r="R17" s="10" t="s">
        <x:v>223</x:v>
      </x:c>
    </x:row>
    <x:row r="18" ht="14.25" customHeight="1">
      <x:c r="A18" s="10" t="str">
        <x:f t="shared" si="1"/>
        <x:v>Précis - Avancé = DEX +1, INT +1</x:v>
      </x:c>
      <x:c r="B18" s="10" t="s">
        <x:v>224</x:v>
      </x:c>
      <x:c r="C18" s="13">
        <x:v>0.0</x:v>
      </x:c>
      <x:c r="D18" s="13">
        <x:v>1.0</x:v>
      </x:c>
      <x:c r="E18" s="13">
        <x:v>0.0</x:v>
      </x:c>
      <x:c r="F18" s="13">
        <x:v>1.0</x:v>
      </x:c>
      <x:c r="G18" s="13">
        <x:v>0.0</x:v>
      </x:c>
      <x:c r="H18" s="13">
        <x:v>0.0</x:v>
      </x:c>
      <x:c r="I18" s="15">
        <x:v>0.0</x:v>
      </x:c>
      <x:c r="J18" s="17">
        <x:v>1.0</x:v>
      </x:c>
      <x:c r="K18" s="15">
        <x:v>0.0</x:v>
      </x:c>
      <x:c r="L18" s="15">
        <x:v>0.0</x:v>
      </x:c>
      <x:c r="M18" s="15">
        <x:v>0.0</x:v>
      </x:c>
      <x:c r="N18" s="17">
        <x:v>0.7</x:v>
      </x:c>
      <x:c r="O18" s="10" t="s">
        <x:v>225</x:v>
      </x:c>
      <x:c r="P18" s="17">
        <x:v>1.1</x:v>
      </x:c>
      <x:c r="R18" s="10" t="s">
        <x:v>226</x:v>
      </x:c>
    </x:row>
    <x:row r="19" ht="14.25" customHeight="1">
      <x:c r="A19" s="10" t="str">
        <x:f t="shared" si="1"/>
        <x:v>Précis - Expert = DEX +2, INT +1</x:v>
      </x:c>
      <x:c r="B19" s="10" t="s">
        <x:v>227</x:v>
      </x:c>
      <x:c r="C19" s="13">
        <x:v>0.0</x:v>
      </x:c>
      <x:c r="D19" s="13">
        <x:v>2.0</x:v>
      </x:c>
      <x:c r="E19" s="13">
        <x:v>0.0</x:v>
      </x:c>
      <x:c r="F19" s="13">
        <x:v>1.0</x:v>
      </x:c>
      <x:c r="G19" s="13">
        <x:v>0.0</x:v>
      </x:c>
      <x:c r="H19" s="13">
        <x:v>0.0</x:v>
      </x:c>
      <x:c r="I19" s="15">
        <x:v>0.0</x:v>
      </x:c>
      <x:c r="J19" s="17">
        <x:v>1.0</x:v>
      </x:c>
      <x:c r="K19" s="15">
        <x:v>0.0</x:v>
      </x:c>
      <x:c r="L19" s="15">
        <x:v>0.0</x:v>
      </x:c>
      <x:c r="M19" s="15">
        <x:v>0.0</x:v>
      </x:c>
      <x:c r="N19" s="17">
        <x:v>0.7</x:v>
      </x:c>
      <x:c r="O19" s="10" t="s">
        <x:v>228</x:v>
      </x:c>
      <x:c r="P19" s="17">
        <x:v>1.1</x:v>
      </x:c>
      <x:c r="R19" s="10" t="s">
        <x:v>229</x:v>
      </x:c>
    </x:row>
    <x:row r="20" ht="14.25" customHeight="1">
      <x:c r="A20" s="10" t="str">
        <x:f t="shared" si="1"/>
        <x:v>Résistant - Simple = CON +1</x:v>
      </x:c>
      <x:c r="B20" s="10" t="s">
        <x:v>230</x:v>
      </x:c>
      <x:c r="C20" s="13">
        <x:v>0.0</x:v>
      </x:c>
      <x:c r="D20" s="13">
        <x:v>0.0</x:v>
      </x:c>
      <x:c r="E20" s="13">
        <x:v>1.0</x:v>
      </x:c>
      <x:c r="F20" s="13">
        <x:v>0.0</x:v>
      </x:c>
      <x:c r="G20" s="13">
        <x:v>0.0</x:v>
      </x:c>
      <x:c r="H20" s="13">
        <x:v>0.0</x:v>
      </x:c>
      <x:c r="I20" s="15">
        <x:v>0.0</x:v>
      </x:c>
      <x:c r="J20" s="17">
        <x:v>1.25</x:v>
      </x:c>
      <x:c r="K20" s="15">
        <x:v>0.0</x:v>
      </x:c>
      <x:c r="L20" s="15">
        <x:v>0.0</x:v>
      </x:c>
      <x:c r="M20" s="15">
        <x:v>0.0</x:v>
      </x:c>
      <x:c r="N20" s="17">
        <x:v>0.6</x:v>
      </x:c>
      <x:c r="O20" s="10" t="s">
        <x:v>231</x:v>
      </x:c>
      <x:c r="P20" s="17">
        <x:v>1.0</x:v>
      </x:c>
      <x:c r="R20" s="10" t="s">
        <x:v>232</x:v>
      </x:c>
    </x:row>
    <x:row r="21" ht="14.25" customHeight="1">
      <x:c r="A21" s="10" t="str">
        <x:f t="shared" si="1"/>
        <x:v>Résistant - Avancé = CON +1, FOR +1</x:v>
      </x:c>
      <x:c r="B21" s="10" t="s">
        <x:v>233</x:v>
      </x:c>
      <x:c r="C21" s="13">
        <x:v>1.0</x:v>
      </x:c>
      <x:c r="D21" s="13">
        <x:v>0.0</x:v>
      </x:c>
      <x:c r="E21" s="13">
        <x:v>1.0</x:v>
      </x:c>
      <x:c r="F21" s="13">
        <x:v>0.0</x:v>
      </x:c>
      <x:c r="G21" s="13">
        <x:v>0.0</x:v>
      </x:c>
      <x:c r="H21" s="13">
        <x:v>0.0</x:v>
      </x:c>
      <x:c r="I21" s="15">
        <x:v>0.0</x:v>
      </x:c>
      <x:c r="J21" s="17">
        <x:v>1.25</x:v>
      </x:c>
      <x:c r="K21" s="15">
        <x:v>0.0</x:v>
      </x:c>
      <x:c r="L21" s="15">
        <x:v>0.0</x:v>
      </x:c>
      <x:c r="M21" s="15">
        <x:v>0.0</x:v>
      </x:c>
      <x:c r="N21" s="17">
        <x:v>0.6</x:v>
      </x:c>
      <x:c r="O21" s="10" t="s">
        <x:v>234</x:v>
      </x:c>
      <x:c r="P21" s="17">
        <x:v>1.0</x:v>
      </x:c>
      <x:c r="R21" s="10" t="s">
        <x:v>235</x:v>
      </x:c>
    </x:row>
    <x:row r="22" ht="14.25" customHeight="1">
      <x:c r="A22" s="10" t="str">
        <x:f t="shared" si="1"/>
        <x:v>Résistant - Expert = CON +2, FOR +1</x:v>
      </x:c>
      <x:c r="B22" s="10" t="s">
        <x:v>236</x:v>
      </x:c>
      <x:c r="C22" s="13">
        <x:v>1.0</x:v>
      </x:c>
      <x:c r="D22" s="13">
        <x:v>0.0</x:v>
      </x:c>
      <x:c r="E22" s="13">
        <x:v>2.0</x:v>
      </x:c>
      <x:c r="F22" s="13">
        <x:v>0.0</x:v>
      </x:c>
      <x:c r="G22" s="13">
        <x:v>0.0</x:v>
      </x:c>
      <x:c r="H22" s="13">
        <x:v>0.0</x:v>
      </x:c>
      <x:c r="I22" s="15">
        <x:v>0.0</x:v>
      </x:c>
      <x:c r="J22" s="17">
        <x:v>1.25</x:v>
      </x:c>
      <x:c r="K22" s="15">
        <x:v>0.0</x:v>
      </x:c>
      <x:c r="L22" s="15">
        <x:v>0.0</x:v>
      </x:c>
      <x:c r="M22" s="15">
        <x:v>0.0</x:v>
      </x:c>
      <x:c r="N22" s="17">
        <x:v>0.6</x:v>
      </x:c>
      <x:c r="O22" s="10" t="s">
        <x:v>237</x:v>
      </x:c>
      <x:c r="P22" s="17">
        <x:v>1.0</x:v>
      </x:c>
      <x:c r="R22" s="10" t="s">
        <x:v>238</x:v>
      </x:c>
    </x:row>
    <x:row r="23" ht="14.25" customHeight="1">
      <x:c r="A23" s="10" t="str">
        <x:f t="shared" si="1"/>
        <x:v>Endurant - Simple = CON +1</x:v>
      </x:c>
      <x:c r="B23" s="10" t="s">
        <x:v>230</x:v>
      </x:c>
      <x:c r="C23" s="13">
        <x:v>0.0</x:v>
      </x:c>
      <x:c r="D23" s="13">
        <x:v>0.0</x:v>
      </x:c>
      <x:c r="E23" s="13">
        <x:v>1.0</x:v>
      </x:c>
      <x:c r="F23" s="13">
        <x:v>0.0</x:v>
      </x:c>
      <x:c r="G23" s="13">
        <x:v>0.0</x:v>
      </x:c>
      <x:c r="H23" s="13">
        <x:v>0.0</x:v>
      </x:c>
      <x:c r="I23" s="15">
        <x:v>0.0</x:v>
      </x:c>
      <x:c r="J23" s="17">
        <x:v>1.2</x:v>
      </x:c>
      <x:c r="K23" s="15">
        <x:v>0.0</x:v>
      </x:c>
      <x:c r="L23" s="15">
        <x:v>0.0</x:v>
      </x:c>
      <x:c r="M23" s="15">
        <x:v>0.0</x:v>
      </x:c>
      <x:c r="N23" s="17">
        <x:v>0.6</x:v>
      </x:c>
      <x:c r="O23" s="10" t="s">
        <x:v>239</x:v>
      </x:c>
      <x:c r="P23" s="17">
        <x:v>1.05</x:v>
      </x:c>
      <x:c r="R23" s="10" t="s">
        <x:v>240</x:v>
      </x:c>
    </x:row>
    <x:row r="24" ht="14.25" customHeight="1">
      <x:c r="A24" s="10" t="str">
        <x:f t="shared" si="1"/>
        <x:v>Endurant - Avancé = CON +1, SAG +1</x:v>
      </x:c>
      <x:c r="B24" s="10" t="s">
        <x:v>241</x:v>
      </x:c>
      <x:c r="C24" s="13">
        <x:v>0.0</x:v>
      </x:c>
      <x:c r="D24" s="13">
        <x:v>0.0</x:v>
      </x:c>
      <x:c r="E24" s="13">
        <x:v>1.0</x:v>
      </x:c>
      <x:c r="F24" s="13">
        <x:v>0.0</x:v>
      </x:c>
      <x:c r="G24" s="13">
        <x:v>1.0</x:v>
      </x:c>
      <x:c r="H24" s="13">
        <x:v>0.0</x:v>
      </x:c>
      <x:c r="I24" s="15">
        <x:v>0.0</x:v>
      </x:c>
      <x:c r="J24" s="17">
        <x:v>1.2</x:v>
      </x:c>
      <x:c r="K24" s="15">
        <x:v>0.0</x:v>
      </x:c>
      <x:c r="L24" s="15">
        <x:v>0.0</x:v>
      </x:c>
      <x:c r="M24" s="15">
        <x:v>0.0</x:v>
      </x:c>
      <x:c r="N24" s="17">
        <x:v>0.6</x:v>
      </x:c>
      <x:c r="O24" s="10" t="s">
        <x:v>242</x:v>
      </x:c>
      <x:c r="P24" s="17">
        <x:v>1.05</x:v>
      </x:c>
      <x:c r="R24" s="10" t="s">
        <x:v>243</x:v>
      </x:c>
    </x:row>
    <x:row r="25" ht="14.25" customHeight="1">
      <x:c r="A25" s="10" t="str">
        <x:f t="shared" si="1"/>
        <x:v>Endurant - Expert = CON +2, SAG +1</x:v>
      </x:c>
      <x:c r="B25" s="10" t="s">
        <x:v>244</x:v>
      </x:c>
      <x:c r="C25" s="13">
        <x:v>0.0</x:v>
      </x:c>
      <x:c r="D25" s="13">
        <x:v>0.0</x:v>
      </x:c>
      <x:c r="E25" s="13">
        <x:v>2.0</x:v>
      </x:c>
      <x:c r="F25" s="13">
        <x:v>0.0</x:v>
      </x:c>
      <x:c r="G25" s="13">
        <x:v>1.0</x:v>
      </x:c>
      <x:c r="H25" s="13">
        <x:v>0.0</x:v>
      </x:c>
      <x:c r="I25" s="15">
        <x:v>0.0</x:v>
      </x:c>
      <x:c r="J25" s="17">
        <x:v>1.2</x:v>
      </x:c>
      <x:c r="K25" s="15">
        <x:v>0.0</x:v>
      </x:c>
      <x:c r="L25" s="15">
        <x:v>0.0</x:v>
      </x:c>
      <x:c r="M25" s="15">
        <x:v>0.0</x:v>
      </x:c>
      <x:c r="N25" s="17">
        <x:v>0.6</x:v>
      </x:c>
      <x:c r="O25" s="10" t="s">
        <x:v>245</x:v>
      </x:c>
      <x:c r="P25" s="17">
        <x:v>1.05</x:v>
      </x:c>
      <x:c r="R25" s="10" t="s">
        <x:v>246</x:v>
      </x:c>
    </x:row>
    <x:row r="26" ht="14.25" customHeight="1">
      <x:c r="A26" s="10" t="str">
        <x:f t="shared" si="1"/>
        <x:v>Stable - Simple = CON +1</x:v>
      </x:c>
      <x:c r="B26" s="10" t="s">
        <x:v>230</x:v>
      </x:c>
      <x:c r="C26" s="13">
        <x:v>0.0</x:v>
      </x:c>
      <x:c r="D26" s="13">
        <x:v>0.0</x:v>
      </x:c>
      <x:c r="E26" s="13">
        <x:v>1.0</x:v>
      </x:c>
      <x:c r="F26" s="13">
        <x:v>0.0</x:v>
      </x:c>
      <x:c r="G26" s="13">
        <x:v>0.0</x:v>
      </x:c>
      <x:c r="H26" s="13">
        <x:v>0.0</x:v>
      </x:c>
      <x:c r="I26" s="15">
        <x:v>0.0</x:v>
      </x:c>
      <x:c r="J26" s="17">
        <x:v>1.2</x:v>
      </x:c>
      <x:c r="K26" s="15">
        <x:v>0.0</x:v>
      </x:c>
      <x:c r="L26" s="15">
        <x:v>0.0</x:v>
      </x:c>
      <x:c r="M26" s="15">
        <x:v>0.0</x:v>
      </x:c>
      <x:c r="N26" s="17">
        <x:v>0.6</x:v>
      </x:c>
      <x:c r="O26" s="10" t="s">
        <x:v>247</x:v>
      </x:c>
      <x:c r="P26" s="17">
        <x:v>1.0</x:v>
      </x:c>
      <x:c r="R26" s="10" t="s">
        <x:v>248</x:v>
      </x:c>
    </x:row>
    <x:row r="27" ht="14.25" customHeight="1">
      <x:c r="A27" s="10" t="str">
        <x:f t="shared" si="1"/>
        <x:v>Stable - Avancé = CON +1, CHA +1</x:v>
      </x:c>
      <x:c r="B27" s="10" t="s">
        <x:v>249</x:v>
      </x:c>
      <x:c r="C27" s="13">
        <x:v>0.0</x:v>
      </x:c>
      <x:c r="D27" s="13">
        <x:v>0.0</x:v>
      </x:c>
      <x:c r="E27" s="13">
        <x:v>1.0</x:v>
      </x:c>
      <x:c r="F27" s="13">
        <x:v>0.0</x:v>
      </x:c>
      <x:c r="G27" s="13">
        <x:v>0.0</x:v>
      </x:c>
      <x:c r="H27" s="13">
        <x:v>1.0</x:v>
      </x:c>
      <x:c r="I27" s="15">
        <x:v>0.0</x:v>
      </x:c>
      <x:c r="J27" s="17">
        <x:v>1.2</x:v>
      </x:c>
      <x:c r="K27" s="15">
        <x:v>0.0</x:v>
      </x:c>
      <x:c r="L27" s="15">
        <x:v>0.0</x:v>
      </x:c>
      <x:c r="M27" s="15">
        <x:v>0.0</x:v>
      </x:c>
      <x:c r="N27" s="17">
        <x:v>0.6</x:v>
      </x:c>
      <x:c r="O27" s="10" t="s">
        <x:v>250</x:v>
      </x:c>
      <x:c r="P27" s="17">
        <x:v>1.0</x:v>
      </x:c>
      <x:c r="R27" s="10" t="s">
        <x:v>251</x:v>
      </x:c>
    </x:row>
    <x:row r="28" ht="14.25" customHeight="1">
      <x:c r="A28" s="10" t="str">
        <x:f t="shared" si="1"/>
        <x:v>Stable - Expert = CON +2, CHA +1</x:v>
      </x:c>
      <x:c r="B28" s="10" t="s">
        <x:v>252</x:v>
      </x:c>
      <x:c r="C28" s="13">
        <x:v>0.0</x:v>
      </x:c>
      <x:c r="D28" s="13">
        <x:v>0.0</x:v>
      </x:c>
      <x:c r="E28" s="13">
        <x:v>2.0</x:v>
      </x:c>
      <x:c r="F28" s="13">
        <x:v>0.0</x:v>
      </x:c>
      <x:c r="G28" s="13">
        <x:v>0.0</x:v>
      </x:c>
      <x:c r="H28" s="13">
        <x:v>1.0</x:v>
      </x:c>
      <x:c r="I28" s="15">
        <x:v>0.0</x:v>
      </x:c>
      <x:c r="J28" s="17">
        <x:v>1.2</x:v>
      </x:c>
      <x:c r="K28" s="15">
        <x:v>0.0</x:v>
      </x:c>
      <x:c r="L28" s="15">
        <x:v>0.0</x:v>
      </x:c>
      <x:c r="M28" s="15">
        <x:v>0.0</x:v>
      </x:c>
      <x:c r="N28" s="17">
        <x:v>0.6</x:v>
      </x:c>
      <x:c r="O28" s="10" t="s">
        <x:v>253</x:v>
      </x:c>
      <x:c r="P28" s="17">
        <x:v>1.0</x:v>
      </x:c>
      <x:c r="R28" s="10" t="s">
        <x:v>254</x:v>
      </x:c>
    </x:row>
    <x:row r="29" ht="14.25" customHeight="1">
      <x:c r="A29" s="10" t="str">
        <x:f t="shared" si="1"/>
        <x:v>Méthodique - Simple = INT +1</x:v>
      </x:c>
      <x:c r="B29" s="10" t="s">
        <x:v>255</x:v>
      </x:c>
      <x:c r="C29" s="13">
        <x:v>0.0</x:v>
      </x:c>
      <x:c r="D29" s="13">
        <x:v>0.0</x:v>
      </x:c>
      <x:c r="E29" s="13">
        <x:v>0.0</x:v>
      </x:c>
      <x:c r="F29" s="13">
        <x:v>1.0</x:v>
      </x:c>
      <x:c r="G29" s="13">
        <x:v>0.0</x:v>
      </x:c>
      <x:c r="H29" s="13">
        <x:v>0.0</x:v>
      </x:c>
      <x:c r="I29" s="15">
        <x:v>0.0</x:v>
      </x:c>
      <x:c r="J29" s="17">
        <x:v>1.0</x:v>
      </x:c>
      <x:c r="K29" s="15">
        <x:v>0.0</x:v>
      </x:c>
      <x:c r="L29" s="15">
        <x:v>0.0</x:v>
      </x:c>
      <x:c r="M29" s="15">
        <x:v>0.0</x:v>
      </x:c>
      <x:c r="N29" s="17">
        <x:v>0.6</x:v>
      </x:c>
      <x:c r="O29" s="10" t="s">
        <x:v>256</x:v>
      </x:c>
      <x:c r="P29" s="17">
        <x:v>1.15</x:v>
      </x:c>
      <x:c r="R29" s="10" t="s">
        <x:v>257</x:v>
      </x:c>
    </x:row>
    <x:row r="30" ht="14.25" customHeight="1">
      <x:c r="A30" s="10" t="str">
        <x:f t="shared" si="1"/>
        <x:v>Méthodique - Avancé = INT +1, DEX +1</x:v>
      </x:c>
      <x:c r="B30" s="10" t="s">
        <x:v>258</x:v>
      </x:c>
      <x:c r="C30" s="13">
        <x:v>0.0</x:v>
      </x:c>
      <x:c r="D30" s="13">
        <x:v>1.0</x:v>
      </x:c>
      <x:c r="E30" s="13">
        <x:v>0.0</x:v>
      </x:c>
      <x:c r="F30" s="13">
        <x:v>1.0</x:v>
      </x:c>
      <x:c r="G30" s="13">
        <x:v>0.0</x:v>
      </x:c>
      <x:c r="H30" s="13">
        <x:v>0.0</x:v>
      </x:c>
      <x:c r="I30" s="15">
        <x:v>0.0</x:v>
      </x:c>
      <x:c r="J30" s="17">
        <x:v>1.0</x:v>
      </x:c>
      <x:c r="K30" s="15">
        <x:v>0.0</x:v>
      </x:c>
      <x:c r="L30" s="15">
        <x:v>0.0</x:v>
      </x:c>
      <x:c r="M30" s="15">
        <x:v>0.0</x:v>
      </x:c>
      <x:c r="N30" s="17">
        <x:v>0.6</x:v>
      </x:c>
      <x:c r="O30" s="10" t="s">
        <x:v>259</x:v>
      </x:c>
      <x:c r="P30" s="17">
        <x:v>1.15</x:v>
      </x:c>
      <x:c r="R30" s="10" t="s">
        <x:v>260</x:v>
      </x:c>
    </x:row>
    <x:row r="31" ht="14.25" customHeight="1">
      <x:c r="A31" s="10" t="str">
        <x:f t="shared" si="1"/>
        <x:v>Méthodique - Expert = INT +2, DEX +1</x:v>
      </x:c>
      <x:c r="B31" s="10" t="s">
        <x:v>261</x:v>
      </x:c>
      <x:c r="C31" s="13">
        <x:v>0.0</x:v>
      </x:c>
      <x:c r="D31" s="13">
        <x:v>1.0</x:v>
      </x:c>
      <x:c r="E31" s="13">
        <x:v>0.0</x:v>
      </x:c>
      <x:c r="F31" s="13">
        <x:v>2.0</x:v>
      </x:c>
      <x:c r="G31" s="13">
        <x:v>0.0</x:v>
      </x:c>
      <x:c r="H31" s="13">
        <x:v>0.0</x:v>
      </x:c>
      <x:c r="I31" s="15">
        <x:v>0.0</x:v>
      </x:c>
      <x:c r="J31" s="17">
        <x:v>1.0</x:v>
      </x:c>
      <x:c r="K31" s="15">
        <x:v>0.0</x:v>
      </x:c>
      <x:c r="L31" s="15">
        <x:v>0.0</x:v>
      </x:c>
      <x:c r="M31" s="15">
        <x:v>0.0</x:v>
      </x:c>
      <x:c r="N31" s="17">
        <x:v>0.6</x:v>
      </x:c>
      <x:c r="O31" s="10" t="s">
        <x:v>262</x:v>
      </x:c>
      <x:c r="P31" s="17">
        <x:v>1.15</x:v>
      </x:c>
      <x:c r="R31" s="10" t="s">
        <x:v>263</x:v>
      </x:c>
    </x:row>
    <x:row r="32" ht="14.25" customHeight="1">
      <x:c r="A32" s="10" t="str">
        <x:f t="shared" si="1"/>
        <x:v>Rusé - Simple = INT +1</x:v>
      </x:c>
      <x:c r="B32" s="10" t="s">
        <x:v>255</x:v>
      </x:c>
      <x:c r="C32" s="13">
        <x:v>0.0</x:v>
      </x:c>
      <x:c r="D32" s="13">
        <x:v>0.0</x:v>
      </x:c>
      <x:c r="E32" s="13">
        <x:v>0.0</x:v>
      </x:c>
      <x:c r="F32" s="13">
        <x:v>1.0</x:v>
      </x:c>
      <x:c r="G32" s="13">
        <x:v>0.0</x:v>
      </x:c>
      <x:c r="H32" s="13">
        <x:v>0.0</x:v>
      </x:c>
      <x:c r="I32" s="15">
        <x:v>0.0</x:v>
      </x:c>
      <x:c r="J32" s="17">
        <x:v>1.0</x:v>
      </x:c>
      <x:c r="K32" s="15">
        <x:v>0.0</x:v>
      </x:c>
      <x:c r="L32" s="15">
        <x:v>0.0</x:v>
      </x:c>
      <x:c r="M32" s="15">
        <x:v>0.0</x:v>
      </x:c>
      <x:c r="N32" s="17">
        <x:v>0.6</x:v>
      </x:c>
      <x:c r="O32" s="10" t="s">
        <x:v>264</x:v>
      </x:c>
      <x:c r="P32" s="17">
        <x:v>1.2</x:v>
      </x:c>
      <x:c r="R32" s="10" t="s">
        <x:v>265</x:v>
      </x:c>
    </x:row>
    <x:row r="33" ht="14.25" customHeight="1">
      <x:c r="A33" s="10" t="str">
        <x:f t="shared" si="1"/>
        <x:v>Rusé - Avancé = INT +1, CHA +1</x:v>
      </x:c>
      <x:c r="B33" s="10" t="s">
        <x:v>266</x:v>
      </x:c>
      <x:c r="C33" s="13">
        <x:v>0.0</x:v>
      </x:c>
      <x:c r="D33" s="13">
        <x:v>0.0</x:v>
      </x:c>
      <x:c r="E33" s="13">
        <x:v>0.0</x:v>
      </x:c>
      <x:c r="F33" s="13">
        <x:v>1.0</x:v>
      </x:c>
      <x:c r="G33" s="13">
        <x:v>0.0</x:v>
      </x:c>
      <x:c r="H33" s="13">
        <x:v>1.0</x:v>
      </x:c>
      <x:c r="I33" s="15">
        <x:v>0.0</x:v>
      </x:c>
      <x:c r="J33" s="17">
        <x:v>1.0</x:v>
      </x:c>
      <x:c r="K33" s="15">
        <x:v>0.0</x:v>
      </x:c>
      <x:c r="L33" s="15">
        <x:v>0.0</x:v>
      </x:c>
      <x:c r="M33" s="15">
        <x:v>0.0</x:v>
      </x:c>
      <x:c r="N33" s="17">
        <x:v>0.6</x:v>
      </x:c>
      <x:c r="O33" s="10" t="s">
        <x:v>267</x:v>
      </x:c>
      <x:c r="P33" s="17">
        <x:v>1.2</x:v>
      </x:c>
      <x:c r="R33" s="10" t="s">
        <x:v>268</x:v>
      </x:c>
    </x:row>
    <x:row r="34" ht="14.25" customHeight="1">
      <x:c r="A34" s="10" t="str">
        <x:f t="shared" si="1"/>
        <x:v>Rusé - Expert = INT +2, CHA +1</x:v>
      </x:c>
      <x:c r="B34" s="10" t="s">
        <x:v>269</x:v>
      </x:c>
      <x:c r="C34" s="13">
        <x:v>0.0</x:v>
      </x:c>
      <x:c r="D34" s="13">
        <x:v>0.0</x:v>
      </x:c>
      <x:c r="E34" s="13">
        <x:v>0.0</x:v>
      </x:c>
      <x:c r="F34" s="13">
        <x:v>2.0</x:v>
      </x:c>
      <x:c r="G34" s="13">
        <x:v>0.0</x:v>
      </x:c>
      <x:c r="H34" s="13">
        <x:v>1.0</x:v>
      </x:c>
      <x:c r="I34" s="15">
        <x:v>0.0</x:v>
      </x:c>
      <x:c r="J34" s="17">
        <x:v>1.0</x:v>
      </x:c>
      <x:c r="K34" s="15">
        <x:v>0.0</x:v>
      </x:c>
      <x:c r="L34" s="15">
        <x:v>0.0</x:v>
      </x:c>
      <x:c r="M34" s="15">
        <x:v>0.0</x:v>
      </x:c>
      <x:c r="N34" s="17">
        <x:v>0.6</x:v>
      </x:c>
      <x:c r="O34" s="10" t="s">
        <x:v>270</x:v>
      </x:c>
      <x:c r="P34" s="17">
        <x:v>1.2</x:v>
      </x:c>
      <x:c r="R34" s="10" t="s">
        <x:v>271</x:v>
      </x:c>
    </x:row>
    <x:row r="35" ht="14.25" customHeight="1">
      <x:c r="A35" s="10" t="str">
        <x:f t="shared" si="1"/>
        <x:v>Calculateur - Simple = INT +1</x:v>
      </x:c>
      <x:c r="B35" s="10" t="s">
        <x:v>255</x:v>
      </x:c>
      <x:c r="C35" s="13">
        <x:v>0.0</x:v>
      </x:c>
      <x:c r="D35" s="13">
        <x:v>0.0</x:v>
      </x:c>
      <x:c r="E35" s="13">
        <x:v>0.0</x:v>
      </x:c>
      <x:c r="F35" s="13">
        <x:v>1.0</x:v>
      </x:c>
      <x:c r="G35" s="13">
        <x:v>0.0</x:v>
      </x:c>
      <x:c r="H35" s="13">
        <x:v>0.0</x:v>
      </x:c>
      <x:c r="I35" s="15">
        <x:v>0.0</x:v>
      </x:c>
      <x:c r="J35" s="17">
        <x:v>1.0</x:v>
      </x:c>
      <x:c r="K35" s="15">
        <x:v>0.0</x:v>
      </x:c>
      <x:c r="L35" s="15">
        <x:v>0.0</x:v>
      </x:c>
      <x:c r="M35" s="15">
        <x:v>0.0</x:v>
      </x:c>
      <x:c r="N35" s="17">
        <x:v>0.64</x:v>
      </x:c>
      <x:c r="O35" s="10" t="s">
        <x:v>272</x:v>
      </x:c>
      <x:c r="P35" s="17">
        <x:v>1.15</x:v>
      </x:c>
      <x:c r="R35" s="10" t="s">
        <x:v>273</x:v>
      </x:c>
    </x:row>
    <x:row r="36" ht="14.25" customHeight="1">
      <x:c r="A36" s="10" t="str">
        <x:f t="shared" si="1"/>
        <x:v>Calculateur - Avancé = INT +1, SAG +1</x:v>
      </x:c>
      <x:c r="B36" s="10" t="s">
        <x:v>274</x:v>
      </x:c>
      <x:c r="C36" s="13">
        <x:v>0.0</x:v>
      </x:c>
      <x:c r="D36" s="13">
        <x:v>0.0</x:v>
      </x:c>
      <x:c r="E36" s="13">
        <x:v>0.0</x:v>
      </x:c>
      <x:c r="F36" s="13">
        <x:v>1.0</x:v>
      </x:c>
      <x:c r="G36" s="13">
        <x:v>1.0</x:v>
      </x:c>
      <x:c r="H36" s="13">
        <x:v>0.0</x:v>
      </x:c>
      <x:c r="I36" s="15">
        <x:v>0.0</x:v>
      </x:c>
      <x:c r="J36" s="17">
        <x:v>1.0</x:v>
      </x:c>
      <x:c r="K36" s="15">
        <x:v>0.0</x:v>
      </x:c>
      <x:c r="L36" s="15">
        <x:v>0.0</x:v>
      </x:c>
      <x:c r="M36" s="15">
        <x:v>0.0</x:v>
      </x:c>
      <x:c r="N36" s="17">
        <x:v>0.64</x:v>
      </x:c>
      <x:c r="O36" s="10" t="s">
        <x:v>275</x:v>
      </x:c>
      <x:c r="P36" s="17">
        <x:v>1.15</x:v>
      </x:c>
      <x:c r="R36" s="10" t="s">
        <x:v>276</x:v>
      </x:c>
    </x:row>
    <x:row r="37" ht="14.25" customHeight="1">
      <x:c r="A37" s="10" t="str">
        <x:f t="shared" si="1"/>
        <x:v>Calculateur - Expert = INT +2, SAG +1</x:v>
      </x:c>
      <x:c r="B37" s="10" t="s">
        <x:v>277</x:v>
      </x:c>
      <x:c r="C37" s="13">
        <x:v>0.0</x:v>
      </x:c>
      <x:c r="D37" s="13">
        <x:v>0.0</x:v>
      </x:c>
      <x:c r="E37" s="13">
        <x:v>0.0</x:v>
      </x:c>
      <x:c r="F37" s="13">
        <x:v>2.0</x:v>
      </x:c>
      <x:c r="G37" s="13">
        <x:v>1.0</x:v>
      </x:c>
      <x:c r="H37" s="13">
        <x:v>0.0</x:v>
      </x:c>
      <x:c r="I37" s="15">
        <x:v>0.0</x:v>
      </x:c>
      <x:c r="J37" s="17">
        <x:v>1.0</x:v>
      </x:c>
      <x:c r="K37" s="15">
        <x:v>0.0</x:v>
      </x:c>
      <x:c r="L37" s="15">
        <x:v>0.0</x:v>
      </x:c>
      <x:c r="M37" s="15">
        <x:v>0.0</x:v>
      </x:c>
      <x:c r="N37" s="17">
        <x:v>0.64</x:v>
      </x:c>
      <x:c r="O37" s="10" t="s">
        <x:v>278</x:v>
      </x:c>
      <x:c r="P37" s="17">
        <x:v>1.15</x:v>
      </x:c>
      <x:c r="R37" s="10" t="s">
        <x:v>279</x:v>
      </x:c>
    </x:row>
    <x:row r="38" ht="14.25" customHeight="1">
      <x:c r="A38" s="10" t="str">
        <x:f t="shared" si="1"/>
        <x:v>Vigilant - Simple = SAG +1</x:v>
      </x:c>
      <x:c r="B38" s="10" t="s">
        <x:v>280</x:v>
      </x:c>
      <x:c r="C38" s="13">
        <x:v>0.0</x:v>
      </x:c>
      <x:c r="D38" s="13">
        <x:v>0.0</x:v>
      </x:c>
      <x:c r="E38" s="13">
        <x:v>0.0</x:v>
      </x:c>
      <x:c r="F38" s="13">
        <x:v>0.0</x:v>
      </x:c>
      <x:c r="G38" s="13">
        <x:v>1.0</x:v>
      </x:c>
      <x:c r="H38" s="13">
        <x:v>0.0</x:v>
      </x:c>
      <x:c r="I38" s="15">
        <x:v>0.0</x:v>
      </x:c>
      <x:c r="J38" s="17">
        <x:v>1.0</x:v>
      </x:c>
      <x:c r="K38" s="15">
        <x:v>0.0</x:v>
      </x:c>
      <x:c r="L38" s="15">
        <x:v>0.0</x:v>
      </x:c>
      <x:c r="M38" s="15">
        <x:v>0.0</x:v>
      </x:c>
      <x:c r="N38" s="17">
        <x:v>0.66</x:v>
      </x:c>
      <x:c r="O38" s="10" t="s">
        <x:v>281</x:v>
      </x:c>
      <x:c r="P38" s="17">
        <x:v>1.05</x:v>
      </x:c>
      <x:c r="R38" s="10" t="s">
        <x:v>282</x:v>
      </x:c>
    </x:row>
    <x:row r="39" ht="14.25" customHeight="1">
      <x:c r="A39" s="10" t="str">
        <x:f t="shared" si="1"/>
        <x:v>Vigilant - Avancé = SAG +1, DEX +1</x:v>
      </x:c>
      <x:c r="B39" s="10" t="s">
        <x:v>283</x:v>
      </x:c>
      <x:c r="C39" s="13">
        <x:v>0.0</x:v>
      </x:c>
      <x:c r="D39" s="13">
        <x:v>1.0</x:v>
      </x:c>
      <x:c r="E39" s="13">
        <x:v>0.0</x:v>
      </x:c>
      <x:c r="F39" s="13">
        <x:v>0.0</x:v>
      </x:c>
      <x:c r="G39" s="13">
        <x:v>1.0</x:v>
      </x:c>
      <x:c r="H39" s="13">
        <x:v>0.0</x:v>
      </x:c>
      <x:c r="I39" s="15">
        <x:v>0.0</x:v>
      </x:c>
      <x:c r="J39" s="17">
        <x:v>1.0</x:v>
      </x:c>
      <x:c r="K39" s="15">
        <x:v>0.0</x:v>
      </x:c>
      <x:c r="L39" s="15">
        <x:v>0.0</x:v>
      </x:c>
      <x:c r="M39" s="15">
        <x:v>0.0</x:v>
      </x:c>
      <x:c r="N39" s="17">
        <x:v>0.66</x:v>
      </x:c>
      <x:c r="O39" s="10" t="s">
        <x:v>284</x:v>
      </x:c>
      <x:c r="P39" s="17">
        <x:v>1.05</x:v>
      </x:c>
      <x:c r="R39" s="10" t="s">
        <x:v>285</x:v>
      </x:c>
    </x:row>
    <x:row r="40" ht="14.25" customHeight="1">
      <x:c r="A40" s="10" t="str">
        <x:f t="shared" si="1"/>
        <x:v>Vigilant - Expert = SAG +2, DEX +1</x:v>
      </x:c>
      <x:c r="B40" s="10" t="s">
        <x:v>286</x:v>
      </x:c>
      <x:c r="C40" s="13">
        <x:v>0.0</x:v>
      </x:c>
      <x:c r="D40" s="13">
        <x:v>1.0</x:v>
      </x:c>
      <x:c r="E40" s="13">
        <x:v>0.0</x:v>
      </x:c>
      <x:c r="F40" s="13">
        <x:v>0.0</x:v>
      </x:c>
      <x:c r="G40" s="13">
        <x:v>2.0</x:v>
      </x:c>
      <x:c r="H40" s="13">
        <x:v>0.0</x:v>
      </x:c>
      <x:c r="I40" s="15">
        <x:v>0.0</x:v>
      </x:c>
      <x:c r="J40" s="17">
        <x:v>1.0</x:v>
      </x:c>
      <x:c r="K40" s="15">
        <x:v>0.0</x:v>
      </x:c>
      <x:c r="L40" s="15">
        <x:v>0.0</x:v>
      </x:c>
      <x:c r="M40" s="15">
        <x:v>0.0</x:v>
      </x:c>
      <x:c r="N40" s="17">
        <x:v>0.66</x:v>
      </x:c>
      <x:c r="O40" s="10" t="s">
        <x:v>287</x:v>
      </x:c>
      <x:c r="P40" s="17">
        <x:v>1.05</x:v>
      </x:c>
      <x:c r="R40" s="10" t="s">
        <x:v>288</x:v>
      </x:c>
    </x:row>
    <x:row r="41" ht="14.25" customHeight="1">
      <x:c r="A41" s="10" t="str">
        <x:f t="shared" si="1"/>
        <x:v>Prudent - Simple = SAG +1</x:v>
      </x:c>
      <x:c r="B41" s="10" t="s">
        <x:v>280</x:v>
      </x:c>
      <x:c r="C41" s="13">
        <x:v>0.0</x:v>
      </x:c>
      <x:c r="D41" s="13">
        <x:v>0.0</x:v>
      </x:c>
      <x:c r="E41" s="13">
        <x:v>0.0</x:v>
      </x:c>
      <x:c r="F41" s="13">
        <x:v>0.0</x:v>
      </x:c>
      <x:c r="G41" s="13">
        <x:v>1.0</x:v>
      </x:c>
      <x:c r="H41" s="13">
        <x:v>0.0</x:v>
      </x:c>
      <x:c r="I41" s="15">
        <x:v>0.0</x:v>
      </x:c>
      <x:c r="J41" s="17">
        <x:v>1.1</x:v>
      </x:c>
      <x:c r="K41" s="15">
        <x:v>0.0</x:v>
      </x:c>
      <x:c r="L41" s="15">
        <x:v>0.0</x:v>
      </x:c>
      <x:c r="M41" s="15">
        <x:v>0.0</x:v>
      </x:c>
      <x:c r="N41" s="17">
        <x:v>0.65</x:v>
      </x:c>
      <x:c r="O41" s="10" t="s">
        <x:v>289</x:v>
      </x:c>
      <x:c r="P41" s="17">
        <x:v>1.05</x:v>
      </x:c>
      <x:c r="R41" s="10" t="s">
        <x:v>290</x:v>
      </x:c>
    </x:row>
    <x:row r="42" ht="14.25" customHeight="1">
      <x:c r="A42" s="10" t="str">
        <x:f t="shared" si="1"/>
        <x:v>Prudent - Avancé = SAG +1, CON +1</x:v>
      </x:c>
      <x:c r="B42" s="10" t="s">
        <x:v>291</x:v>
      </x:c>
      <x:c r="C42" s="13">
        <x:v>0.0</x:v>
      </x:c>
      <x:c r="D42" s="13">
        <x:v>0.0</x:v>
      </x:c>
      <x:c r="E42" s="13">
        <x:v>1.0</x:v>
      </x:c>
      <x:c r="F42" s="13">
        <x:v>0.0</x:v>
      </x:c>
      <x:c r="G42" s="13">
        <x:v>1.0</x:v>
      </x:c>
      <x:c r="H42" s="13">
        <x:v>0.0</x:v>
      </x:c>
      <x:c r="I42" s="15">
        <x:v>0.0</x:v>
      </x:c>
      <x:c r="J42" s="17">
        <x:v>1.1</x:v>
      </x:c>
      <x:c r="K42" s="15">
        <x:v>0.0</x:v>
      </x:c>
      <x:c r="L42" s="15">
        <x:v>0.0</x:v>
      </x:c>
      <x:c r="M42" s="15">
        <x:v>0.0</x:v>
      </x:c>
      <x:c r="N42" s="17">
        <x:v>0.65</x:v>
      </x:c>
      <x:c r="O42" s="10" t="s">
        <x:v>292</x:v>
      </x:c>
      <x:c r="P42" s="17">
        <x:v>1.05</x:v>
      </x:c>
      <x:c r="R42" s="10" t="s">
        <x:v>293</x:v>
      </x:c>
    </x:row>
    <x:row r="43" ht="14.25" customHeight="1">
      <x:c r="A43" s="10" t="str">
        <x:f t="shared" si="1"/>
        <x:v>Prudent - Expert = SAG +2, CON +1</x:v>
      </x:c>
      <x:c r="B43" s="10" t="s">
        <x:v>294</x:v>
      </x:c>
      <x:c r="C43" s="13">
        <x:v>0.0</x:v>
      </x:c>
      <x:c r="D43" s="13">
        <x:v>0.0</x:v>
      </x:c>
      <x:c r="E43" s="13">
        <x:v>1.0</x:v>
      </x:c>
      <x:c r="F43" s="13">
        <x:v>0.0</x:v>
      </x:c>
      <x:c r="G43" s="13">
        <x:v>2.0</x:v>
      </x:c>
      <x:c r="H43" s="13">
        <x:v>0.0</x:v>
      </x:c>
      <x:c r="I43" s="15">
        <x:v>0.0</x:v>
      </x:c>
      <x:c r="J43" s="17">
        <x:v>1.1</x:v>
      </x:c>
      <x:c r="K43" s="15">
        <x:v>0.0</x:v>
      </x:c>
      <x:c r="L43" s="15">
        <x:v>0.0</x:v>
      </x:c>
      <x:c r="M43" s="15">
        <x:v>0.0</x:v>
      </x:c>
      <x:c r="N43" s="17">
        <x:v>0.65</x:v>
      </x:c>
      <x:c r="O43" s="10" t="s">
        <x:v>295</x:v>
      </x:c>
      <x:c r="P43" s="17">
        <x:v>1.05</x:v>
      </x:c>
      <x:c r="R43" s="10" t="s">
        <x:v>296</x:v>
      </x:c>
    </x:row>
    <x:row r="44" ht="14.25" customHeight="1">
      <x:c r="A44" s="10" t="str">
        <x:f t="shared" si="1"/>
        <x:v>Observateur - Simple = SAG +1</x:v>
      </x:c>
      <x:c r="B44" s="10" t="s">
        <x:v>280</x:v>
      </x:c>
      <x:c r="C44" s="13">
        <x:v>0.0</x:v>
      </x:c>
      <x:c r="D44" s="13">
        <x:v>0.0</x:v>
      </x:c>
      <x:c r="E44" s="13">
        <x:v>0.0</x:v>
      </x:c>
      <x:c r="F44" s="13">
        <x:v>0.0</x:v>
      </x:c>
      <x:c r="G44" s="13">
        <x:v>1.0</x:v>
      </x:c>
      <x:c r="H44" s="13">
        <x:v>0.0</x:v>
      </x:c>
      <x:c r="I44" s="15">
        <x:v>0.0</x:v>
      </x:c>
      <x:c r="J44" s="17">
        <x:v>1.0</x:v>
      </x:c>
      <x:c r="K44" s="15">
        <x:v>0.0</x:v>
      </x:c>
      <x:c r="L44" s="15">
        <x:v>0.0</x:v>
      </x:c>
      <x:c r="M44" s="15">
        <x:v>0.0</x:v>
      </x:c>
      <x:c r="N44" s="17">
        <x:v>0.64</x:v>
      </x:c>
      <x:c r="O44" s="10" t="s">
        <x:v>297</x:v>
      </x:c>
      <x:c r="P44" s="17">
        <x:v>1.15</x:v>
      </x:c>
      <x:c r="R44" s="10" t="s">
        <x:v>298</x:v>
      </x:c>
    </x:row>
    <x:row r="45" ht="14.25" customHeight="1">
      <x:c r="A45" s="10" t="str">
        <x:f t="shared" si="1"/>
        <x:v>Observateur - Avancé = SAG +1, INT +1</x:v>
      </x:c>
      <x:c r="B45" s="10" t="s">
        <x:v>299</x:v>
      </x:c>
      <x:c r="C45" s="13">
        <x:v>0.0</x:v>
      </x:c>
      <x:c r="D45" s="13">
        <x:v>0.0</x:v>
      </x:c>
      <x:c r="E45" s="13">
        <x:v>0.0</x:v>
      </x:c>
      <x:c r="F45" s="13">
        <x:v>1.0</x:v>
      </x:c>
      <x:c r="G45" s="13">
        <x:v>1.0</x:v>
      </x:c>
      <x:c r="H45" s="13">
        <x:v>0.0</x:v>
      </x:c>
      <x:c r="I45" s="15">
        <x:v>0.0</x:v>
      </x:c>
      <x:c r="J45" s="17">
        <x:v>1.0</x:v>
      </x:c>
      <x:c r="K45" s="15">
        <x:v>0.0</x:v>
      </x:c>
      <x:c r="L45" s="15">
        <x:v>0.0</x:v>
      </x:c>
      <x:c r="M45" s="15">
        <x:v>0.0</x:v>
      </x:c>
      <x:c r="N45" s="17">
        <x:v>0.64</x:v>
      </x:c>
      <x:c r="O45" s="10" t="s">
        <x:v>300</x:v>
      </x:c>
      <x:c r="P45" s="17">
        <x:v>1.15</x:v>
      </x:c>
      <x:c r="R45" s="10" t="s">
        <x:v>301</x:v>
      </x:c>
    </x:row>
    <x:row r="46" ht="14.25" customHeight="1">
      <x:c r="A46" s="10" t="str">
        <x:f t="shared" si="1"/>
        <x:v>Observateur - Expert = SAG +2, INT +1</x:v>
      </x:c>
      <x:c r="B46" s="10" t="s">
        <x:v>302</x:v>
      </x:c>
      <x:c r="C46" s="13">
        <x:v>0.0</x:v>
      </x:c>
      <x:c r="D46" s="13">
        <x:v>0.0</x:v>
      </x:c>
      <x:c r="E46" s="13">
        <x:v>0.0</x:v>
      </x:c>
      <x:c r="F46" s="13">
        <x:v>1.0</x:v>
      </x:c>
      <x:c r="G46" s="13">
        <x:v>2.0</x:v>
      </x:c>
      <x:c r="H46" s="13">
        <x:v>0.0</x:v>
      </x:c>
      <x:c r="I46" s="15">
        <x:v>0.0</x:v>
      </x:c>
      <x:c r="J46" s="17">
        <x:v>1.0</x:v>
      </x:c>
      <x:c r="K46" s="15">
        <x:v>0.0</x:v>
      </x:c>
      <x:c r="L46" s="15">
        <x:v>0.0</x:v>
      </x:c>
      <x:c r="M46" s="15">
        <x:v>0.0</x:v>
      </x:c>
      <x:c r="N46" s="17">
        <x:v>0.64</x:v>
      </x:c>
      <x:c r="O46" s="10" t="s">
        <x:v>303</x:v>
      </x:c>
      <x:c r="P46" s="17">
        <x:v>1.15</x:v>
      </x:c>
      <x:c r="R46" s="10" t="s">
        <x:v>304</x:v>
      </x:c>
    </x:row>
    <x:row r="47" ht="14.25" customHeight="1">
      <x:c r="A47" s="10" t="str">
        <x:f t="shared" si="1"/>
        <x:v>Marquant - Simple = CHA +1</x:v>
      </x:c>
      <x:c r="B47" s="10" t="s">
        <x:v>305</x:v>
      </x:c>
      <x:c r="C47" s="13">
        <x:v>0.0</x:v>
      </x:c>
      <x:c r="D47" s="13">
        <x:v>0.0</x:v>
      </x:c>
      <x:c r="E47" s="13">
        <x:v>0.0</x:v>
      </x:c>
      <x:c r="F47" s="13">
        <x:v>0.0</x:v>
      </x:c>
      <x:c r="G47" s="13">
        <x:v>0.0</x:v>
      </x:c>
      <x:c r="H47" s="13">
        <x:v>1.0</x:v>
      </x:c>
      <x:c r="I47" s="15">
        <x:v>0.0</x:v>
      </x:c>
      <x:c r="J47" s="17">
        <x:v>1.0</x:v>
      </x:c>
      <x:c r="K47" s="15">
        <x:v>0.0</x:v>
      </x:c>
      <x:c r="L47" s="15">
        <x:v>0.0</x:v>
      </x:c>
      <x:c r="M47" s="15">
        <x:v>0.0</x:v>
      </x:c>
      <x:c r="N47" s="17">
        <x:v>0.62</x:v>
      </x:c>
      <x:c r="O47" s="10" t="s">
        <x:v>306</x:v>
      </x:c>
      <x:c r="P47" s="17">
        <x:v>1.15</x:v>
      </x:c>
      <x:c r="R47" s="10" t="s">
        <x:v>307</x:v>
      </x:c>
    </x:row>
    <x:row r="48" ht="14.25" customHeight="1">
      <x:c r="A48" s="10" t="str">
        <x:f t="shared" si="1"/>
        <x:v>Marquant - Avancé = CHA +1, FOR +1</x:v>
      </x:c>
      <x:c r="B48" s="10" t="s">
        <x:v>308</x:v>
      </x:c>
      <x:c r="C48" s="13">
        <x:v>1.0</x:v>
      </x:c>
      <x:c r="D48" s="13">
        <x:v>0.0</x:v>
      </x:c>
      <x:c r="E48" s="13">
        <x:v>0.0</x:v>
      </x:c>
      <x:c r="F48" s="13">
        <x:v>0.0</x:v>
      </x:c>
      <x:c r="G48" s="13">
        <x:v>0.0</x:v>
      </x:c>
      <x:c r="H48" s="13">
        <x:v>1.0</x:v>
      </x:c>
      <x:c r="I48" s="15">
        <x:v>0.0</x:v>
      </x:c>
      <x:c r="J48" s="17">
        <x:v>1.0</x:v>
      </x:c>
      <x:c r="K48" s="15">
        <x:v>0.0</x:v>
      </x:c>
      <x:c r="L48" s="15">
        <x:v>0.0</x:v>
      </x:c>
      <x:c r="M48" s="15">
        <x:v>0.0</x:v>
      </x:c>
      <x:c r="N48" s="17">
        <x:v>0.62</x:v>
      </x:c>
      <x:c r="O48" s="10" t="s">
        <x:v>309</x:v>
      </x:c>
      <x:c r="P48" s="17">
        <x:v>1.15</x:v>
      </x:c>
      <x:c r="R48" s="10" t="s">
        <x:v>310</x:v>
      </x:c>
    </x:row>
    <x:row r="49" ht="14.25" customHeight="1">
      <x:c r="A49" s="10" t="str">
        <x:f t="shared" si="1"/>
        <x:v>Marquant - Expert = CHA +2, FOR +1</x:v>
      </x:c>
      <x:c r="B49" s="10" t="s">
        <x:v>311</x:v>
      </x:c>
      <x:c r="C49" s="13">
        <x:v>1.0</x:v>
      </x:c>
      <x:c r="D49" s="13">
        <x:v>0.0</x:v>
      </x:c>
      <x:c r="E49" s="13">
        <x:v>0.0</x:v>
      </x:c>
      <x:c r="F49" s="13">
        <x:v>0.0</x:v>
      </x:c>
      <x:c r="G49" s="13">
        <x:v>0.0</x:v>
      </x:c>
      <x:c r="H49" s="13">
        <x:v>2.0</x:v>
      </x:c>
      <x:c r="I49" s="15">
        <x:v>0.0</x:v>
      </x:c>
      <x:c r="J49" s="17">
        <x:v>1.0</x:v>
      </x:c>
      <x:c r="K49" s="15">
        <x:v>0.0</x:v>
      </x:c>
      <x:c r="L49" s="15">
        <x:v>0.0</x:v>
      </x:c>
      <x:c r="M49" s="15">
        <x:v>0.0</x:v>
      </x:c>
      <x:c r="N49" s="17">
        <x:v>0.62</x:v>
      </x:c>
      <x:c r="O49" s="10" t="s">
        <x:v>312</x:v>
      </x:c>
      <x:c r="P49" s="17">
        <x:v>1.15</x:v>
      </x:c>
      <x:c r="R49" s="10" t="s">
        <x:v>313</x:v>
      </x:c>
    </x:row>
    <x:row r="50" ht="14.25" customHeight="1">
      <x:c r="A50" s="10" t="str">
        <x:f t="shared" si="1"/>
        <x:v>Imposant - Simple = CHA +1</x:v>
      </x:c>
      <x:c r="B50" s="10" t="s">
        <x:v>305</x:v>
      </x:c>
      <x:c r="C50" s="13">
        <x:v>0.0</x:v>
      </x:c>
      <x:c r="D50" s="13">
        <x:v>0.0</x:v>
      </x:c>
      <x:c r="E50" s="13">
        <x:v>0.0</x:v>
      </x:c>
      <x:c r="F50" s="13">
        <x:v>0.0</x:v>
      </x:c>
      <x:c r="G50" s="13">
        <x:v>0.0</x:v>
      </x:c>
      <x:c r="H50" s="13">
        <x:v>1.0</x:v>
      </x:c>
      <x:c r="I50" s="15">
        <x:v>0.0</x:v>
      </x:c>
      <x:c r="J50" s="17">
        <x:v>1.1</x:v>
      </x:c>
      <x:c r="K50" s="15">
        <x:v>0.0</x:v>
      </x:c>
      <x:c r="L50" s="15">
        <x:v>0.0</x:v>
      </x:c>
      <x:c r="M50" s="15">
        <x:v>0.0</x:v>
      </x:c>
      <x:c r="N50" s="17">
        <x:v>0.62</x:v>
      </x:c>
      <x:c r="O50" s="10" t="s">
        <x:v>314</x:v>
      </x:c>
      <x:c r="P50" s="17">
        <x:v>1.1</x:v>
      </x:c>
      <x:c r="R50" s="10" t="s">
        <x:v>315</x:v>
      </x:c>
    </x:row>
    <x:row r="51" ht="14.25" customHeight="1">
      <x:c r="A51" s="10" t="str">
        <x:f t="shared" si="1"/>
        <x:v>Imposant - Avancé = CHA +1, CON +1</x:v>
      </x:c>
      <x:c r="B51" s="10" t="s">
        <x:v>316</x:v>
      </x:c>
      <x:c r="C51" s="13">
        <x:v>0.0</x:v>
      </x:c>
      <x:c r="D51" s="13">
        <x:v>0.0</x:v>
      </x:c>
      <x:c r="E51" s="13">
        <x:v>1.0</x:v>
      </x:c>
      <x:c r="F51" s="13">
        <x:v>0.0</x:v>
      </x:c>
      <x:c r="G51" s="13">
        <x:v>0.0</x:v>
      </x:c>
      <x:c r="H51" s="13">
        <x:v>1.0</x:v>
      </x:c>
      <x:c r="I51" s="15">
        <x:v>0.0</x:v>
      </x:c>
      <x:c r="J51" s="17">
        <x:v>1.1</x:v>
      </x:c>
      <x:c r="K51" s="15">
        <x:v>0.0</x:v>
      </x:c>
      <x:c r="L51" s="15">
        <x:v>0.0</x:v>
      </x:c>
      <x:c r="M51" s="15">
        <x:v>0.0</x:v>
      </x:c>
      <x:c r="N51" s="17">
        <x:v>0.62</x:v>
      </x:c>
      <x:c r="O51" s="10" t="s">
        <x:v>317</x:v>
      </x:c>
      <x:c r="P51" s="17">
        <x:v>1.1</x:v>
      </x:c>
      <x:c r="R51" s="10" t="s">
        <x:v>318</x:v>
      </x:c>
    </x:row>
    <x:row r="52" ht="14.25" customHeight="1">
      <x:c r="A52" s="10" t="str">
        <x:f t="shared" si="1"/>
        <x:v>Imposant - Expert = CHA +2, CON +1</x:v>
      </x:c>
      <x:c r="B52" s="10" t="s">
        <x:v>319</x:v>
      </x:c>
      <x:c r="C52" s="13">
        <x:v>0.0</x:v>
      </x:c>
      <x:c r="D52" s="13">
        <x:v>0.0</x:v>
      </x:c>
      <x:c r="E52" s="13">
        <x:v>1.0</x:v>
      </x:c>
      <x:c r="F52" s="13">
        <x:v>0.0</x:v>
      </x:c>
      <x:c r="G52" s="13">
        <x:v>0.0</x:v>
      </x:c>
      <x:c r="H52" s="13">
        <x:v>2.0</x:v>
      </x:c>
      <x:c r="I52" s="15">
        <x:v>0.0</x:v>
      </x:c>
      <x:c r="J52" s="17">
        <x:v>1.1</x:v>
      </x:c>
      <x:c r="K52" s="15">
        <x:v>0.0</x:v>
      </x:c>
      <x:c r="L52" s="15">
        <x:v>0.0</x:v>
      </x:c>
      <x:c r="M52" s="15">
        <x:v>0.0</x:v>
      </x:c>
      <x:c r="N52" s="17">
        <x:v>0.62</x:v>
      </x:c>
      <x:c r="O52" s="10" t="s">
        <x:v>320</x:v>
      </x:c>
      <x:c r="P52" s="17">
        <x:v>1.1</x:v>
      </x:c>
      <x:c r="R52" s="10" t="s">
        <x:v>321</x:v>
      </x:c>
    </x:row>
    <x:row r="53" ht="14.25" customHeight="1">
      <x:c r="A53" s="10" t="str">
        <x:f t="shared" si="1"/>
        <x:v>Provocateur - Simple = CHA +1</x:v>
      </x:c>
      <x:c r="B53" s="10" t="s">
        <x:v>305</x:v>
      </x:c>
      <x:c r="C53" s="13">
        <x:v>0.0</x:v>
      </x:c>
      <x:c r="D53" s="13">
        <x:v>0.0</x:v>
      </x:c>
      <x:c r="E53" s="13">
        <x:v>0.0</x:v>
      </x:c>
      <x:c r="F53" s="13">
        <x:v>0.0</x:v>
      </x:c>
      <x:c r="G53" s="13">
        <x:v>0.0</x:v>
      </x:c>
      <x:c r="H53" s="13">
        <x:v>1.0</x:v>
      </x:c>
      <x:c r="I53" s="15">
        <x:v>0.0</x:v>
      </x:c>
      <x:c r="J53" s="17">
        <x:v>1.0</x:v>
      </x:c>
      <x:c r="K53" s="15">
        <x:v>0.0</x:v>
      </x:c>
      <x:c r="L53" s="15">
        <x:v>0.0</x:v>
      </x:c>
      <x:c r="M53" s="15">
        <x:v>0.0</x:v>
      </x:c>
      <x:c r="N53" s="17">
        <x:v>0.7</x:v>
      </x:c>
      <x:c r="O53" s="10" t="s">
        <x:v>322</x:v>
      </x:c>
      <x:c r="P53" s="17">
        <x:v>1.1</x:v>
      </x:c>
      <x:c r="R53" s="10" t="s">
        <x:v>323</x:v>
      </x:c>
    </x:row>
    <x:row r="54" ht="14.25" customHeight="1">
      <x:c r="A54" s="10" t="str">
        <x:f t="shared" si="1"/>
        <x:v>Provocateur - Avancé = CHA +1, DEX +1</x:v>
      </x:c>
      <x:c r="B54" s="10" t="s">
        <x:v>324</x:v>
      </x:c>
      <x:c r="C54" s="13">
        <x:v>0.0</x:v>
      </x:c>
      <x:c r="D54" s="13">
        <x:v>1.0</x:v>
      </x:c>
      <x:c r="E54" s="13">
        <x:v>0.0</x:v>
      </x:c>
      <x:c r="F54" s="13">
        <x:v>0.0</x:v>
      </x:c>
      <x:c r="G54" s="13">
        <x:v>0.0</x:v>
      </x:c>
      <x:c r="H54" s="13">
        <x:v>1.0</x:v>
      </x:c>
      <x:c r="I54" s="15">
        <x:v>0.0</x:v>
      </x:c>
      <x:c r="J54" s="17">
        <x:v>1.0</x:v>
      </x:c>
      <x:c r="K54" s="15">
        <x:v>0.0</x:v>
      </x:c>
      <x:c r="L54" s="15">
        <x:v>0.0</x:v>
      </x:c>
      <x:c r="M54" s="15">
        <x:v>0.0</x:v>
      </x:c>
      <x:c r="N54" s="17">
        <x:v>0.7</x:v>
      </x:c>
      <x:c r="O54" s="10" t="s">
        <x:v>325</x:v>
      </x:c>
      <x:c r="P54" s="17">
        <x:v>1.1</x:v>
      </x:c>
      <x:c r="R54" s="10" t="s">
        <x:v>326</x:v>
      </x:c>
    </x:row>
    <x:row r="55" ht="14.25" customHeight="1">
      <x:c r="A55" s="10" t="str">
        <x:f t="shared" si="1"/>
        <x:v>Provocateur - Expert = CHA +2, DEX +1</x:v>
      </x:c>
      <x:c r="B55" s="10" t="s">
        <x:v>327</x:v>
      </x:c>
      <x:c r="C55" s="13">
        <x:v>0.0</x:v>
      </x:c>
      <x:c r="D55" s="13">
        <x:v>1.0</x:v>
      </x:c>
      <x:c r="E55" s="13">
        <x:v>0.0</x:v>
      </x:c>
      <x:c r="F55" s="13">
        <x:v>0.0</x:v>
      </x:c>
      <x:c r="G55" s="13">
        <x:v>0.0</x:v>
      </x:c>
      <x:c r="H55" s="13">
        <x:v>2.0</x:v>
      </x:c>
      <x:c r="I55" s="15">
        <x:v>0.0</x:v>
      </x:c>
      <x:c r="J55" s="17">
        <x:v>1.0</x:v>
      </x:c>
      <x:c r="K55" s="15">
        <x:v>0.0</x:v>
      </x:c>
      <x:c r="L55" s="15">
        <x:v>0.0</x:v>
      </x:c>
      <x:c r="M55" s="15">
        <x:v>0.0</x:v>
      </x:c>
      <x:c r="N55" s="17">
        <x:v>0.7</x:v>
      </x:c>
      <x:c r="O55" s="10" t="s">
        <x:v>328</x:v>
      </x:c>
      <x:c r="P55" s="17">
        <x:v>1.1</x:v>
      </x:c>
      <x:c r="R55" s="10" t="s">
        <x:v>329</x:v>
      </x:c>
    </x:row>
    <x:row r="56" ht="14.25" customHeight="1"/>
    <x:row r="57" ht="14.25" customHeight="1"/>
    <x:row r="58" ht="14.25" customHeight="1"/>
    <x:row r="59" ht="14.25" customHeight="1"/>
    <x:row r="60" ht="14.25" customHeight="1"/>
    <x:row r="61" ht="14.25" customHeight="1"/>
    <x:row r="62" ht="14.25" customHeight="1"/>
    <x:row r="63" ht="14.25" customHeight="1"/>
    <x:row r="64" ht="14.25" customHeight="1"/>
    <x:row r="65" ht="14.25" customHeight="1"/>
    <x:row r="66" ht="14.25" customHeight="1"/>
    <x:row r="67" ht="14.25" customHeight="1"/>
    <x:row r="68" ht="14.25" customHeight="1"/>
    <x:row r="69" ht="14.25" customHeight="1"/>
    <x:row r="70" ht="14.25" customHeight="1"/>
    <x:row r="71" ht="14.25" customHeight="1"/>
    <x:row r="72" ht="14.25" customHeight="1"/>
    <x:row r="73" ht="14.25" customHeight="1"/>
    <x:row r="74" ht="14.25" customHeight="1"/>
    <x:row r="75" ht="14.25" customHeight="1"/>
    <x:row r="76" ht="14.25" customHeight="1"/>
    <x:row r="77" ht="14.25" customHeight="1"/>
    <x:row r="78" ht="14.25" customHeight="1"/>
    <x:row r="79" ht="14.25" customHeight="1"/>
    <x:row r="80" ht="14.25" customHeight="1"/>
    <x:row r="81" ht="14.25" customHeight="1"/>
    <x:row r="82" ht="14.25" customHeight="1"/>
    <x:row r="83" ht="14.25" customHeight="1"/>
    <x:row r="84" ht="14.25" customHeight="1"/>
    <x:row r="85" ht="14.25" customHeight="1"/>
    <x:row r="86" ht="14.25" customHeight="1"/>
    <x:row r="87" ht="14.25" customHeight="1"/>
    <x:row r="88" ht="14.25" customHeight="1"/>
    <x:row r="89" ht="14.25" customHeight="1"/>
    <x:row r="90" ht="14.25" customHeight="1"/>
    <x:row r="91" ht="14.25" customHeight="1"/>
    <x:row r="92" ht="14.25" customHeight="1"/>
    <x:row r="93" ht="14.25" customHeight="1"/>
    <x:row r="94" ht="14.25" customHeight="1"/>
    <x:row r="95" ht="14.25" customHeight="1"/>
    <x:row r="96" ht="14.25" customHeight="1"/>
    <x:row r="97" ht="14.25" customHeight="1"/>
    <x:row r="98" ht="14.25" customHeight="1"/>
    <x:row r="99" ht="14.25" customHeight="1"/>
    <x:row r="100" ht="14.25" customHeight="1"/>
    <x:row r="101" ht="14.25" customHeight="1"/>
    <x:row r="102" ht="14.25" customHeight="1"/>
    <x:row r="103" ht="14.25" customHeight="1"/>
    <x:row r="104" ht="14.25" customHeight="1"/>
    <x:row r="105" ht="14.25" customHeight="1"/>
    <x:row r="106" ht="14.25" customHeight="1"/>
    <x:row r="107" ht="14.25" customHeight="1"/>
    <x:row r="108" ht="14.25" customHeight="1"/>
    <x:row r="109" ht="14.25" customHeight="1"/>
    <x:row r="110" ht="14.25" customHeight="1"/>
    <x:row r="111" ht="14.25" customHeight="1"/>
    <x:row r="112" ht="14.25" customHeight="1"/>
    <x:row r="113" ht="14.25" customHeight="1"/>
    <x:row r="114" ht="14.25" customHeight="1"/>
    <x:row r="115" ht="14.25" customHeight="1"/>
    <x:row r="116" ht="14.25" customHeight="1"/>
    <x:row r="117" ht="14.25" customHeight="1"/>
    <x:row r="118" ht="14.25" customHeight="1"/>
    <x:row r="119" ht="14.25" customHeight="1"/>
    <x:row r="120" ht="14.25" customHeight="1"/>
    <x:row r="121" ht="14.25" customHeight="1"/>
    <x:row r="122" ht="14.25" customHeight="1"/>
    <x:row r="123" ht="14.25" customHeight="1"/>
    <x:row r="124" ht="14.25" customHeight="1"/>
    <x:row r="125" ht="14.25" customHeight="1"/>
    <x:row r="126" ht="14.25" customHeight="1"/>
    <x:row r="127" ht="14.25" customHeight="1"/>
    <x:row r="128" ht="14.25" customHeight="1"/>
    <x:row r="129" ht="14.25" customHeight="1"/>
    <x:row r="130" ht="14.25" customHeight="1"/>
    <x:row r="131" ht="14.25" customHeight="1"/>
    <x:row r="132" ht="14.25" customHeight="1"/>
    <x:row r="133" ht="14.25" customHeight="1"/>
    <x:row r="134" ht="14.25" customHeight="1"/>
    <x:row r="135" ht="14.25" customHeight="1"/>
    <x:row r="136" ht="14.25" customHeight="1"/>
    <x:row r="137" ht="14.25" customHeight="1"/>
    <x:row r="138" ht="14.25" customHeight="1"/>
    <x:row r="139" ht="14.25" customHeight="1"/>
    <x:row r="140" ht="14.25" customHeight="1"/>
    <x:row r="141" ht="14.25" customHeight="1"/>
    <x:row r="142" ht="14.25" customHeight="1"/>
    <x:row r="143" ht="14.25" customHeight="1"/>
    <x:row r="144" ht="14.25" customHeight="1"/>
    <x:row r="145" ht="14.25" customHeight="1"/>
    <x:row r="146" ht="14.25" customHeight="1"/>
    <x:row r="147" ht="14.25" customHeight="1"/>
    <x:row r="148" ht="14.25" customHeight="1"/>
    <x:row r="149" ht="14.25" customHeight="1"/>
    <x:row r="150" ht="14.25" customHeight="1"/>
    <x:row r="151" ht="14.25" customHeight="1"/>
    <x:row r="152" ht="14.25" customHeight="1"/>
    <x:row r="153" ht="14.25" customHeight="1"/>
    <x:row r="154" ht="14.25" customHeight="1"/>
    <x:row r="155" ht="14.25" customHeight="1"/>
    <x:row r="156" ht="14.25" customHeight="1"/>
    <x:row r="157" ht="14.25" customHeight="1"/>
    <x:row r="158" ht="14.25" customHeight="1"/>
    <x:row r="159" ht="14.25" customHeight="1"/>
    <x:row r="160" ht="14.25" customHeight="1"/>
    <x:row r="161" ht="14.25" customHeight="1"/>
    <x:row r="162" ht="14.25" customHeight="1"/>
    <x:row r="163" ht="14.25" customHeight="1"/>
    <x:row r="164" ht="14.25" customHeight="1"/>
    <x:row r="165" ht="14.25" customHeight="1"/>
    <x:row r="166" ht="14.25" customHeight="1"/>
    <x:row r="167" ht="14.25" customHeight="1"/>
    <x:row r="168" ht="14.25" customHeight="1"/>
    <x:row r="169" ht="14.25" customHeight="1"/>
    <x:row r="170" ht="14.25" customHeight="1"/>
    <x:row r="171" ht="14.25" customHeight="1"/>
    <x:row r="172" ht="14.25" customHeight="1"/>
    <x:row r="173" ht="14.25" customHeight="1"/>
    <x:row r="174" ht="14.25" customHeight="1"/>
    <x:row r="175" ht="14.25" customHeight="1"/>
    <x:row r="176" ht="14.25" customHeight="1"/>
    <x:row r="177" ht="14.25" customHeight="1"/>
    <x:row r="178" ht="14.25" customHeight="1"/>
    <x:row r="179" ht="14.25" customHeight="1"/>
    <x:row r="180" ht="14.25" customHeight="1"/>
    <x:row r="181" ht="14.25" customHeight="1"/>
    <x:row r="182" ht="14.25" customHeight="1"/>
    <x:row r="183" ht="14.25" customHeight="1"/>
    <x:row r="184" ht="14.25" customHeight="1"/>
    <x:row r="185" ht="14.25" customHeight="1"/>
    <x:row r="186" ht="14.25" customHeight="1"/>
    <x:row r="187" ht="14.25" customHeight="1"/>
    <x:row r="188" ht="14.25" customHeight="1"/>
    <x:row r="189" ht="14.25" customHeight="1"/>
    <x:row r="190" ht="14.25" customHeight="1"/>
    <x:row r="191" ht="14.25" customHeight="1"/>
    <x:row r="192" ht="14.25" customHeight="1"/>
    <x:row r="193" ht="14.25" customHeight="1"/>
    <x:row r="194" ht="14.25" customHeight="1"/>
    <x:row r="195" ht="14.25" customHeight="1"/>
    <x:row r="196" ht="14.25" customHeight="1"/>
    <x:row r="197" ht="14.25" customHeight="1"/>
    <x:row r="198" ht="14.25" customHeight="1"/>
    <x:row r="199" ht="14.25" customHeight="1"/>
    <x:row r="200" ht="14.25" customHeight="1"/>
    <x:row r="201" ht="14.25" customHeight="1"/>
    <x:row r="202" ht="14.25" customHeight="1"/>
    <x:row r="203" ht="14.25" customHeight="1"/>
    <x:row r="204" ht="14.25" customHeight="1"/>
    <x:row r="205" ht="14.25" customHeight="1"/>
    <x:row r="206" ht="14.25" customHeight="1"/>
    <x:row r="207" ht="14.25" customHeight="1"/>
    <x:row r="208" ht="14.25" customHeight="1"/>
    <x:row r="209" ht="14.25" customHeight="1"/>
    <x:row r="210" ht="14.25" customHeight="1"/>
    <x:row r="211" ht="14.25" customHeight="1"/>
    <x:row r="212" ht="14.25" customHeight="1"/>
    <x:row r="213" ht="14.25" customHeight="1"/>
    <x:row r="214" ht="14.25" customHeight="1"/>
    <x:row r="215" ht="14.25" customHeight="1"/>
    <x:row r="216" ht="14.25" customHeight="1"/>
    <x:row r="217" ht="14.25" customHeight="1"/>
    <x:row r="218" ht="14.25" customHeight="1"/>
    <x:row r="219" ht="14.25" customHeight="1"/>
    <x:row r="220" ht="14.25" customHeight="1"/>
    <x:row r="221" ht="14.25" customHeight="1"/>
    <x:row r="222" ht="14.25" customHeight="1"/>
    <x:row r="223" ht="14.25" customHeight="1"/>
    <x:row r="224" ht="14.25" customHeight="1"/>
    <x:row r="225" ht="14.25" customHeight="1"/>
    <x:row r="226" ht="14.25" customHeight="1"/>
    <x:row r="227" ht="14.25" customHeight="1"/>
    <x:row r="228" ht="14.25" customHeight="1"/>
    <x:row r="229" ht="14.25" customHeight="1"/>
    <x:row r="230" ht="14.25" customHeight="1"/>
    <x:row r="231" ht="14.25" customHeight="1"/>
    <x:row r="232" ht="14.25" customHeight="1"/>
    <x:row r="233" ht="14.25" customHeight="1"/>
    <x:row r="234" ht="14.25" customHeight="1"/>
    <x:row r="235" ht="14.25" customHeight="1"/>
    <x:row r="236" ht="14.25" customHeight="1"/>
    <x:row r="237" ht="14.25" customHeight="1"/>
    <x:row r="238" ht="14.25" customHeight="1"/>
    <x:row r="239" ht="14.25" customHeight="1"/>
    <x:row r="240" ht="14.25" customHeight="1"/>
    <x:row r="241" ht="14.25" customHeight="1"/>
    <x:row r="242" ht="14.25" customHeight="1"/>
    <x:row r="243" ht="14.25" customHeight="1"/>
    <x:row r="244" ht="14.25" customHeight="1"/>
    <x:row r="245" ht="14.25" customHeight="1"/>
    <x:row r="246" ht="14.25" customHeight="1"/>
    <x:row r="247" ht="14.25" customHeight="1"/>
    <x:row r="248" ht="14.25" customHeight="1"/>
    <x:row r="249" ht="14.25" customHeight="1"/>
    <x:row r="250" ht="14.25" customHeight="1"/>
    <x:row r="251" ht="14.25" customHeight="1"/>
    <x:row r="252" ht="14.25" customHeight="1"/>
    <x:row r="253" ht="14.25" customHeight="1"/>
    <x:row r="254" ht="14.25" customHeight="1"/>
    <x:row r="255" ht="14.2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pageMargins left="0.7" right="0.7" top="0.75" bottom="0.75" header="0.3" footer="0.3"/>
</x:worksheet>
</file>

<file path=xl/worksheets/sheet5.xml><?xml version="1.0" encoding="utf-8"?>
<x:worksheet xmlns:x="http://schemas.openxmlformats.org/spreadsheetml/2006/main">
  <x:sheetFormatPr defaultColWidth="12.630000114440918" defaultRowHeight="15"/>
  <x:cols>
    <x:col min="1" max="1" width="4.25" customWidth="1"/>
    <x:col min="2" max="2" width="4.5" customWidth="1"/>
    <x:col min="3" max="3" width="4.25" customWidth="1"/>
    <x:col min="4" max="4" width="7" customWidth="1"/>
    <x:col min="5" max="5" width="7.630000114440918" customWidth="1"/>
    <x:col min="6" max="6" width="2.880000114440918" customWidth="1"/>
    <x:col min="7" max="7" width="3" customWidth="1"/>
    <x:col min="8" max="8" width="2.5" customWidth="1"/>
    <x:col min="9" max="9" width="11.880000114440918" customWidth="1"/>
    <x:col min="10" max="10" width="8.380000114440918" customWidth="1"/>
    <x:col min="11" max="11" width="8.130000114440918" customWidth="1"/>
    <x:col min="12" max="12" width="3.880000114440918" customWidth="1"/>
    <x:col min="13" max="13" width="11" customWidth="1"/>
  </x:cols>
  <x:sheetData>
    <x:row r="1" ht="14.25" customHeight="1">
      <x:c r="A1" s="33" t="s">
        <x:v>35</x:v>
      </x:c>
      <x:c r="B1" s="33" t="s">
        <x:v>330</x:v>
      </x:c>
      <x:c r="C1" s="33" t="s">
        <x:v>149</x:v>
      </x:c>
      <x:c r="D1" s="33" t="s">
        <x:v>175</x:v>
      </x:c>
      <x:c r="E1" s="33" t="s">
        <x:v>331</x:v>
      </x:c>
      <x:c r="F1" s="33" t="s">
        <x:v>176</x:v>
      </x:c>
      <x:c r="G1" s="33" t="s">
        <x:v>30</x:v>
      </x:c>
      <x:c r="H1" s="33" t="s">
        <x:v>37</x:v>
      </x:c>
      <x:c r="I1" s="33" t="s">
        <x:v>332</x:v>
      </x:c>
      <x:c r="J1" s="33" t="s">
        <x:v>333</x:v>
      </x:c>
      <x:c r="K1" s="33" t="s">
        <x:v>178</x:v>
      </x:c>
      <x:c r="L1" s="33" t="s">
        <x:v>51</x:v>
      </x:c>
      <x:c r="M1" s="35" t="s">
        <x:v>179</x:v>
      </x:c>
    </x:row>
    <x:row r="2" ht="14.25" customHeight="1">
      <x:c r="A2" s="15" t="s">
        <x:v>36</x:v>
      </x:c>
      <x:c r="B2" s="15" t="s">
        <x:v>334</x:v>
      </x:c>
      <x:c r="C2" s="15" t="s">
        <x:v>36</x:v>
      </x:c>
      <x:c r="D2" s="15">
        <x:v>1.0</x:v>
      </x:c>
      <x:c r="E2" s="15">
        <x:v>1.0</x:v>
      </x:c>
      <x:c r="F2" s="15">
        <x:v>0.0</x:v>
      </x:c>
      <x:c r="G2" s="15">
        <x:v>0.0</x:v>
      </x:c>
      <x:c r="H2" s="15">
        <x:v>0.0</x:v>
      </x:c>
      <x:c r="I2" s="15">
        <x:v>0.0</x:v>
      </x:c>
      <x:c r="J2" s="15">
        <x:v>0.0</x:v>
      </x:c>
      <x:c r="K2" s="15">
        <x:v>0.65</x:v>
      </x:c>
      <x:c r="L2" s="15" t="s">
        <x:v>335</x:v>
      </x:c>
      <x:c r="M2" s="36">
        <x:v>1.0</x:v>
      </x:c>
    </x:row>
    <x:row r="3" ht="14.25" customHeight="1">
      <x:c r="A3" s="15" t="s">
        <x:v>336</x:v>
      </x:c>
      <x:c r="B3" s="15" t="s">
        <x:v>337</x:v>
      </x:c>
      <x:c r="C3" s="15" t="s">
        <x:v>336</x:v>
      </x:c>
      <x:c r="D3" s="15">
        <x:v>0.45</x:v>
      </x:c>
      <x:c r="E3" s="15">
        <x:v>0.75</x:v>
      </x:c>
      <x:c r="F3" s="15">
        <x:v>-1.0</x:v>
      </x:c>
      <x:c r="G3" s="15">
        <x:v>-1.0</x:v>
      </x:c>
      <x:c r="H3" s="15">
        <x:v>0.0</x:v>
      </x:c>
      <x:c r="I3" s="15">
        <x:v>-2.0</x:v>
      </x:c>
      <x:c r="J3" s="15">
        <x:v>-1.0</x:v>
      </x:c>
      <x:c r="K3" s="15">
        <x:v>0.6</x:v>
      </x:c>
      <x:c r="L3" s="15" t="s">
        <x:v>338</x:v>
      </x:c>
      <x:c r="M3" s="36">
        <x:v>0.5</x:v>
      </x:c>
    </x:row>
    <x:row r="4" ht="14.25" customHeight="1">
      <x:c r="A4" s="15" t="s">
        <x:v>339</x:v>
      </x:c>
      <x:c r="B4" s="15" t="s">
        <x:v>340</x:v>
      </x:c>
      <x:c r="C4" s="15" t="s">
        <x:v>339</x:v>
      </x:c>
      <x:c r="D4" s="15">
        <x:v>1.5</x:v>
      </x:c>
      <x:c r="E4" s="15">
        <x:v>1.15</x:v>
      </x:c>
      <x:c r="F4" s="15">
        <x:v>1.0</x:v>
      </x:c>
      <x:c r="G4" s="15">
        <x:v>1.0</x:v>
      </x:c>
      <x:c r="H4" s="15">
        <x:v>1.0</x:v>
      </x:c>
      <x:c r="I4" s="15">
        <x:v>2.0</x:v>
      </x:c>
      <x:c r="J4" s="15">
        <x:v>1.0</x:v>
      </x:c>
      <x:c r="K4" s="15">
        <x:v>0.7</x:v>
      </x:c>
      <x:c r="L4" s="15" t="s">
        <x:v>341</x:v>
      </x:c>
      <x:c r="M4" s="36">
        <x:v>1.75</x:v>
      </x:c>
    </x:row>
    <x:row r="5" ht="14.25" customHeight="1">
      <x:c r="A5" s="15" t="s">
        <x:v>342</x:v>
      </x:c>
      <x:c r="B5" s="15" t="s">
        <x:v>343</x:v>
      </x:c>
      <x:c r="C5" s="15" t="s">
        <x:v>342</x:v>
      </x:c>
      <x:c r="D5" s="15">
        <x:v>2.25</x:v>
      </x:c>
      <x:c r="E5" s="15">
        <x:v>1.25</x:v>
      </x:c>
      <x:c r="F5" s="15">
        <x:v>2.0</x:v>
      </x:c>
      <x:c r="G5" s="15">
        <x:v>1.0</x:v>
      </x:c>
      <x:c r="H5" s="15">
        <x:v>1.0</x:v>
      </x:c>
      <x:c r="I5" s="15">
        <x:v>4.0</x:v>
      </x:c>
      <x:c r="J5" s="15">
        <x:v>2.0</x:v>
      </x:c>
      <x:c r="K5" s="15">
        <x:v>0.75</x:v>
      </x:c>
      <x:c r="L5" s="15" t="s">
        <x:v>344</x:v>
      </x:c>
      <x:c r="M5" s="36">
        <x:v>3.0</x:v>
      </x:c>
    </x:row>
    <x:row r="6" ht="14.25" customHeight="1"/>
    <x:row r="7" ht="14.25" customHeight="1"/>
    <x:row r="8" ht="14.25" customHeight="1"/>
    <x:row r="9" ht="14.25" customHeight="1"/>
    <x:row r="10" ht="14.25" customHeight="1"/>
    <x:row r="11" ht="14.25" customHeight="1"/>
    <x:row r="12" ht="14.25" customHeight="1"/>
    <x:row r="13" ht="14.25" customHeight="1"/>
    <x:row r="14" ht="14.25" customHeight="1"/>
    <x:row r="15" ht="14.25" customHeight="1"/>
    <x:row r="16" ht="14.25" customHeight="1"/>
    <x:row r="17" ht="14.25" customHeight="1"/>
    <x:row r="18" ht="14.25" customHeight="1"/>
    <x:row r="19" ht="14.25" customHeight="1"/>
    <x:row r="20" ht="14.25" customHeight="1"/>
    <x:row r="21" ht="14.25" customHeight="1"/>
    <x:row r="22" ht="14.25" customHeight="1"/>
    <x:row r="23" ht="14.25" customHeight="1"/>
    <x:row r="24" ht="14.25" customHeight="1"/>
    <x:row r="25" ht="14.25" customHeight="1"/>
    <x:row r="26" ht="14.25" customHeight="1"/>
    <x:row r="27" ht="14.25" customHeight="1"/>
    <x:row r="28" ht="14.25" customHeight="1"/>
    <x:row r="29" ht="14.25" customHeight="1"/>
    <x:row r="30" ht="14.25" customHeight="1"/>
    <x:row r="31" ht="14.25" customHeight="1"/>
    <x:row r="32" ht="14.25" customHeight="1"/>
    <x:row r="33" ht="14.25" customHeight="1"/>
    <x:row r="34" ht="14.25" customHeight="1"/>
    <x:row r="35" ht="14.25" customHeight="1"/>
    <x:row r="36" ht="14.25" customHeight="1"/>
    <x:row r="37" ht="14.25" customHeight="1"/>
    <x:row r="38" ht="14.25" customHeight="1"/>
    <x:row r="39" ht="14.25" customHeight="1"/>
    <x:row r="40" ht="14.25" customHeight="1"/>
    <x:row r="41" ht="14.25" customHeight="1"/>
    <x:row r="42" ht="14.25" customHeight="1"/>
    <x:row r="43" ht="14.25" customHeight="1"/>
    <x:row r="44" ht="14.25" customHeight="1"/>
    <x:row r="45" ht="14.25" customHeight="1"/>
    <x:row r="46" ht="14.25" customHeight="1"/>
    <x:row r="47" ht="14.25" customHeight="1"/>
    <x:row r="48" ht="14.25" customHeight="1"/>
    <x:row r="49" ht="14.25" customHeight="1"/>
    <x:row r="50" ht="14.25" customHeight="1"/>
    <x:row r="51" ht="14.25" customHeight="1"/>
    <x:row r="52" ht="14.25" customHeight="1"/>
    <x:row r="53" ht="14.25" customHeight="1"/>
    <x:row r="54" ht="14.25" customHeight="1"/>
    <x:row r="55" ht="14.25" customHeight="1"/>
    <x:row r="56" ht="14.25" customHeight="1"/>
    <x:row r="57" ht="14.25" customHeight="1"/>
    <x:row r="58" ht="14.25" customHeight="1"/>
    <x:row r="59" ht="14.25" customHeight="1"/>
    <x:row r="60" ht="14.25" customHeight="1"/>
    <x:row r="61" ht="14.25" customHeight="1"/>
    <x:row r="62" ht="14.25" customHeight="1"/>
    <x:row r="63" ht="14.25" customHeight="1"/>
    <x:row r="64" ht="14.25" customHeight="1"/>
    <x:row r="65" ht="14.25" customHeight="1"/>
    <x:row r="66" ht="14.25" customHeight="1"/>
    <x:row r="67" ht="14.25" customHeight="1"/>
    <x:row r="68" ht="14.25" customHeight="1"/>
    <x:row r="69" ht="14.25" customHeight="1"/>
    <x:row r="70" ht="14.25" customHeight="1"/>
    <x:row r="71" ht="14.25" customHeight="1"/>
    <x:row r="72" ht="14.25" customHeight="1"/>
    <x:row r="73" ht="14.25" customHeight="1"/>
    <x:row r="74" ht="14.25" customHeight="1"/>
    <x:row r="75" ht="14.25" customHeight="1"/>
    <x:row r="76" ht="14.25" customHeight="1"/>
    <x:row r="77" ht="14.25" customHeight="1"/>
    <x:row r="78" ht="14.25" customHeight="1"/>
    <x:row r="79" ht="14.25" customHeight="1"/>
    <x:row r="80" ht="14.25" customHeight="1"/>
    <x:row r="81" ht="14.25" customHeight="1"/>
    <x:row r="82" ht="14.25" customHeight="1"/>
    <x:row r="83" ht="14.25" customHeight="1"/>
    <x:row r="84" ht="14.25" customHeight="1"/>
    <x:row r="85" ht="14.25" customHeight="1"/>
    <x:row r="86" ht="14.25" customHeight="1"/>
    <x:row r="87" ht="14.25" customHeight="1"/>
    <x:row r="88" ht="14.25" customHeight="1"/>
    <x:row r="89" ht="14.25" customHeight="1"/>
    <x:row r="90" ht="14.25" customHeight="1"/>
    <x:row r="91" ht="14.25" customHeight="1"/>
    <x:row r="92" ht="14.25" customHeight="1"/>
    <x:row r="93" ht="14.25" customHeight="1"/>
    <x:row r="94" ht="14.25" customHeight="1"/>
    <x:row r="95" ht="14.25" customHeight="1"/>
    <x:row r="96" ht="14.25" customHeight="1"/>
    <x:row r="97" ht="14.25" customHeight="1"/>
    <x:row r="98" ht="14.25" customHeight="1"/>
    <x:row r="99" ht="14.25" customHeight="1"/>
    <x:row r="100" ht="14.25" customHeight="1"/>
    <x:row r="101" ht="14.25" customHeight="1"/>
    <x:row r="102" ht="14.25" customHeight="1"/>
    <x:row r="103" ht="14.25" customHeight="1"/>
    <x:row r="104" ht="14.25" customHeight="1"/>
    <x:row r="105" ht="14.25" customHeight="1"/>
    <x:row r="106" ht="14.25" customHeight="1"/>
    <x:row r="107" ht="14.25" customHeight="1"/>
    <x:row r="108" ht="14.25" customHeight="1"/>
    <x:row r="109" ht="14.25" customHeight="1"/>
    <x:row r="110" ht="14.25" customHeight="1"/>
    <x:row r="111" ht="14.25" customHeight="1"/>
    <x:row r="112" ht="14.25" customHeight="1"/>
    <x:row r="113" ht="14.25" customHeight="1"/>
    <x:row r="114" ht="14.25" customHeight="1"/>
    <x:row r="115" ht="14.25" customHeight="1"/>
    <x:row r="116" ht="14.25" customHeight="1"/>
    <x:row r="117" ht="14.25" customHeight="1"/>
    <x:row r="118" ht="14.25" customHeight="1"/>
    <x:row r="119" ht="14.25" customHeight="1"/>
    <x:row r="120" ht="14.25" customHeight="1"/>
    <x:row r="121" ht="14.25" customHeight="1"/>
    <x:row r="122" ht="14.25" customHeight="1"/>
    <x:row r="123" ht="14.25" customHeight="1"/>
    <x:row r="124" ht="14.25" customHeight="1"/>
    <x:row r="125" ht="14.25" customHeight="1"/>
    <x:row r="126" ht="14.25" customHeight="1"/>
    <x:row r="127" ht="14.25" customHeight="1"/>
    <x:row r="128" ht="14.25" customHeight="1"/>
    <x:row r="129" ht="14.25" customHeight="1"/>
    <x:row r="130" ht="14.25" customHeight="1"/>
    <x:row r="131" ht="14.25" customHeight="1"/>
    <x:row r="132" ht="14.25" customHeight="1"/>
    <x:row r="133" ht="14.25" customHeight="1"/>
    <x:row r="134" ht="14.25" customHeight="1"/>
    <x:row r="135" ht="14.25" customHeight="1"/>
    <x:row r="136" ht="14.25" customHeight="1"/>
    <x:row r="137" ht="14.25" customHeight="1"/>
    <x:row r="138" ht="14.25" customHeight="1"/>
    <x:row r="139" ht="14.25" customHeight="1"/>
    <x:row r="140" ht="14.25" customHeight="1"/>
    <x:row r="141" ht="14.25" customHeight="1"/>
    <x:row r="142" ht="14.25" customHeight="1"/>
    <x:row r="143" ht="14.25" customHeight="1"/>
    <x:row r="144" ht="14.25" customHeight="1"/>
    <x:row r="145" ht="14.25" customHeight="1"/>
    <x:row r="146" ht="14.25" customHeight="1"/>
    <x:row r="147" ht="14.25" customHeight="1"/>
    <x:row r="148" ht="14.25" customHeight="1"/>
    <x:row r="149" ht="14.25" customHeight="1"/>
    <x:row r="150" ht="14.25" customHeight="1"/>
    <x:row r="151" ht="14.25" customHeight="1"/>
    <x:row r="152" ht="14.25" customHeight="1"/>
    <x:row r="153" ht="14.25" customHeight="1"/>
    <x:row r="154" ht="14.25" customHeight="1"/>
    <x:row r="155" ht="14.25" customHeight="1"/>
    <x:row r="156" ht="14.25" customHeight="1"/>
    <x:row r="157" ht="14.25" customHeight="1"/>
    <x:row r="158" ht="14.25" customHeight="1"/>
    <x:row r="159" ht="14.25" customHeight="1"/>
    <x:row r="160" ht="14.25" customHeight="1"/>
    <x:row r="161" ht="14.25" customHeight="1"/>
    <x:row r="162" ht="14.25" customHeight="1"/>
    <x:row r="163" ht="14.25" customHeight="1"/>
    <x:row r="164" ht="14.25" customHeight="1"/>
    <x:row r="165" ht="14.25" customHeight="1"/>
    <x:row r="166" ht="14.25" customHeight="1"/>
    <x:row r="167" ht="14.25" customHeight="1"/>
    <x:row r="168" ht="14.25" customHeight="1"/>
    <x:row r="169" ht="14.25" customHeight="1"/>
    <x:row r="170" ht="14.25" customHeight="1"/>
    <x:row r="171" ht="14.25" customHeight="1"/>
    <x:row r="172" ht="14.25" customHeight="1"/>
    <x:row r="173" ht="14.25" customHeight="1"/>
    <x:row r="174" ht="14.25" customHeight="1"/>
    <x:row r="175" ht="14.25" customHeight="1"/>
    <x:row r="176" ht="14.25" customHeight="1"/>
    <x:row r="177" ht="14.25" customHeight="1"/>
    <x:row r="178" ht="14.25" customHeight="1"/>
    <x:row r="179" ht="14.25" customHeight="1"/>
    <x:row r="180" ht="14.25" customHeight="1"/>
    <x:row r="181" ht="14.25" customHeight="1"/>
    <x:row r="182" ht="14.25" customHeight="1"/>
    <x:row r="183" ht="14.25" customHeight="1"/>
    <x:row r="184" ht="14.25" customHeight="1"/>
    <x:row r="185" ht="14.25" customHeight="1"/>
    <x:row r="186" ht="14.25" customHeight="1"/>
    <x:row r="187" ht="14.25" customHeight="1"/>
    <x:row r="188" ht="14.25" customHeight="1"/>
    <x:row r="189" ht="14.25" customHeight="1"/>
    <x:row r="190" ht="14.25" customHeight="1"/>
    <x:row r="191" ht="14.25" customHeight="1"/>
    <x:row r="192" ht="14.25" customHeight="1"/>
    <x:row r="193" ht="14.25" customHeight="1"/>
    <x:row r="194" ht="14.25" customHeight="1"/>
    <x:row r="195" ht="14.25" customHeight="1"/>
    <x:row r="196" ht="14.25" customHeight="1"/>
    <x:row r="197" ht="14.25" customHeight="1"/>
    <x:row r="198" ht="14.25" customHeight="1"/>
    <x:row r="199" ht="14.25" customHeight="1"/>
    <x:row r="200" ht="14.25" customHeight="1"/>
    <x:row r="201" ht="14.25" customHeight="1"/>
    <x:row r="202" ht="14.25" customHeight="1"/>
    <x:row r="203" ht="14.25" customHeight="1"/>
    <x:row r="204" ht="14.25" customHeight="1"/>
    <x:row r="205" ht="14.25" customHeight="1"/>
    <x:row r="206" ht="14.25" customHeight="1"/>
    <x:row r="207" ht="14.25" customHeight="1"/>
    <x:row r="208" ht="14.25" customHeight="1"/>
    <x:row r="209" ht="14.25" customHeight="1"/>
    <x:row r="210" ht="14.25" customHeight="1"/>
    <x:row r="211" ht="14.25" customHeight="1"/>
    <x:row r="212" ht="14.25" customHeight="1"/>
    <x:row r="213" ht="14.25" customHeight="1"/>
    <x:row r="214" ht="14.25" customHeight="1"/>
    <x:row r="215" ht="14.25" customHeight="1"/>
    <x:row r="216" ht="14.25" customHeight="1"/>
    <x:row r="217" ht="14.25" customHeight="1"/>
    <x:row r="218" ht="14.25" customHeight="1"/>
    <x:row r="219" ht="14.25" customHeight="1"/>
    <x:row r="220" ht="14.2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pageMargins left="0.7" right="0.7" top="0.75" bottom="0.75" header="0.3" footer="0.3"/>
</x:worksheet>
</file>

<file path=xl/worksheets/sheet6.xml><?xml version="1.0" encoding="utf-8"?>
<x:worksheet xmlns:x="http://schemas.openxmlformats.org/spreadsheetml/2006/main">
  <x:sheetFormatPr defaultColWidth="12.630000114440918" defaultRowHeight="15"/>
  <x:cols>
    <x:col min="1" max="1" width="18" customWidth="1"/>
    <x:col min="2" max="2" width="7.380000114440918" customWidth="1"/>
    <x:col min="3" max="3" width="24.3799991607666" customWidth="1"/>
    <x:col min="4" max="4" width="12" customWidth="1"/>
    <x:col min="5" max="6" width="3.25" customWidth="1"/>
    <x:col min="7" max="7" width="3.630000114440918" customWidth="1"/>
    <x:col min="8" max="8" width="2.75" customWidth="1"/>
    <x:col min="9" max="9" width="3.25" customWidth="1"/>
    <x:col min="10" max="10" width="3.380000114440918" customWidth="1"/>
    <x:col min="11" max="11" width="3.130000114440918" customWidth="1"/>
    <x:col min="12" max="12" width="7" customWidth="1"/>
    <x:col min="13" max="13" width="2.75" customWidth="1"/>
    <x:col min="14" max="14" width="8.380000114440918" customWidth="1"/>
    <x:col min="15" max="15" width="11.130000114440918" customWidth="1"/>
    <x:col min="16" max="16" width="12.75" customWidth="1"/>
    <x:col min="17" max="17" width="9.5" customWidth="1"/>
    <x:col min="18" max="18" width="5.880000114440918" customWidth="1"/>
    <x:col min="19" max="19" width="7.130000114440918" customWidth="1"/>
    <x:col min="20" max="20" width="11.630000114440918" customWidth="1"/>
    <x:col min="21" max="21" width="7.5" customWidth="1"/>
    <x:col min="22" max="23" width="9.880000114440918" customWidth="1"/>
    <x:col min="24" max="24" width="8.75" customWidth="1"/>
    <x:col min="25" max="25" width="10.380000114440918" customWidth="1"/>
    <x:col min="26" max="26" width="12.630000114440918" customWidth="1"/>
    <x:col min="27" max="27" width="14.130000114440918" customWidth="1"/>
    <x:col min="28" max="28" width="10.880000114440918" customWidth="1"/>
    <x:col min="29" max="29" width="7.25" customWidth="1"/>
    <x:col min="30" max="30" width="8.630000114440918" customWidth="1"/>
    <x:col min="31" max="31" width="12.880000114440918" customWidth="1"/>
    <x:col min="32" max="32" width="9" customWidth="1"/>
    <x:col min="33" max="34" width="11.130000114440918" customWidth="1"/>
    <x:col min="35" max="35" width="10.130000114440918" customWidth="1"/>
    <x:col min="36" max="36" width="11.75" customWidth="1"/>
    <x:col min="37" max="38" width="38" customWidth="1"/>
    <x:col min="39" max="39" width="13.5" customWidth="1"/>
    <x:col min="40" max="40" width="16.75" customWidth="1"/>
    <x:col min="41" max="41" width="17.5" customWidth="1"/>
    <x:col min="42" max="42" width="9.75" customWidth="1"/>
    <x:col min="43" max="43" width="12.25" customWidth="1"/>
    <x:col min="44" max="44" width="18" customWidth="1"/>
    <x:col min="45" max="45" width="38" customWidth="1"/>
    <x:col min="46" max="53" width="13" customWidth="1"/>
    <x:col min="54" max="54" width="42" customWidth="1"/>
    <x:col min="55" max="58" width="15" customWidth="1"/>
    <x:col min="59" max="59" width="48" customWidth="1"/>
    <x:col min="60" max="60" width="52" customWidth="1"/>
  </x:cols>
  <x:sheetData>
    <x:row r="1" ht="14.25" customHeight="1">
      <x:c r="A1" s="48" t="str">
        <x:v>Famille</x:v>
      </x:c>
      <x:c r="B1" s="48" t="str">
        <x:v>target_id</x:v>
      </x:c>
      <x:c r="C1" s="48" t="str">
        <x:v>category_value</x:v>
      </x:c>
      <x:c r="D1" s="48" t="str">
        <x:v>category_label</x:v>
      </x:c>
      <x:c r="E1" s="48" t="str">
        <x:v>FOR</x:v>
      </x:c>
      <x:c r="F1" s="48" t="str">
        <x:v>DEX</x:v>
      </x:c>
      <x:c r="G1" s="48" t="str">
        <x:v>CON</x:v>
      </x:c>
      <x:c r="H1" s="48" t="str">
        <x:v>INT</x:v>
      </x:c>
      <x:c r="I1" s="48" t="str">
        <x:v>SAG</x:v>
      </x:c>
      <x:c r="J1" s="48" t="str">
        <x:v>CHA</x:v>
      </x:c>
      <x:c r="K1" s="48" t="str">
        <x:v>DEF</x:v>
      </x:c>
      <x:c r="L1" s="48" t="str">
        <x:v>PV_mult</x:v>
      </x:c>
      <x:c r="M1" s="48" t="str">
        <x:v>Init</x:v>
      </x:c>
      <x:c r="N1" s="48" t="str">
        <x:v>Loot_mult</x:v>
      </x:c>
      <x:c r="O1" s="48" t="str">
        <x:v>RD_tranchant</x:v>
      </x:c>
      <x:c r="P1" s="48" t="str">
        <x:v>RD_contondant</x:v>
      </x:c>
      <x:c r="Q1" s="48" t="str">
        <x:v>RD_percant</x:v>
      </x:c>
      <x:c r="R1" s="48" t="str">
        <x:v>RD_feu</x:v>
      </x:c>
      <x:c r="S1" s="48" t="str">
        <x:v>RD_froid</x:v>
      </x:c>
      <x:c r="T1" s="48" t="str">
        <x:v>RD_electrique</x:v>
      </x:c>
      <x:c r="U1" s="48" t="str">
        <x:v>RD_acide</x:v>
      </x:c>
      <x:c r="V1" s="48" t="str">
        <x:v>RD_sonique</x:v>
      </x:c>
      <x:c r="W1" s="48" t="str">
        <x:v>RD_maladie</x:v>
      </x:c>
      <x:c r="X1" s="48" t="str">
        <x:v>RD_poison</x:v>
      </x:c>
      <x:c r="Y1" s="48" t="str">
        <x:v>RD_magique</x:v>
      </x:c>
      <x:c r="Z1" s="48" t="str">
        <x:v>Imm_tranchant</x:v>
      </x:c>
      <x:c r="AA1" s="48" t="str">
        <x:v>Imm_contondant</x:v>
      </x:c>
      <x:c r="AB1" s="48" t="str">
        <x:v>Imm_percant</x:v>
      </x:c>
      <x:c r="AC1" s="48" t="str">
        <x:v>Imm_feu</x:v>
      </x:c>
      <x:c r="AD1" s="48" t="str">
        <x:v>Imm_froid</x:v>
      </x:c>
      <x:c r="AE1" s="48" t="str">
        <x:v>Imm_electrique</x:v>
      </x:c>
      <x:c r="AF1" s="48" t="str">
        <x:v>Imm_acide</x:v>
      </x:c>
      <x:c r="AG1" s="48" t="str">
        <x:v>Imm_sonique</x:v>
      </x:c>
      <x:c r="AH1" s="48" t="str">
        <x:v>Imm_maladie</x:v>
      </x:c>
      <x:c r="AI1" s="48" t="str">
        <x:v>Imm_poison</x:v>
      </x:c>
      <x:c r="AJ1" s="48" t="str">
        <x:v>Imm_magique</x:v>
      </x:c>
      <x:c r="AK1" s="48" t="str">
        <x:v>Ressources</x:v>
      </x:c>
      <x:c r="AL1" s="48" t="str">
        <x:v>Description_RP</x:v>
      </x:c>
      <x:c r="AM1" s="48" t="str">
        <x:v>Score_Puissance</x:v>
      </x:c>
      <x:c r="AN1" s="48" t="str">
        <x:v>Categorie_Puissance</x:v>
      </x:c>
      <x:c r="AO1" s="48" t="str">
        <x:v>Usage_recommande</x:v>
      </x:c>
      <x:c r="AP1" s="48" t="str">
        <x:v>Niveau</x:v>
      </x:c>
      <x:c r="AQ1" s="48" t="str">
        <x:v>Famille_parent</x:v>
      </x:c>
      <x:c r="AR1" s="48" t="str">
        <x:v>Sous_famille</x:v>
      </x:c>
      <x:c r="AS1" s="48" t="str">
        <x:v>Pourquoi_sous_famille</x:v>
      </x:c>
      <x:c r="AT1" s="48" t="str">
        <x:v>Aff_feu</x:v>
      </x:c>
      <x:c r="AU1" s="48" t="str">
        <x:v>Aff_air</x:v>
      </x:c>
      <x:c r="AV1" s="48" t="str">
        <x:v>Aff_eau</x:v>
      </x:c>
      <x:c r="AW1" s="48" t="str">
        <x:v>Aff_terre</x:v>
      </x:c>
      <x:c r="AX1" s="48" t="str">
        <x:v>Aff_ombre</x:v>
      </x:c>
      <x:c r="AY1" s="48" t="str">
        <x:v>Aff_lumiere</x:v>
      </x:c>
      <x:c r="AZ1" s="48" t="str">
        <x:v>Aff_force</x:v>
      </x:c>
      <x:c r="BA1" s="48" t="str">
        <x:v>Aff_legacy_nature</x:v>
      </x:c>
      <x:c r="BB1" s="48" t="str">
        <x:v>Predicats_domaines</x:v>
      </x:c>
      <x:c r="BC1" s="1" t="str">
        <x:v>Res_phys_tranchant</x:v>
      </x:c>
      <x:c r="BD1" s="1" t="str">
        <x:v>Res_phys_percant</x:v>
      </x:c>
      <x:c r="BE1" s="1" t="str">
        <x:v>Res_phys_contondant</x:v>
      </x:c>
      <x:c r="BF1" s="1" t="str">
        <x:v>Res_nonMagique</x:v>
      </x:c>
      <x:c r="BG1" s="1" t="str">
        <x:v>Logique_RP_affinites</x:v>
      </x:c>
      <x:c r="BH1" s="1" t="str">
        <x:v>Predicats_complets</x:v>
      </x:c>
    </x:row>
    <x:row r="2" ht="14.25" customHeight="1">
      <x:c r="A2" s="23" t="str">
        <x:v>Humanoïde</x:v>
      </x:c>
      <x:c r="B2" s="66" t="n">
        <x:v>1001</x:v>
      </x:c>
      <x:c r="C2" s="23" t="str">
        <x:v>humanoid</x:v>
      </x:c>
      <x:c r="D2" s="23" t="str">
        <x:v>Humanoïde</x:v>
      </x:c>
      <x:c r="E2" s="66" t="n">
        <x:v>0</x:v>
      </x:c>
      <x:c r="F2" s="66" t="n">
        <x:v>0</x:v>
      </x:c>
      <x:c r="G2" s="66" t="n">
        <x:v>0</x:v>
      </x:c>
      <x:c r="H2" s="66" t="n">
        <x:v>0</x:v>
      </x:c>
      <x:c r="I2" s="66" t="n">
        <x:v>0</x:v>
      </x:c>
      <x:c r="J2" s="66" t="n">
        <x:v>0</x:v>
      </x:c>
      <x:c r="K2" s="66" t="n">
        <x:v>0</x:v>
      </x:c>
      <x:c r="L2" s="66" t="n">
        <x:v>1</x:v>
      </x:c>
      <x:c r="M2" s="66" t="n">
        <x:v>0</x:v>
      </x:c>
      <x:c r="N2" s="68" t="n">
        <x:v>1</x:v>
      </x:c>
      <x:c r="O2" s="66" t="n">
        <x:v>0</x:v>
      </x:c>
      <x:c r="P2" s="66" t="n">
        <x:v>0</x:v>
      </x:c>
      <x:c r="Q2" s="66" t="n">
        <x:v>0</x:v>
      </x:c>
      <x:c r="R2" s="66" t="n">
        <x:v>0</x:v>
      </x:c>
      <x:c r="S2" s="66" t="n">
        <x:v>0</x:v>
      </x:c>
      <x:c r="T2" s="66" t="n">
        <x:v>0</x:v>
      </x:c>
      <x:c r="U2" s="66" t="n">
        <x:v>0</x:v>
      </x:c>
      <x:c r="V2" s="66" t="n">
        <x:v>0</x:v>
      </x:c>
      <x:c r="W2" s="66" t="n">
        <x:v>0</x:v>
      </x:c>
      <x:c r="X2" s="66" t="n">
        <x:v>0</x:v>
      </x:c>
      <x:c r="Y2" s="66" t="n">
        <x:v>0</x:v>
      </x:c>
      <x:c r="Z2" s="23"/>
      <x:c r="AA2" s="23"/>
      <x:c r="AB2" s="23"/>
      <x:c r="AC2" s="23"/>
      <x:c r="AD2" s="23"/>
      <x:c r="AE2" s="23"/>
      <x:c r="AF2" s="23"/>
      <x:c r="AG2" s="23"/>
      <x:c r="AH2" s="23"/>
      <x:c r="AI2" s="23"/>
      <x:c r="AJ2" s="23"/>
      <x:c r="AK2" s="23" t="str">
        <x:v>monnaie, équipement usé, armes simples, outils ou objets personnels</x:v>
      </x:c>
      <x:c r="AL2" s="23" t="str">
        <x:v>La créature possède des biens transportables ou récupérables : monnaie, équipement, armes simples, outils ou effets personnels.</x:v>
      </x:c>
      <x:c r="AM2" s="66" t="n">
        <x:v>0</x:v>
      </x:c>
      <x:c r="AN2" s="23" t="str">
        <x:v>Commun</x:v>
      </x:c>
      <x:c r="AO2" s="23" t="str">
        <x:v>Usage standard</x:v>
      </x:c>
      <x:c r="AP2" s="23" t="str">
        <x:v>Famille</x:v>
      </x:c>
      <x:c r="AQ2" s="23" t="str">
        <x:v>Humanoïde</x:v>
      </x:c>
      <x:c r="AR2" s="23"/>
      <x:c r="AS2" s="23" t="str">
        <x:v>Famille principale du bestiaire.</x:v>
      </x:c>
      <x:c r="AT2" s="69" t="str">
        <x:v>Neutre</x:v>
      </x:c>
      <x:c r="AU2" s="69" t="str">
        <x:v>Neutre</x:v>
      </x:c>
      <x:c r="AV2" s="69" t="str">
        <x:v>Neutre</x:v>
      </x:c>
      <x:c r="AW2" s="69" t="str">
        <x:v>Neutre</x:v>
      </x:c>
      <x:c r="AX2" s="69" t="str">
        <x:v>Neutre</x:v>
      </x:c>
      <x:c r="AY2" s="69" t="str">
        <x:v>Neutre</x:v>
      </x:c>
      <x:c r="AZ2" s="69" t="str">
        <x:v>Neutre</x:v>
      </x:c>
      <x:c r="BA2" s="69" t="str">
        <x:v>Neutre</x:v>
      </x:c>
      <x:c r="BB2" s="23">
        <x:f t="shared" ref="BB2:BB73" si="1">TRIM(IF(AT2="Résistant","resistanceA_feu ","")&amp;IF(AT2="Vulnérable","vulnerableA_feu ","")&amp;IF(AU2="Résistant","resistanceA_air ","")&amp;IF(AU2="Vulnérable","vulnerableA_air ","")&amp;IF(AV2="Résistant","resistanceA_eau ","")&amp;IF(AV2="Vulnérable","vulnerableA_eau ","")&amp;IF(AW2="Résistant","resistanceA_terre ","")&amp;IF(AW2="Vulnérable","vulnerableA_terre ","")&amp;IF(AX2="Résistant","resistanceA_nature ","")&amp;IF(AX2="Vulnérable","vulnerableA_nature ","")&amp;IF(AY2="Résistant","resistanceA_necrotique ","")&amp;IF(AY2="Vulnérable","vulnerableA_necrotique ","")&amp;IF(AZ2="Résistant","resistanceA_radiant ","")&amp;IF(AZ2="Vulnérable","vulnerableA_radiant ","")&amp;IF(BA2="Résistant","resistanceA_arcane ","")&amp;IF(BA2="Vulnérable","vulnerableA_arcane ",""))</x:f>
      </x:c>
      <x:c r="BC2" s="75" t="str">
        <x:v>Non</x:v>
      </x:c>
      <x:c r="BD2" s="75" t="str">
        <x:v>Non</x:v>
      </x:c>
      <x:c r="BE2" s="75" t="str">
        <x:v>Non</x:v>
      </x:c>
      <x:c r="BF2" s="75" t="str">
        <x:v>Non</x:v>
      </x:c>
      <x:c r="BG2" s="23" t="str">
        <x:v>Créature de chair et de sang : sa défense vient surtout de l'équipement et de l'entraînement, pas d'une résistance innée. Aucune résistance innée supplémentaire : son identité vient surtout de ses statistiques et capacités.</x:v>
      </x:c>
      <x:c r="BH2" s="23">
        <x:f t="shared" ref="BH2:BH73" si="2">TRIM(BB2&amp;" "&amp;IF(BC2="Oui","resistanceA_tranchant ","")&amp;IF(BD2="Oui","resistanceA_percant ","")&amp;IF(BE2="Oui","resistanceA_contondant ","")&amp;IF(BF2="Oui","resistanceA_nonMagique ",""))</x:f>
      </x:c>
    </x:row>
    <x:row r="3" ht="14.25" customHeight="1">
      <x:c r="A3" s="23" t="str">
        <x:v>Mort-vivant</x:v>
      </x:c>
      <x:c r="B3" s="66" t="n">
        <x:v>1003</x:v>
      </x:c>
      <x:c r="C3" s="23" t="str">
        <x:v>undead</x:v>
      </x:c>
      <x:c r="D3" s="23" t="str">
        <x:v>Mort-vivant</x:v>
      </x:c>
      <x:c r="E3" s="66" t="n">
        <x:v>0</x:v>
      </x:c>
      <x:c r="F3" s="66" t="n">
        <x:v>-1</x:v>
      </x:c>
      <x:c r="G3" s="66" t="n">
        <x:v>1</x:v>
      </x:c>
      <x:c r="H3" s="66" t="n">
        <x:v>0</x:v>
      </x:c>
      <x:c r="I3" s="66" t="n">
        <x:v>0</x:v>
      </x:c>
      <x:c r="J3" s="66" t="n">
        <x:v>-1</x:v>
      </x:c>
      <x:c r="K3" s="66" t="n">
        <x:v>0</x:v>
      </x:c>
      <x:c r="L3" s="66" t="n">
        <x:v>1.2</x:v>
      </x:c>
      <x:c r="M3" s="66" t="n">
        <x:v>-1</x:v>
      </x:c>
      <x:c r="N3" s="68" t="n">
        <x:v>1</x:v>
      </x:c>
      <x:c r="O3" s="66" t="n">
        <x:v>1</x:v>
      </x:c>
      <x:c r="P3" s="66" t="n">
        <x:v>0</x:v>
      </x:c>
      <x:c r="Q3" s="66" t="n">
        <x:v>1</x:v>
      </x:c>
      <x:c r="R3" s="66" t="n">
        <x:v>0</x:v>
      </x:c>
      <x:c r="S3" s="66" t="n">
        <x:v>0</x:v>
      </x:c>
      <x:c r="T3" s="66" t="n">
        <x:v>0</x:v>
      </x:c>
      <x:c r="U3" s="66" t="n">
        <x:v>0</x:v>
      </x:c>
      <x:c r="V3" s="66" t="n">
        <x:v>0</x:v>
      </x:c>
      <x:c r="W3" s="66" t="n">
        <x:v>0</x:v>
      </x:c>
      <x:c r="X3" s="66" t="n">
        <x:v>0</x:v>
      </x:c>
      <x:c r="Y3" s="66" t="n">
        <x:v>0</x:v>
      </x:c>
      <x:c r="Z3" s="23"/>
      <x:c r="AA3" s="23"/>
      <x:c r="AB3" s="23"/>
      <x:c r="AC3" s="23"/>
      <x:c r="AD3" s="23"/>
      <x:c r="AE3" s="23"/>
      <x:c r="AF3" s="23"/>
      <x:c r="AG3" s="23"/>
      <x:c r="AH3" s="23" t="str">
        <x:v>Oui</x:v>
      </x:c>
      <x:c r="AI3" s="23" t="str">
        <x:v>Oui</x:v>
      </x:c>
      <x:c r="AJ3" s="23"/>
      <x:c r="AK3" s="23" t="str">
        <x:v>ossements, bijoux ternis, poussière funéraire, reliques abîmées ou traces nécrotiques</x:v>
      </x:c>
      <x:c r="AL3" s="23" t="str">
        <x:v>Les restes conservent des traces de leur ancienne existence : ossements, bijoux ternis, équipement abîmé ou énergie nécrotique.</x:v>
      </x:c>
      <x:c r="AM3" s="66" t="n">
        <x:v>2.75</x:v>
      </x:c>
      <x:c r="AN3" s="23" t="str">
        <x:v>Commun</x:v>
      </x:c>
      <x:c r="AO3" s="23" t="str">
        <x:v>Usage standard</x:v>
      </x:c>
      <x:c r="AP3" s="23" t="str">
        <x:v>Famille</x:v>
      </x:c>
      <x:c r="AQ3" s="23" t="str">
        <x:v>Mort-vivant</x:v>
      </x:c>
      <x:c r="AR3" s="23"/>
      <x:c r="AS3" s="23" t="str">
        <x:v>Famille principale du bestiaire.</x:v>
      </x:c>
      <x:c r="AT3" s="69" t="str">
        <x:v>Neutre</x:v>
      </x:c>
      <x:c r="AU3" s="69" t="str">
        <x:v>Neutre</x:v>
      </x:c>
      <x:c r="AV3" s="69" t="str">
        <x:v>Neutre</x:v>
      </x:c>
      <x:c r="AW3" s="69" t="str">
        <x:v>Neutre</x:v>
      </x:c>
      <x:c r="AX3" s="69" t="str">
        <x:v>Résistant</x:v>
      </x:c>
      <x:c r="AY3" s="69" t="str">
        <x:v>Vulnérable</x:v>
      </x:c>
      <x:c r="AZ3" s="69" t="str">
        <x:v>Neutre</x:v>
      </x:c>
      <x:c r="BA3" s="69" t="str">
        <x:v>Résistant</x:v>
      </x:c>
      <x:c r="BB3" s="23" t="str">
        <x:f t="shared" si="1"/>
        <x:v>resistanceA_ombre vulnerableA_lumiere</x:v>
      </x:c>
      <x:c r="BC3" s="75" t="str">
        <x:v>Non</x:v>
      </x:c>
      <x:c r="BD3" s="75" t="str">
        <x:v>Non</x:v>
      </x:c>
      <x:c r="BE3" s="75" t="str">
        <x:v>Non</x:v>
      </x:c>
      <x:c r="BF3" s="75" t="str">
        <x:v>Non</x:v>
      </x:c>
      <x:c r="BG3" s="23" t="str">
        <x:v>Un corps déjà mort ignore mieux ce qui attaque la vie ou la chair, mais la Lumière perturbe la force qui l'anime. Résiste à Ombre par affinité ou constitution. Vulnérable à Lumière, qui perturbe directement sa nature.</x:v>
      </x:c>
      <x:c r="BH3" s="23" t="str">
        <x:f t="shared" si="2"/>
        <x:v>resistanceA_ombre vulnerableA_lumiere</x:v>
      </x:c>
    </x:row>
    <x:row r="4" ht="14.25" customHeight="1">
      <x:c r="A4" s="23" t="str">
        <x:v>Bête</x:v>
      </x:c>
      <x:c r="B4" s="66" t="n">
        <x:v>1002</x:v>
      </x:c>
      <x:c r="C4" s="23" t="str">
        <x:v>beast</x:v>
      </x:c>
      <x:c r="D4" s="23" t="str">
        <x:v>Bête</x:v>
      </x:c>
      <x:c r="E4" s="66" t="n">
        <x:v>1</x:v>
      </x:c>
      <x:c r="F4" s="66" t="n">
        <x:v>1</x:v>
      </x:c>
      <x:c r="G4" s="66" t="n">
        <x:v>0</x:v>
      </x:c>
      <x:c r="H4" s="66" t="n">
        <x:v>-2</x:v>
      </x:c>
      <x:c r="I4" s="66" t="n">
        <x:v>1</x:v>
      </x:c>
      <x:c r="J4" s="66" t="n">
        <x:v>0</x:v>
      </x:c>
      <x:c r="K4" s="66" t="n">
        <x:v>0</x:v>
      </x:c>
      <x:c r="L4" s="66" t="n">
        <x:v>1</x:v>
      </x:c>
      <x:c r="M4" s="66" t="n">
        <x:v>1</x:v>
      </x:c>
      <x:c r="N4" s="68" t="n">
        <x:v>0.75</x:v>
      </x:c>
      <x:c r="O4" s="66" t="n">
        <x:v>0</x:v>
      </x:c>
      <x:c r="P4" s="66" t="n">
        <x:v>0</x:v>
      </x:c>
      <x:c r="Q4" s="66" t="n">
        <x:v>0</x:v>
      </x:c>
      <x:c r="R4" s="66" t="n">
        <x:v>0</x:v>
      </x:c>
      <x:c r="S4" s="66" t="n">
        <x:v>0</x:v>
      </x:c>
      <x:c r="T4" s="66" t="n">
        <x:v>0</x:v>
      </x:c>
      <x:c r="U4" s="66" t="n">
        <x:v>0</x:v>
      </x:c>
      <x:c r="V4" s="66" t="n">
        <x:v>0</x:v>
      </x:c>
      <x:c r="W4" s="66" t="n">
        <x:v>0</x:v>
      </x:c>
      <x:c r="X4" s="66" t="n">
        <x:v>0</x:v>
      </x:c>
      <x:c r="Y4" s="66" t="n">
        <x:v>0</x:v>
      </x:c>
      <x:c r="Z4" s="23"/>
      <x:c r="AA4" s="23"/>
      <x:c r="AB4" s="23"/>
      <x:c r="AC4" s="23"/>
      <x:c r="AD4" s="23"/>
      <x:c r="AE4" s="23"/>
      <x:c r="AF4" s="23"/>
      <x:c r="AG4" s="23"/>
      <x:c r="AH4" s="23"/>
      <x:c r="AI4" s="23"/>
      <x:c r="AJ4" s="23"/>
      <x:c r="AK4" s="23" t="str">
        <x:v>peaux, crocs, griffes, os, graisses ou fourrures exploitables</x:v>
      </x:c>
      <x:c r="AL4" s="23" t="str">
        <x:v>Les personnages peuvent dépecer la créature pour récupérer des peaux, crocs, griffes, os ou graisses exploitables.</x:v>
      </x:c>
      <x:c r="AM4" s="66" t="n">
        <x:v>3.5</x:v>
      </x:c>
      <x:c r="AN4" s="23" t="str">
        <x:v>Commun</x:v>
      </x:c>
      <x:c r="AO4" s="23" t="str">
        <x:v>Usage standard</x:v>
      </x:c>
      <x:c r="AP4" s="23" t="str">
        <x:v>Famille</x:v>
      </x:c>
      <x:c r="AQ4" s="23" t="str">
        <x:v>Bête</x:v>
      </x:c>
      <x:c r="AR4" s="23"/>
      <x:c r="AS4" s="23" t="str">
        <x:v>Famille principale du bestiaire.</x:v>
      </x:c>
      <x:c r="AT4" s="69" t="str">
        <x:v>Neutre</x:v>
      </x:c>
      <x:c r="AU4" s="69" t="str">
        <x:v>Neutre</x:v>
      </x:c>
      <x:c r="AV4" s="69" t="str">
        <x:v>Neutre</x:v>
      </x:c>
      <x:c r="AW4" s="69" t="str">
        <x:v>Neutre</x:v>
      </x:c>
      <x:c r="AX4" s="69" t="str">
        <x:v>Neutre</x:v>
      </x:c>
      <x:c r="AY4" s="69" t="str">
        <x:v>Neutre</x:v>
      </x:c>
      <x:c r="AZ4" s="69" t="str">
        <x:v>Neutre</x:v>
      </x:c>
      <x:c r="BA4" s="69" t="str">
        <x:v>Neutre</x:v>
      </x:c>
      <x:c r="BB4" s="23">
        <x:f t="shared" si="1"/>
      </x:c>
      <x:c r="BC4" s="75" t="str">
        <x:v>Non</x:v>
      </x:c>
      <x:c r="BD4" s="75" t="str">
        <x:v>Non</x:v>
      </x:c>
      <x:c r="BE4" s="75" t="str">
        <x:v>Non</x:v>
      </x:c>
      <x:c r="BF4" s="75" t="str">
        <x:v>Non</x:v>
      </x:c>
      <x:c r="BG4" s="23" t="str">
        <x:v>Animal naturel : peau, fourrure et instinct protègent sans créer de résistance surnaturelle systématique. Aucune résistance innée supplémentaire : son identité vient surtout de ses statistiques et capacités.</x:v>
      </x:c>
      <x:c r="BH4" s="23">
        <x:f t="shared" si="2"/>
      </x:c>
    </x:row>
    <x:row r="5" ht="14.25" customHeight="1">
      <x:c r="A5" s="23" t="str">
        <x:v>Vermine</x:v>
      </x:c>
      <x:c r="B5" s="66" t="n">
        <x:v>1015</x:v>
      </x:c>
      <x:c r="C5" s="23" t="str">
        <x:v>vermin</x:v>
      </x:c>
      <x:c r="D5" s="23" t="str">
        <x:v>Vermine</x:v>
      </x:c>
      <x:c r="E5" s="66" t="n">
        <x:v>0</x:v>
      </x:c>
      <x:c r="F5" s="66" t="n">
        <x:v>1</x:v>
      </x:c>
      <x:c r="G5" s="66" t="n">
        <x:v>1</x:v>
      </x:c>
      <x:c r="H5" s="66" t="n">
        <x:v>-3</x:v>
      </x:c>
      <x:c r="I5" s="66" t="n">
        <x:v>0</x:v>
      </x:c>
      <x:c r="J5" s="66" t="n">
        <x:v>-2</x:v>
      </x:c>
      <x:c r="K5" s="66" t="n">
        <x:v>1</x:v>
      </x:c>
      <x:c r="L5" s="66" t="n">
        <x:v>1</x:v>
      </x:c>
      <x:c r="M5" s="66" t="n">
        <x:v>0</x:v>
      </x:c>
      <x:c r="N5" s="68" t="n">
        <x:v>0.5</x:v>
      </x:c>
      <x:c r="O5" s="66" t="n">
        <x:v>0</x:v>
      </x:c>
      <x:c r="P5" s="66" t="n">
        <x:v>1</x:v>
      </x:c>
      <x:c r="Q5" s="66" t="n">
        <x:v>0</x:v>
      </x:c>
      <x:c r="R5" s="66" t="n">
        <x:v>0</x:v>
      </x:c>
      <x:c r="S5" s="66" t="n">
        <x:v>0</x:v>
      </x:c>
      <x:c r="T5" s="66" t="n">
        <x:v>0</x:v>
      </x:c>
      <x:c r="U5" s="66" t="n">
        <x:v>0</x:v>
      </x:c>
      <x:c r="V5" s="66" t="n">
        <x:v>0</x:v>
      </x:c>
      <x:c r="W5" s="66" t="n">
        <x:v>0</x:v>
      </x:c>
      <x:c r="X5" s="66" t="n">
        <x:v>1</x:v>
      </x:c>
      <x:c r="Y5" s="66" t="n">
        <x:v>0</x:v>
      </x:c>
      <x:c r="Z5" s="23"/>
      <x:c r="AA5" s="23"/>
      <x:c r="AB5" s="23"/>
      <x:c r="AC5" s="23"/>
      <x:c r="AD5" s="23"/>
      <x:c r="AE5" s="23"/>
      <x:c r="AF5" s="23"/>
      <x:c r="AG5" s="23"/>
      <x:c r="AH5" s="23"/>
      <x:c r="AI5" s="23"/>
      <x:c r="AJ5" s="23"/>
      <x:c r="AK5" s="23" t="str">
        <x:v>chitine, mandibules, venin faible, glandes ou carapace exploitable</x:v>
      </x:c>
      <x:c r="AL5" s="23" t="str">
        <x:v>La créature laisse peu de richesse directe, mais sa chitine, ses mandibules, ses glandes ou son venin peuvent être récupérés.</x:v>
      </x:c>
      <x:c r="AM5" s="66" t="n">
        <x:v>4.5</x:v>
      </x:c>
      <x:c r="AN5" s="23" t="str">
        <x:v>Renforcé</x:v>
      </x:c>
      <x:c r="AO5" s="23" t="str">
        <x:v>Usage fréquent</x:v>
      </x:c>
      <x:c r="AP5" s="23" t="str">
        <x:v>Famille</x:v>
      </x:c>
      <x:c r="AQ5" s="23" t="str">
        <x:v>Vermine</x:v>
      </x:c>
      <x:c r="AR5" s="23"/>
      <x:c r="AS5" s="23" t="str">
        <x:v>Famille principale du bestiaire.</x:v>
      </x:c>
      <x:c r="AT5" s="69" t="str">
        <x:v>Vulnérable</x:v>
      </x:c>
      <x:c r="AU5" s="69" t="str">
        <x:v>Neutre</x:v>
      </x:c>
      <x:c r="AV5" s="69" t="str">
        <x:v>Neutre</x:v>
      </x:c>
      <x:c r="AW5" s="69" t="str">
        <x:v>Neutre</x:v>
      </x:c>
      <x:c r="AX5" s="69" t="str">
        <x:v>Neutre</x:v>
      </x:c>
      <x:c r="AY5" s="69" t="str">
        <x:v>Neutre</x:v>
      </x:c>
      <x:c r="AZ5" s="69" t="str">
        <x:v>Neutre</x:v>
      </x:c>
      <x:c r="BA5" s="69" t="str">
        <x:v>Résistant</x:v>
      </x:c>
      <x:c r="BB5" s="23" t="str">
        <x:f t="shared" si="1"/>
        <x:v>vulnerableA_feu</x:v>
      </x:c>
      <x:c r="BC5" s="75" t="str">
        <x:v>Non</x:v>
      </x:c>
      <x:c r="BD5" s="75" t="str">
        <x:v>Non</x:v>
      </x:c>
      <x:c r="BE5" s="75" t="str">
        <x:v>Non</x:v>
      </x:c>
      <x:c r="BF5" s="75" t="str">
        <x:v>Non</x:v>
      </x:c>
      <x:c r="BG5" s="23" t="str">
        <x:v>Organisme primitif et tenace, souvent protégé par une carapace ou une biologie robuste, mais sensible au feu. Vulnérable à Feu, qui perturbe directement sa nature.</x:v>
      </x:c>
      <x:c r="BH5" s="23" t="str">
        <x:f t="shared" si="2"/>
        <x:v>vulnerableA_feu</x:v>
      </x:c>
    </x:row>
    <x:row r="6" ht="14.25" customHeight="1">
      <x:c r="A6" s="23" t="str">
        <x:v>Aquatique</x:v>
      </x:c>
      <x:c r="B6" s="66" t="n">
        <x:v>1016</x:v>
      </x:c>
      <x:c r="C6" s="23" t="str">
        <x:v>aquatic</x:v>
      </x:c>
      <x:c r="D6" s="23" t="str">
        <x:v>Aquatique</x:v>
      </x:c>
      <x:c r="E6" s="66" t="n">
        <x:v>1</x:v>
      </x:c>
      <x:c r="F6" s="66" t="n">
        <x:v>1</x:v>
      </x:c>
      <x:c r="G6" s="66" t="n">
        <x:v>1</x:v>
      </x:c>
      <x:c r="H6" s="66" t="n">
        <x:v>-1</x:v>
      </x:c>
      <x:c r="I6" s="66" t="n">
        <x:v>1</x:v>
      </x:c>
      <x:c r="J6" s="66" t="n">
        <x:v>0</x:v>
      </x:c>
      <x:c r="K6" s="66" t="n">
        <x:v>0</x:v>
      </x:c>
      <x:c r="L6" s="66" t="n">
        <x:v>1.1</x:v>
      </x:c>
      <x:c r="M6" s="66" t="n">
        <x:v>1</x:v>
      </x:c>
      <x:c r="N6" s="68" t="n">
        <x:v>0.8</x:v>
      </x:c>
      <x:c r="O6" s="66" t="n">
        <x:v>0</x:v>
      </x:c>
      <x:c r="P6" s="66" t="n">
        <x:v>0</x:v>
      </x:c>
      <x:c r="Q6" s="66" t="n">
        <x:v>0</x:v>
      </x:c>
      <x:c r="R6" s="66" t="n">
        <x:v>0</x:v>
      </x:c>
      <x:c r="S6" s="66" t="n">
        <x:v>0</x:v>
      </x:c>
      <x:c r="T6" s="66" t="n">
        <x:v>0</x:v>
      </x:c>
      <x:c r="U6" s="66" t="n">
        <x:v>0</x:v>
      </x:c>
      <x:c r="V6" s="66" t="n">
        <x:v>0</x:v>
      </x:c>
      <x:c r="W6" s="66" t="n">
        <x:v>0</x:v>
      </x:c>
      <x:c r="X6" s="66" t="n">
        <x:v>0</x:v>
      </x:c>
      <x:c r="Y6" s="66" t="n">
        <x:v>0</x:v>
      </x:c>
      <x:c r="Z6" s="23"/>
      <x:c r="AA6" s="23"/>
      <x:c r="AB6" s="23"/>
      <x:c r="AC6" s="23"/>
      <x:c r="AD6" s="23"/>
      <x:c r="AE6" s="23"/>
      <x:c r="AF6" s="23"/>
      <x:c r="AG6" s="23"/>
      <x:c r="AH6" s="23"/>
      <x:c r="AI6" s="23"/>
      <x:c r="AJ6" s="23"/>
      <x:c r="AK6" s="23" t="str">
        <x:v>écailles humides, dents, nageoires, perles, algues rares ou organes marins</x:v>
      </x:c>
      <x:c r="AL6" s="23" t="str">
        <x:v>La créature fournit des ressources liées aux eaux : écailles, dents, membranes, perles ou matières alchimiques marines.</x:v>
      </x:c>
      <x:c r="AM6" s="66" t="n">
        <x:v>5.25</x:v>
      </x:c>
      <x:c r="AN6" s="23" t="str">
        <x:v>Renforcé</x:v>
      </x:c>
      <x:c r="AO6" s="23" t="str">
        <x:v>Usage fréquent</x:v>
      </x:c>
      <x:c r="AP6" s="23" t="str">
        <x:v>Famille</x:v>
      </x:c>
      <x:c r="AQ6" s="23" t="str">
        <x:v>Aquatique</x:v>
      </x:c>
      <x:c r="AR6" s="23"/>
      <x:c r="AS6" s="23" t="str">
        <x:v>Famille principale du bestiaire.</x:v>
      </x:c>
      <x:c r="AT6" s="69" t="str">
        <x:v>Vulnérable</x:v>
      </x:c>
      <x:c r="AU6" s="69" t="str">
        <x:v>Neutre</x:v>
      </x:c>
      <x:c r="AV6" s="69" t="str">
        <x:v>Résistant</x:v>
      </x:c>
      <x:c r="AW6" s="69" t="str">
        <x:v>Neutre</x:v>
      </x:c>
      <x:c r="AX6" s="69" t="str">
        <x:v>Neutre</x:v>
      </x:c>
      <x:c r="AY6" s="69" t="str">
        <x:v>Neutre</x:v>
      </x:c>
      <x:c r="AZ6" s="69" t="str">
        <x:v>Neutre</x:v>
      </x:c>
      <x:c r="BA6" s="69" t="str">
        <x:v>Neutre</x:v>
      </x:c>
      <x:c r="BB6" s="23" t="str">
        <x:f t="shared" si="1"/>
        <x:v>vulnerableA_feu resistanceA_eau</x:v>
      </x:c>
      <x:c r="BC6" s="75" t="str">
        <x:v>Non</x:v>
      </x:c>
      <x:c r="BD6" s="75" t="str">
        <x:v>Non</x:v>
      </x:c>
      <x:c r="BE6" s="75" t="str">
        <x:v>Non</x:v>
      </x:c>
      <x:c r="BF6" s="75" t="str">
        <x:v>Non</x:v>
      </x:c>
      <x:c r="BG6" s="23" t="str">
        <x:v>Adaptée à l'eau et aux milieux humides, sa physiologie supporte mieux ce domaine mais souffre davantage de la chaleur. Résiste à Eau par affinité ou constitution. Vulnérable à Feu, qui perturbe directement sa nature.</x:v>
      </x:c>
      <x:c r="BH6" s="23" t="str">
        <x:f t="shared" si="2"/>
        <x:v>vulnerableA_feu resistanceA_eau</x:v>
      </x:c>
    </x:row>
    <x:row r="7" ht="14.25" customHeight="1">
      <x:c r="A7" s="23" t="str">
        <x:v>Aberration</x:v>
      </x:c>
      <x:c r="B7" s="66" t="n">
        <x:v>1007</x:v>
      </x:c>
      <x:c r="C7" s="23" t="str">
        <x:v>aberration</x:v>
      </x:c>
      <x:c r="D7" s="23" t="str">
        <x:v>Aberration</x:v>
      </x:c>
      <x:c r="E7" s="66" t="n">
        <x:v>0</x:v>
      </x:c>
      <x:c r="F7" s="66" t="n">
        <x:v>0</x:v>
      </x:c>
      <x:c r="G7" s="66" t="n">
        <x:v>0</x:v>
      </x:c>
      <x:c r="H7" s="66" t="n">
        <x:v>1</x:v>
      </x:c>
      <x:c r="I7" s="66" t="n">
        <x:v>1</x:v>
      </x:c>
      <x:c r="J7" s="66" t="n">
        <x:v>1</x:v>
      </x:c>
      <x:c r="K7" s="66" t="n">
        <x:v>0</x:v>
      </x:c>
      <x:c r="L7" s="66" t="n">
        <x:v>1</x:v>
      </x:c>
      <x:c r="M7" s="66" t="n">
        <x:v>0</x:v>
      </x:c>
      <x:c r="N7" s="68" t="n">
        <x:v>1.25</x:v>
      </x:c>
      <x:c r="O7" s="66" t="n">
        <x:v>0</x:v>
      </x:c>
      <x:c r="P7" s="66" t="n">
        <x:v>0</x:v>
      </x:c>
      <x:c r="Q7" s="66" t="n">
        <x:v>0</x:v>
      </x:c>
      <x:c r="R7" s="66" t="n">
        <x:v>0</x:v>
      </x:c>
      <x:c r="S7" s="66" t="n">
        <x:v>0</x:v>
      </x:c>
      <x:c r="T7" s="66" t="n">
        <x:v>0</x:v>
      </x:c>
      <x:c r="U7" s="66" t="n">
        <x:v>0</x:v>
      </x:c>
      <x:c r="V7" s="66" t="n">
        <x:v>1</x:v>
      </x:c>
      <x:c r="W7" s="66" t="n">
        <x:v>0</x:v>
      </x:c>
      <x:c r="X7" s="66" t="n">
        <x:v>0</x:v>
      </x:c>
      <x:c r="Y7" s="66" t="n">
        <x:v>1</x:v>
      </x:c>
      <x:c r="Z7" s="23"/>
      <x:c r="AA7" s="23"/>
      <x:c r="AB7" s="23"/>
      <x:c r="AC7" s="23"/>
      <x:c r="AD7" s="23"/>
      <x:c r="AE7" s="23"/>
      <x:c r="AF7" s="23"/>
      <x:c r="AG7" s="23"/>
      <x:c r="AH7" s="23"/>
      <x:c r="AI7" s="23"/>
      <x:c r="AJ7" s="23"/>
      <x:c r="AK7" s="23" t="str">
        <x:v>glandes étranges, mucus, yeux déformés, chair instable ou organes inconnus</x:v>
      </x:c>
      <x:c r="AL7" s="23" t="str">
        <x:v>Les restes sont instables et répugnants, mais potentiellement précieux pour des érudits, alchimistes ou mages curieux.</x:v>
      </x:c>
      <x:c r="AM7" s="66" t="n">
        <x:v>5.5</x:v>
      </x:c>
      <x:c r="AN7" s="23" t="str">
        <x:v>Renforcé</x:v>
      </x:c>
      <x:c r="AO7" s="23" t="str">
        <x:v>Usage fréquent</x:v>
      </x:c>
      <x:c r="AP7" s="23" t="str">
        <x:v>Famille</x:v>
      </x:c>
      <x:c r="AQ7" s="23" t="str">
        <x:v>Aberration</x:v>
      </x:c>
      <x:c r="AR7" s="23"/>
      <x:c r="AS7" s="23" t="str">
        <x:v>Famille principale du bestiaire.</x:v>
      </x:c>
      <x:c r="AT7" s="69" t="str">
        <x:v>Neutre</x:v>
      </x:c>
      <x:c r="AU7" s="69" t="str">
        <x:v>Neutre</x:v>
      </x:c>
      <x:c r="AV7" s="69" t="str">
        <x:v>Neutre</x:v>
      </x:c>
      <x:c r="AW7" s="69" t="str">
        <x:v>Neutre</x:v>
      </x:c>
      <x:c r="AX7" s="69" t="str">
        <x:v>Neutre</x:v>
      </x:c>
      <x:c r="AY7" s="69" t="str">
        <x:v>Neutre</x:v>
      </x:c>
      <x:c r="AZ7" s="69" t="str">
        <x:v>Résistant</x:v>
      </x:c>
      <x:c r="BA7" s="69" t="str">
        <x:v>Neutre</x:v>
      </x:c>
      <x:c r="BB7" s="23" t="str">
        <x:f t="shared" si="1"/>
        <x:v>resistanceA_force</x:v>
      </x:c>
      <x:c r="BC7" s="75" t="str">
        <x:v>Non</x:v>
      </x:c>
      <x:c r="BD7" s="75" t="str">
        <x:v>Non</x:v>
      </x:c>
      <x:c r="BE7" s="75" t="str">
        <x:v>Non</x:v>
      </x:c>
      <x:c r="BF7" s="75" t="str">
        <x:v>Non</x:v>
      </x:c>
      <x:c r="BG7" s="23" t="str">
        <x:v>Sa biologie impossible est souvent soutenue par une Force magique qui la rend moins sensible aux attaques conventionnelles. Résiste à Force par affinité ou constitution.</x:v>
      </x:c>
      <x:c r="BH7" s="23" t="str">
        <x:f t="shared" si="2"/>
        <x:v>resistanceA_force</x:v>
      </x:c>
    </x:row>
    <x:row r="8" ht="14.25" customHeight="1">
      <x:c r="A8" s="23" t="str">
        <x:v>Plante</x:v>
      </x:c>
      <x:c r="B8" s="66" t="n">
        <x:v>1008</x:v>
      </x:c>
      <x:c r="C8" s="23" t="str">
        <x:v>plant</x:v>
      </x:c>
      <x:c r="D8" s="23" t="str">
        <x:v>Plante</x:v>
      </x:c>
      <x:c r="E8" s="66" t="n">
        <x:v>0</x:v>
      </x:c>
      <x:c r="F8" s="66" t="n">
        <x:v>-1</x:v>
      </x:c>
      <x:c r="G8" s="66" t="n">
        <x:v>2</x:v>
      </x:c>
      <x:c r="H8" s="66" t="n">
        <x:v>-2</x:v>
      </x:c>
      <x:c r="I8" s="66" t="n">
        <x:v>1</x:v>
      </x:c>
      <x:c r="J8" s="66" t="n">
        <x:v>0</x:v>
      </x:c>
      <x:c r="K8" s="66" t="n">
        <x:v>0</x:v>
      </x:c>
      <x:c r="L8" s="66" t="n">
        <x:v>1.2</x:v>
      </x:c>
      <x:c r="M8" s="66" t="n">
        <x:v>-1</x:v>
      </x:c>
      <x:c r="N8" s="68" t="n">
        <x:v>0.75</x:v>
      </x:c>
      <x:c r="O8" s="66" t="n">
        <x:v>0</x:v>
      </x:c>
      <x:c r="P8" s="66" t="n">
        <x:v>1</x:v>
      </x:c>
      <x:c r="Q8" s="66" t="n">
        <x:v>0</x:v>
      </x:c>
      <x:c r="R8" s="66" t="n">
        <x:v>0</x:v>
      </x:c>
      <x:c r="S8" s="66" t="n">
        <x:v>0</x:v>
      </x:c>
      <x:c r="T8" s="66" t="n">
        <x:v>0</x:v>
      </x:c>
      <x:c r="U8" s="66" t="n">
        <x:v>0</x:v>
      </x:c>
      <x:c r="V8" s="66" t="n">
        <x:v>0</x:v>
      </x:c>
      <x:c r="W8" s="66" t="n">
        <x:v>0</x:v>
      </x:c>
      <x:c r="X8" s="66" t="n">
        <x:v>1</x:v>
      </x:c>
      <x:c r="Y8" s="66" t="n">
        <x:v>0</x:v>
      </x:c>
      <x:c r="Z8" s="23"/>
      <x:c r="AA8" s="23"/>
      <x:c r="AB8" s="23"/>
      <x:c r="AC8" s="23"/>
      <x:c r="AD8" s="23"/>
      <x:c r="AE8" s="23"/>
      <x:c r="AF8" s="23"/>
      <x:c r="AG8" s="23"/>
      <x:c r="AH8" s="23"/>
      <x:c r="AI8" s="23" t="str">
        <x:v>Oui</x:v>
      </x:c>
      <x:c r="AJ8" s="23"/>
      <x:c r="AK8" s="23" t="str">
        <x:v>racines, spores, sèves, graines, épines ou feuilles alchimiques</x:v>
      </x:c>
      <x:c r="AL8" s="23" t="str">
        <x:v>La créature végétale peut être récoltée avec soin : racines, spores, sèves, graines ou épines servent à l'herboristerie et l'alchimie.</x:v>
      </x:c>
      <x:c r="AM8" s="66" t="n">
        <x:v>5.75</x:v>
      </x:c>
      <x:c r="AN8" s="23" t="str">
        <x:v>Renforcé</x:v>
      </x:c>
      <x:c r="AO8" s="23" t="str">
        <x:v>Usage fréquent</x:v>
      </x:c>
      <x:c r="AP8" s="23" t="str">
        <x:v>Famille</x:v>
      </x:c>
      <x:c r="AQ8" s="23" t="str">
        <x:v>Plante</x:v>
      </x:c>
      <x:c r="AR8" s="23"/>
      <x:c r="AS8" s="23" t="str">
        <x:v>Famille principale du bestiaire.</x:v>
      </x:c>
      <x:c r="AT8" s="69" t="str">
        <x:v>Vulnérable</x:v>
      </x:c>
      <x:c r="AU8" s="69" t="str">
        <x:v>Neutre</x:v>
      </x:c>
      <x:c r="AV8" s="69" t="str">
        <x:v>Résistant</x:v>
      </x:c>
      <x:c r="AW8" s="69" t="str">
        <x:v>Neutre</x:v>
      </x:c>
      <x:c r="AX8" s="69" t="str">
        <x:v>Neutre</x:v>
      </x:c>
      <x:c r="AY8" s="69" t="str">
        <x:v>Neutre</x:v>
      </x:c>
      <x:c r="AZ8" s="69" t="str">
        <x:v>Neutre</x:v>
      </x:c>
      <x:c r="BA8" s="69" t="str">
        <x:v>Résistant</x:v>
      </x:c>
      <x:c r="BB8" s="23" t="str">
        <x:f t="shared" si="1"/>
        <x:v>vulnerableA_feu resistanceA_eau</x:v>
      </x:c>
      <x:c r="BC8" s="75" t="str">
        <x:v>Non</x:v>
      </x:c>
      <x:c r="BD8" s="75" t="str">
        <x:v>Oui</x:v>
      </x:c>
      <x:c r="BE8" s="75" t="str">
        <x:v>Non</x:v>
      </x:c>
      <x:c r="BF8" s="75" t="str">
        <x:v>Non</x:v>
      </x:c>
      <x:c r="BG8" s="23" t="str">
        <x:v>Sa masse végétale absorbe bien les perforations et les agressions naturelles, mais le feu détruit rapidement ses tissus. Résiste à Eau par affinité ou constitution. Vulnérable à Feu, qui perturbe directement sa nature. Sa morphologie réduit les dégâts perçants.</x:v>
      </x:c>
      <x:c r="BH8" s="23" t="str">
        <x:f t="shared" si="2"/>
        <x:v>vulnerableA_feu resistanceA_eau resistanceA_percant</x:v>
      </x:c>
    </x:row>
    <x:row r="9" ht="14.25" customHeight="1">
      <x:c r="A9" s="23" t="str">
        <x:v>Fée</x:v>
      </x:c>
      <x:c r="B9" s="66" t="n">
        <x:v>1011</x:v>
      </x:c>
      <x:c r="C9" s="23" t="str">
        <x:v>fey</x:v>
      </x:c>
      <x:c r="D9" s="23" t="str">
        <x:v>Fée</x:v>
      </x:c>
      <x:c r="E9" s="66" t="n">
        <x:v>-1</x:v>
      </x:c>
      <x:c r="F9" s="66" t="n">
        <x:v>2</x:v>
      </x:c>
      <x:c r="G9" s="66" t="n">
        <x:v>0</x:v>
      </x:c>
      <x:c r="H9" s="66" t="n">
        <x:v>0</x:v>
      </x:c>
      <x:c r="I9" s="66" t="n">
        <x:v>1</x:v>
      </x:c>
      <x:c r="J9" s="66" t="n">
        <x:v>2</x:v>
      </x:c>
      <x:c r="K9" s="66" t="n">
        <x:v>1</x:v>
      </x:c>
      <x:c r="L9" s="66" t="n">
        <x:v>0.8</x:v>
      </x:c>
      <x:c r="M9" s="66" t="n">
        <x:v>2</x:v>
      </x:c>
      <x:c r="N9" s="68" t="n">
        <x:v>1.5</x:v>
      </x:c>
      <x:c r="O9" s="66" t="n">
        <x:v>0</x:v>
      </x:c>
      <x:c r="P9" s="66" t="n">
        <x:v>0</x:v>
      </x:c>
      <x:c r="Q9" s="66" t="n">
        <x:v>0</x:v>
      </x:c>
      <x:c r="R9" s="66" t="n">
        <x:v>0</x:v>
      </x:c>
      <x:c r="S9" s="66" t="n">
        <x:v>0</x:v>
      </x:c>
      <x:c r="T9" s="66" t="n">
        <x:v>0</x:v>
      </x:c>
      <x:c r="U9" s="66" t="n">
        <x:v>0</x:v>
      </x:c>
      <x:c r="V9" s="66" t="n">
        <x:v>0</x:v>
      </x:c>
      <x:c r="W9" s="66" t="n">
        <x:v>0</x:v>
      </x:c>
      <x:c r="X9" s="66" t="n">
        <x:v>0</x:v>
      </x:c>
      <x:c r="Y9" s="66" t="n">
        <x:v>1</x:v>
      </x:c>
      <x:c r="Z9" s="23"/>
      <x:c r="AA9" s="23"/>
      <x:c r="AB9" s="23"/>
      <x:c r="AC9" s="23"/>
      <x:c r="AD9" s="23"/>
      <x:c r="AE9" s="23"/>
      <x:c r="AF9" s="23"/>
      <x:c r="AG9" s="23"/>
      <x:c r="AH9" s="23"/>
      <x:c r="AI9" s="23"/>
      <x:c r="AJ9" s="23"/>
      <x:c r="AK9" s="23" t="str">
        <x:v>poudre féerique, essence subtile, fleurs étranges, bijoux minuscules ou ornements curieux</x:v>
      </x:c>
      <x:c r="AL9" s="23" t="str">
        <x:v>Les restes matériels sont rares et fragiles, mais chargés d'une magie subtile : poudre, essence, fleurs étranges ou petits ornements.</x:v>
      </x:c>
      <x:c r="AM9" s="66" t="n">
        <x:v>8</x:v>
      </x:c>
      <x:c r="AN9" s="23" t="str">
        <x:v>Renforcé</x:v>
      </x:c>
      <x:c r="AO9" s="23" t="str">
        <x:v>Usage fréquent</x:v>
      </x:c>
      <x:c r="AP9" s="23" t="str">
        <x:v>Famille</x:v>
      </x:c>
      <x:c r="AQ9" s="23" t="str">
        <x:v>Fée</x:v>
      </x:c>
      <x:c r="AR9" s="23"/>
      <x:c r="AS9" s="23" t="str">
        <x:v>Famille principale du bestiaire.</x:v>
      </x:c>
      <x:c r="AT9" s="69" t="str">
        <x:v>Neutre</x:v>
      </x:c>
      <x:c r="AU9" s="69" t="str">
        <x:v>Neutre</x:v>
      </x:c>
      <x:c r="AV9" s="69" t="str">
        <x:v>Neutre</x:v>
      </x:c>
      <x:c r="AW9" s="69" t="str">
        <x:v>Neutre</x:v>
      </x:c>
      <x:c r="AX9" s="69" t="str">
        <x:v>Vulnérable</x:v>
      </x:c>
      <x:c r="AY9" s="69" t="str">
        <x:v>Neutre</x:v>
      </x:c>
      <x:c r="AZ9" s="69" t="str">
        <x:v>Résistant</x:v>
      </x:c>
      <x:c r="BA9" s="69" t="str">
        <x:v>Résistant</x:v>
      </x:c>
      <x:c r="BB9" s="23" t="str">
        <x:f t="shared" si="1"/>
        <x:v>vulnerableA_ombre resistanceA_force</x:v>
      </x:c>
      <x:c r="BC9" s="75" t="str">
        <x:v>Non</x:v>
      </x:c>
      <x:c r="BD9" s="75" t="str">
        <x:v>Non</x:v>
      </x:c>
      <x:c r="BE9" s="75" t="str">
        <x:v>Non</x:v>
      </x:c>
      <x:c r="BF9" s="75" t="str">
        <x:v>Non</x:v>
      </x:c>
      <x:c r="BG9" s="23" t="str">
        <x:v>Créature intimement liée à la nature et à la magie, moins vulnérable aux forces de son propre monde. Résiste à Force par affinité ou constitution. Vulnérable à Ombre, qui perturbe directement sa nature.</x:v>
      </x:c>
      <x:c r="BH9" s="23" t="str">
        <x:f t="shared" si="2"/>
        <x:v>vulnerableA_ombre resistanceA_force</x:v>
      </x:c>
    </x:row>
    <x:row r="10" ht="14.25" customHeight="1">
      <x:c r="A10" s="23" t="str">
        <x:v>Monstre</x:v>
      </x:c>
      <x:c r="B10" s="66" t="n">
        <x:v>1018</x:v>
      </x:c>
      <x:c r="C10" s="23" t="str">
        <x:v>monster</x:v>
      </x:c>
      <x:c r="D10" s="23" t="str">
        <x:v>Monstre</x:v>
      </x:c>
      <x:c r="E10" s="66" t="n">
        <x:v>2</x:v>
      </x:c>
      <x:c r="F10" s="66" t="n">
        <x:v>0</x:v>
      </x:c>
      <x:c r="G10" s="66" t="n">
        <x:v>1</x:v>
      </x:c>
      <x:c r="H10" s="66" t="n">
        <x:v>-1</x:v>
      </x:c>
      <x:c r="I10" s="66" t="n">
        <x:v>0</x:v>
      </x:c>
      <x:c r="J10" s="66" t="n">
        <x:v>-1</x:v>
      </x:c>
      <x:c r="K10" s="66" t="n">
        <x:v>1</x:v>
      </x:c>
      <x:c r="L10" s="66" t="n">
        <x:v>1.25</x:v>
      </x:c>
      <x:c r="M10" s="66" t="n">
        <x:v>0</x:v>
      </x:c>
      <x:c r="N10" s="68" t="n">
        <x:v>1</x:v>
      </x:c>
      <x:c r="O10" s="66" t="n">
        <x:v>1</x:v>
      </x:c>
      <x:c r="P10" s="66" t="n">
        <x:v>0</x:v>
      </x:c>
      <x:c r="Q10" s="66" t="n">
        <x:v>0</x:v>
      </x:c>
      <x:c r="R10" s="66" t="n">
        <x:v>0</x:v>
      </x:c>
      <x:c r="S10" s="66" t="n">
        <x:v>0</x:v>
      </x:c>
      <x:c r="T10" s="66" t="n">
        <x:v>0</x:v>
      </x:c>
      <x:c r="U10" s="66" t="n">
        <x:v>0</x:v>
      </x:c>
      <x:c r="V10" s="66" t="n">
        <x:v>0</x:v>
      </x:c>
      <x:c r="W10" s="66" t="n">
        <x:v>0</x:v>
      </x:c>
      <x:c r="X10" s="66" t="n">
        <x:v>0</x:v>
      </x:c>
      <x:c r="Y10" s="66" t="n">
        <x:v>0</x:v>
      </x:c>
      <x:c r="Z10" s="23"/>
      <x:c r="AA10" s="23"/>
      <x:c r="AB10" s="23"/>
      <x:c r="AC10" s="23"/>
      <x:c r="AD10" s="23"/>
      <x:c r="AE10" s="23"/>
      <x:c r="AF10" s="23"/>
      <x:c r="AG10" s="23"/>
      <x:c r="AH10" s="23"/>
      <x:c r="AI10" s="23"/>
      <x:c r="AJ10" s="23"/>
      <x:c r="AK10" s="23" t="str">
        <x:v>trophées monstrueux, griffes, crocs, cuir étrange, organes rares ou composants mutés</x:v>
      </x:c>
      <x:c r="AL10" s="23" t="str">
        <x:v>La créature n’appartient pas au monde naturel ordinaire : ses griffes, crocs, organes ou mutations peuvent devenir des composants rares.</x:v>
      </x:c>
      <x:c r="AM10" s="66" t="n">
        <x:v>8.5</x:v>
      </x:c>
      <x:c r="AN10" s="23" t="str">
        <x:v>Renforcé</x:v>
      </x:c>
      <x:c r="AO10" s="23" t="str">
        <x:v>Usage fréquent</x:v>
      </x:c>
      <x:c r="AP10" s="23" t="str">
        <x:v>Famille</x:v>
      </x:c>
      <x:c r="AQ10" s="23" t="str">
        <x:v>Monstre</x:v>
      </x:c>
      <x:c r="AR10" s="23"/>
      <x:c r="AS10" s="23" t="str">
        <x:v>Famille principale du bestiaire.</x:v>
      </x:c>
      <x:c r="AT10" s="69" t="str">
        <x:v>Neutre</x:v>
      </x:c>
      <x:c r="AU10" s="69" t="str">
        <x:v>Neutre</x:v>
      </x:c>
      <x:c r="AV10" s="69" t="str">
        <x:v>Neutre</x:v>
      </x:c>
      <x:c r="AW10" s="69" t="str">
        <x:v>Neutre</x:v>
      </x:c>
      <x:c r="AX10" s="69" t="str">
        <x:v>Neutre</x:v>
      </x:c>
      <x:c r="AY10" s="69" t="str">
        <x:v>Neutre</x:v>
      </x:c>
      <x:c r="AZ10" s="69" t="str">
        <x:v>Neutre</x:v>
      </x:c>
      <x:c r="BA10" s="69" t="str">
        <x:v>Neutre</x:v>
      </x:c>
      <x:c r="BB10" s="23">
        <x:f t="shared" si="1"/>
      </x:c>
      <x:c r="BC10" s="75" t="str">
        <x:v>Non</x:v>
      </x:c>
      <x:c r="BD10" s="75" t="str">
        <x:v>Non</x:v>
      </x:c>
      <x:c r="BE10" s="75" t="str">
        <x:v>Non</x:v>
      </x:c>
      <x:c r="BF10" s="75" t="str">
        <x:v>Non</x:v>
      </x:c>
      <x:c r="BG10" s="23" t="str">
        <x:v>Catégorie volontairement générique : les résistances doivent surtout venir de la sous-famille et de la morphologie. Aucune résistance innée supplémentaire : son identité vient surtout de ses statistiques et capacités.</x:v>
      </x:c>
      <x:c r="BH10" s="23">
        <x:f t="shared" si="2"/>
      </x:c>
    </x:row>
    <x:row r="11" ht="14.25" customHeight="1">
      <x:c r="A11" s="23" t="str">
        <x:v>Vase</x:v>
      </x:c>
      <x:c r="B11" s="66" t="n">
        <x:v>1009</x:v>
      </x:c>
      <x:c r="C11" s="23" t="str">
        <x:v>ooze</x:v>
      </x:c>
      <x:c r="D11" s="23" t="str">
        <x:v>Vase</x:v>
      </x:c>
      <x:c r="E11" s="66" t="n">
        <x:v>0</x:v>
      </x:c>
      <x:c r="F11" s="66" t="n">
        <x:v>-2</x:v>
      </x:c>
      <x:c r="G11" s="66" t="n">
        <x:v>3</x:v>
      </x:c>
      <x:c r="H11" s="66" t="n">
        <x:v>-3</x:v>
      </x:c>
      <x:c r="I11" s="66" t="n">
        <x:v>0</x:v>
      </x:c>
      <x:c r="J11" s="66" t="n">
        <x:v>-3</x:v>
      </x:c>
      <x:c r="K11" s="66" t="n">
        <x:v>-1</x:v>
      </x:c>
      <x:c r="L11" s="66" t="n">
        <x:v>1.4</x:v>
      </x:c>
      <x:c r="M11" s="66" t="n">
        <x:v>-3</x:v>
      </x:c>
      <x:c r="N11" s="68" t="n">
        <x:v>0.6</x:v>
      </x:c>
      <x:c r="O11" s="66" t="n">
        <x:v>2</x:v>
      </x:c>
      <x:c r="P11" s="66" t="n">
        <x:v>1</x:v>
      </x:c>
      <x:c r="Q11" s="66" t="n">
        <x:v>2</x:v>
      </x:c>
      <x:c r="R11" s="66" t="n">
        <x:v>0</x:v>
      </x:c>
      <x:c r="S11" s="66" t="n">
        <x:v>0</x:v>
      </x:c>
      <x:c r="T11" s="66" t="n">
        <x:v>0</x:v>
      </x:c>
      <x:c r="U11" s="66" t="n">
        <x:v>2</x:v>
      </x:c>
      <x:c r="V11" s="66" t="n">
        <x:v>0</x:v>
      </x:c>
      <x:c r="W11" s="66" t="n">
        <x:v>0</x:v>
      </x:c>
      <x:c r="X11" s="66" t="n">
        <x:v>0</x:v>
      </x:c>
      <x:c r="Y11" s="66" t="n">
        <x:v>0</x:v>
      </x:c>
      <x:c r="Z11" s="23"/>
      <x:c r="AA11" s="23"/>
      <x:c r="AB11" s="23"/>
      <x:c r="AC11" s="23"/>
      <x:c r="AD11" s="23"/>
      <x:c r="AE11" s="23"/>
      <x:c r="AF11" s="23"/>
      <x:c r="AG11" s="23"/>
      <x:c r="AH11" s="23" t="str">
        <x:v>Oui</x:v>
      </x:c>
      <x:c r="AI11" s="23" t="str">
        <x:v>Oui</x:v>
      </x:c>
      <x:c r="AJ11" s="23"/>
      <x:c r="AK11" s="23" t="str">
        <x:v>résidus acides, noyau gélatineux, mucus réactif ou fragments digérés</x:v>
      </x:c>
      <x:c r="AL11" s="23" t="str">
        <x:v>La masse résiduelle ne semble pas précieuse au premier regard, mais ses fluides et noyaux peuvent servir à des préparations alchimiques.</x:v>
      </x:c>
      <x:c r="AM11" s="66" t="n">
        <x:v>9.75</x:v>
      </x:c>
      <x:c r="AN11" s="23" t="str">
        <x:v>Dangereux</x:v>
      </x:c>
      <x:c r="AO11" s="23" t="str">
        <x:v>Rencontre marquante</x:v>
      </x:c>
      <x:c r="AP11" s="23" t="str">
        <x:v>Famille</x:v>
      </x:c>
      <x:c r="AQ11" s="23" t="str">
        <x:v>Vase</x:v>
      </x:c>
      <x:c r="AR11" s="23"/>
      <x:c r="AS11" s="23" t="str">
        <x:v>Famille principale du bestiaire.</x:v>
      </x:c>
      <x:c r="AT11" s="69" t="str">
        <x:v>Vulnérable</x:v>
      </x:c>
      <x:c r="AU11" s="69" t="str">
        <x:v>Neutre</x:v>
      </x:c>
      <x:c r="AV11" s="69" t="str">
        <x:v>Neutre</x:v>
      </x:c>
      <x:c r="AW11" s="69" t="str">
        <x:v>Résistant</x:v>
      </x:c>
      <x:c r="AX11" s="69" t="str">
        <x:v>Neutre</x:v>
      </x:c>
      <x:c r="AY11" s="69" t="str">
        <x:v>Neutre</x:v>
      </x:c>
      <x:c r="AZ11" s="69" t="str">
        <x:v>Neutre</x:v>
      </x:c>
      <x:c r="BA11" s="69" t="str">
        <x:v>Neutre</x:v>
      </x:c>
      <x:c r="BB11" s="23" t="str">
        <x:f t="shared" si="1"/>
        <x:v>vulnerableA_feu resistanceA_terre</x:v>
      </x:c>
      <x:c r="BC11" s="75" t="str">
        <x:v>Oui</x:v>
      </x:c>
      <x:c r="BD11" s="75" t="str">
        <x:v>Oui</x:v>
      </x:c>
      <x:c r="BE11" s="75" t="str">
        <x:v>Non</x:v>
      </x:c>
      <x:c r="BF11" s="75" t="str">
        <x:v>Non</x:v>
      </x:c>
      <x:c r="BG11" s="23" t="str">
        <x:v>Une masse amorphe est difficile à découper ou à transpercer : les armes traversent la matière sans atteindre d'organe vital. Résiste à Terre par affinité ou constitution. Vulnérable à Feu, qui perturbe directement sa nature. Sa morphologie réduit les dégâts tranchants, perçants.</x:v>
      </x:c>
      <x:c r="BH11" s="23" t="str">
        <x:f t="shared" si="2"/>
        <x:v>vulnerableA_feu resistanceA_terre resistanceA_tranchant resistanceA_percant</x:v>
      </x:c>
    </x:row>
    <x:row r="12" ht="14.25" customHeight="1">
      <x:c r="A12" s="23" t="str">
        <x:v>Démon</x:v>
      </x:c>
      <x:c r="B12" s="66" t="n">
        <x:v>1004</x:v>
      </x:c>
      <x:c r="C12" s="23" t="str">
        <x:v>fiend</x:v>
      </x:c>
      <x:c r="D12" s="23" t="str">
        <x:v>Démon</x:v>
      </x:c>
      <x:c r="E12" s="66" t="n">
        <x:v>1</x:v>
      </x:c>
      <x:c r="F12" s="66" t="n">
        <x:v>0</x:v>
      </x:c>
      <x:c r="G12" s="66" t="n">
        <x:v>1</x:v>
      </x:c>
      <x:c r="H12" s="66" t="n">
        <x:v>0</x:v>
      </x:c>
      <x:c r="I12" s="66" t="n">
        <x:v>0</x:v>
      </x:c>
      <x:c r="J12" s="66" t="n">
        <x:v>2</x:v>
      </x:c>
      <x:c r="K12" s="66" t="n">
        <x:v>0</x:v>
      </x:c>
      <x:c r="L12" s="66" t="n">
        <x:v>1.15</x:v>
      </x:c>
      <x:c r="M12" s="66" t="n">
        <x:v>0</x:v>
      </x:c>
      <x:c r="N12" s="68" t="n">
        <x:v>1.5</x:v>
      </x:c>
      <x:c r="O12" s="66" t="n">
        <x:v>0</x:v>
      </x:c>
      <x:c r="P12" s="66" t="n">
        <x:v>0</x:v>
      </x:c>
      <x:c r="Q12" s="66" t="n">
        <x:v>0</x:v>
      </x:c>
      <x:c r="R12" s="66" t="n">
        <x:v>2</x:v>
      </x:c>
      <x:c r="S12" s="66" t="n">
        <x:v>0</x:v>
      </x:c>
      <x:c r="T12" s="66" t="n">
        <x:v>0</x:v>
      </x:c>
      <x:c r="U12" s="66" t="n">
        <x:v>0</x:v>
      </x:c>
      <x:c r="V12" s="66" t="n">
        <x:v>0</x:v>
      </x:c>
      <x:c r="W12" s="66" t="n">
        <x:v>0</x:v>
      </x:c>
      <x:c r="X12" s="66" t="n">
        <x:v>1</x:v>
      </x:c>
      <x:c r="Y12" s="66" t="n">
        <x:v>1</x:v>
      </x:c>
      <x:c r="Z12" s="23"/>
      <x:c r="AA12" s="23"/>
      <x:c r="AB12" s="23"/>
      <x:c r="AC12" s="23"/>
      <x:c r="AD12" s="23"/>
      <x:c r="AE12" s="23"/>
      <x:c r="AF12" s="23"/>
      <x:c r="AG12" s="23"/>
      <x:c r="AH12" s="23" t="str">
        <x:v>Oui</x:v>
      </x:c>
      <x:c r="AI12" s="23"/>
      <x:c r="AJ12" s="23"/>
      <x:c r="AK12" s="23" t="str">
        <x:v>ichor, cornes, griffes noires, cendres infernales ou fragments corrompus</x:v>
      </x:c>
      <x:c r="AL12" s="23" t="str">
        <x:v>Les restes sont dangereux à manipuler, mais précieux : ichor, cornes, cendres infernales ou fragments corrompus peuvent intéresser des occultistes.</x:v>
      </x:c>
      <x:c r="AM12" s="66" t="n">
        <x:v>10.5</x:v>
      </x:c>
      <x:c r="AN12" s="23" t="str">
        <x:v>Dangereux</x:v>
      </x:c>
      <x:c r="AO12" s="23" t="str">
        <x:v>Rencontre marquante</x:v>
      </x:c>
      <x:c r="AP12" s="23" t="str">
        <x:v>Famille</x:v>
      </x:c>
      <x:c r="AQ12" s="23" t="str">
        <x:v>Démon</x:v>
      </x:c>
      <x:c r="AR12" s="23"/>
      <x:c r="AS12" s="23" t="str">
        <x:v>Famille principale du bestiaire.</x:v>
      </x:c>
      <x:c r="AT12" s="69" t="str">
        <x:v>Résistant</x:v>
      </x:c>
      <x:c r="AU12" s="69" t="str">
        <x:v>Neutre</x:v>
      </x:c>
      <x:c r="AV12" s="69" t="str">
        <x:v>Neutre</x:v>
      </x:c>
      <x:c r="AW12" s="69" t="str">
        <x:v>Neutre</x:v>
      </x:c>
      <x:c r="AX12" s="69" t="str">
        <x:v>Résistant</x:v>
      </x:c>
      <x:c r="AY12" s="69" t="str">
        <x:v>Vulnérable</x:v>
      </x:c>
      <x:c r="AZ12" s="69" t="str">
        <x:v>Neutre</x:v>
      </x:c>
      <x:c r="BA12" s="69" t="str">
        <x:v>Neutre</x:v>
      </x:c>
      <x:c r="BB12" s="23" t="str">
        <x:f t="shared" si="1"/>
        <x:v>resistanceA_feu resistanceA_ombre vulnerableA_lumiere</x:v>
      </x:c>
      <x:c r="BC12" s="75" t="str">
        <x:v>Oui</x:v>
      </x:c>
      <x:c r="BD12" s="75" t="str">
        <x:v>Non</x:v>
      </x:c>
      <x:c r="BE12" s="75" t="str">
        <x:v>Non</x:v>
      </x:c>
      <x:c r="BF12" s="75" t="str">
        <x:v>Non</x:v>
      </x:c>
      <x:c r="BG12" s="23" t="str">
        <x:v>Sa chair surnaturelle et coriace résiste aux lames, au feu et aux forces de l’Ombre, tandis que le radiant contrarie son essence. Résiste à Feu, Ombre par affinité ou constitution. Vulnérable à Lumière, qui perturbe directement sa nature. Sa morphologie réduit les dégâts tranchants.</x:v>
      </x:c>
      <x:c r="BH12" s="23" t="str">
        <x:f t="shared" si="2"/>
        <x:v>resistanceA_feu resistanceA_ombre vulnerableA_lumiere resistanceA_tranchant</x:v>
      </x:c>
    </x:row>
    <x:row r="13" ht="14.25" customHeight="1">
      <x:c r="A13" s="23" t="str">
        <x:v>Géant</x:v>
      </x:c>
      <x:c r="B13" s="66" t="n">
        <x:v>1012</x:v>
      </x:c>
      <x:c r="C13" s="23" t="str">
        <x:v>giant</x:v>
      </x:c>
      <x:c r="D13" s="23" t="str">
        <x:v>Géant</x:v>
      </x:c>
      <x:c r="E13" s="66" t="n">
        <x:v>3</x:v>
      </x:c>
      <x:c r="F13" s="66" t="n">
        <x:v>-2</x:v>
      </x:c>
      <x:c r="G13" s="66" t="n">
        <x:v>2</x:v>
      </x:c>
      <x:c r="H13" s="66" t="n">
        <x:v>-1</x:v>
      </x:c>
      <x:c r="I13" s="66" t="n">
        <x:v>0</x:v>
      </x:c>
      <x:c r="J13" s="66" t="n">
        <x:v>0</x:v>
      </x:c>
      <x:c r="K13" s="66" t="n">
        <x:v>-1</x:v>
      </x:c>
      <x:c r="L13" s="66" t="n">
        <x:v>1.7</x:v>
      </x:c>
      <x:c r="M13" s="66" t="n">
        <x:v>-2</x:v>
      </x:c>
      <x:c r="N13" s="68" t="n">
        <x:v>1</x:v>
      </x:c>
      <x:c r="O13" s="66" t="n">
        <x:v>1</x:v>
      </x:c>
      <x:c r="P13" s="66" t="n">
        <x:v>1</x:v>
      </x:c>
      <x:c r="Q13" s="66" t="n">
        <x:v>1</x:v>
      </x:c>
      <x:c r="R13" s="66" t="n">
        <x:v>0</x:v>
      </x:c>
      <x:c r="S13" s="66" t="n">
        <x:v>0</x:v>
      </x:c>
      <x:c r="T13" s="66" t="n">
        <x:v>0</x:v>
      </x:c>
      <x:c r="U13" s="66" t="n">
        <x:v>0</x:v>
      </x:c>
      <x:c r="V13" s="66" t="n">
        <x:v>0</x:v>
      </x:c>
      <x:c r="W13" s="66" t="n">
        <x:v>0</x:v>
      </x:c>
      <x:c r="X13" s="66" t="n">
        <x:v>0</x:v>
      </x:c>
      <x:c r="Y13" s="66" t="n">
        <x:v>0</x:v>
      </x:c>
      <x:c r="Z13" s="23"/>
      <x:c r="AA13" s="23"/>
      <x:c r="AB13" s="23"/>
      <x:c r="AC13" s="23"/>
      <x:c r="AD13" s="23"/>
      <x:c r="AE13" s="23"/>
      <x:c r="AF13" s="23"/>
      <x:c r="AG13" s="23"/>
      <x:c r="AH13" s="23"/>
      <x:c r="AI13" s="23"/>
      <x:c r="AJ13" s="23"/>
      <x:c r="AK13" s="23" t="str">
        <x:v>cuir épais, dents massives, os lourds, équipement surdimensionné ou objets pillés</x:v>
      </x:c>
      <x:c r="AL13" s="23" t="str">
        <x:v>La créature laisse des ressources massives et encombrantes : cuir épais, os lourds, dents, équipement surdimensionné ou objets pillés.</x:v>
      </x:c>
      <x:c r="AM13" s="66" t="n">
        <x:v>10.5</x:v>
      </x:c>
      <x:c r="AN13" s="23" t="str">
        <x:v>Dangereux</x:v>
      </x:c>
      <x:c r="AO13" s="23" t="str">
        <x:v>Rencontre marquante</x:v>
      </x:c>
      <x:c r="AP13" s="23" t="str">
        <x:v>Famille</x:v>
      </x:c>
      <x:c r="AQ13" s="23" t="str">
        <x:v>Géant</x:v>
      </x:c>
      <x:c r="AR13" s="23"/>
      <x:c r="AS13" s="23" t="str">
        <x:v>Famille principale du bestiaire.</x:v>
      </x:c>
      <x:c r="AT13" s="69" t="str">
        <x:v>Neutre</x:v>
      </x:c>
      <x:c r="AU13" s="69" t="str">
        <x:v>Neutre</x:v>
      </x:c>
      <x:c r="AV13" s="69" t="str">
        <x:v>Neutre</x:v>
      </x:c>
      <x:c r="AW13" s="69" t="str">
        <x:v>Neutre</x:v>
      </x:c>
      <x:c r="AX13" s="69" t="str">
        <x:v>Neutre</x:v>
      </x:c>
      <x:c r="AY13" s="69" t="str">
        <x:v>Neutre</x:v>
      </x:c>
      <x:c r="AZ13" s="69" t="str">
        <x:v>Neutre</x:v>
      </x:c>
      <x:c r="BA13" s="69" t="str">
        <x:v>Neutre</x:v>
      </x:c>
      <x:c r="BB13" s="23">
        <x:f t="shared" si="1"/>
      </x:c>
      <x:c r="BC13" s="75" t="str">
        <x:v>Non</x:v>
      </x:c>
      <x:c r="BD13" s="75" t="str">
        <x:v>Non</x:v>
      </x:c>
      <x:c r="BE13" s="75" t="str">
        <x:v>Oui</x:v>
      </x:c>
      <x:c r="BF13" s="75" t="str">
        <x:v>Non</x:v>
      </x:c>
      <x:c r="BG13" s="23" t="str">
        <x:v>Sa masse énorme amortit les impacts : un coup qui briserait un humanoïde ne représente qu'un choc localisé. Sa morphologie réduit les dégâts contondants.</x:v>
      </x:c>
      <x:c r="BH13" s="23" t="str">
        <x:f t="shared" si="2"/>
        <x:v>resistanceA_contondant</x:v>
      </x:c>
    </x:row>
    <x:row r="14" ht="14.25" customHeight="1">
      <x:c r="A14" s="23" t="str">
        <x:v>Élémentaire</x:v>
      </x:c>
      <x:c r="B14" s="66" t="n">
        <x:v>1010</x:v>
      </x:c>
      <x:c r="C14" s="23" t="str">
        <x:v>elemental</x:v>
      </x:c>
      <x:c r="D14" s="23" t="str">
        <x:v>Élémentaire</x:v>
      </x:c>
      <x:c r="E14" s="66" t="n">
        <x:v>0</x:v>
      </x:c>
      <x:c r="F14" s="66" t="n">
        <x:v>1</x:v>
      </x:c>
      <x:c r="G14" s="66" t="n">
        <x:v>1</x:v>
      </x:c>
      <x:c r="H14" s="66" t="n">
        <x:v>0</x:v>
      </x:c>
      <x:c r="I14" s="66" t="n">
        <x:v>0</x:v>
      </x:c>
      <x:c r="J14" s="66" t="n">
        <x:v>0</x:v>
      </x:c>
      <x:c r="K14" s="66" t="n">
        <x:v>0</x:v>
      </x:c>
      <x:c r="L14" s="66" t="n">
        <x:v>1.1</x:v>
      </x:c>
      <x:c r="M14" s="66" t="n">
        <x:v>1</x:v>
      </x:c>
      <x:c r="N14" s="68" t="n">
        <x:v>1.25</x:v>
      </x:c>
      <x:c r="O14" s="66" t="n">
        <x:v>1</x:v>
      </x:c>
      <x:c r="P14" s="66" t="n">
        <x:v>1</x:v>
      </x:c>
      <x:c r="Q14" s="66" t="n">
        <x:v>1</x:v>
      </x:c>
      <x:c r="R14" s="66" t="n">
        <x:v>1</x:v>
      </x:c>
      <x:c r="S14" s="66" t="n">
        <x:v>1</x:v>
      </x:c>
      <x:c r="T14" s="66" t="n">
        <x:v>1</x:v>
      </x:c>
      <x:c r="U14" s="66" t="n">
        <x:v>1</x:v>
      </x:c>
      <x:c r="V14" s="66" t="n">
        <x:v>0</x:v>
      </x:c>
      <x:c r="W14" s="66" t="n">
        <x:v>0</x:v>
      </x:c>
      <x:c r="X14" s="66" t="n">
        <x:v>0</x:v>
      </x:c>
      <x:c r="Y14" s="66" t="n">
        <x:v>0</x:v>
      </x:c>
      <x:c r="Z14" s="23"/>
      <x:c r="AA14" s="23"/>
      <x:c r="AB14" s="23"/>
      <x:c r="AC14" s="23"/>
      <x:c r="AD14" s="23"/>
      <x:c r="AE14" s="23"/>
      <x:c r="AF14" s="23"/>
      <x:c r="AG14" s="23"/>
      <x:c r="AH14" s="23" t="str">
        <x:v>Oui</x:v>
      </x:c>
      <x:c r="AI14" s="23" t="str">
        <x:v>Oui</x:v>
      </x:c>
      <x:c r="AJ14" s="23"/>
      <x:c r="AK14" s="23" t="str">
        <x:v>cristaux élémentaires, éclats imprégnés, poussières chargées ou essence instable</x:v>
      </x:c>
      <x:c r="AL14" s="23" t="str">
        <x:v>Une fois dissipée, la créature laisse des éclats imprégnés de sa nature : cristaux, poussières chargées ou essence élémentaire.</x:v>
      </x:c>
      <x:c r="AM14" s="66" t="n">
        <x:v>13.75</x:v>
      </x:c>
      <x:c r="AN14" s="23" t="str">
        <x:v>Élite</x:v>
      </x:c>
      <x:c r="AO14" s="23" t="str">
        <x:v>Élite / mini-boss</x:v>
      </x:c>
      <x:c r="AP14" s="23" t="str">
        <x:v>Famille</x:v>
      </x:c>
      <x:c r="AQ14" s="23" t="str">
        <x:v>Élémentaire</x:v>
      </x:c>
      <x:c r="AR14" s="23"/>
      <x:c r="AS14" s="23" t="str">
        <x:v>Famille principale du bestiaire.</x:v>
      </x:c>
      <x:c r="AT14" s="69" t="str">
        <x:v>Neutre</x:v>
      </x:c>
      <x:c r="AU14" s="69" t="str">
        <x:v>Neutre</x:v>
      </x:c>
      <x:c r="AV14" s="69" t="str">
        <x:v>Neutre</x:v>
      </x:c>
      <x:c r="AW14" s="69" t="str">
        <x:v>Neutre</x:v>
      </x:c>
      <x:c r="AX14" s="69" t="str">
        <x:v>Neutre</x:v>
      </x:c>
      <x:c r="AY14" s="69" t="str">
        <x:v>Neutre</x:v>
      </x:c>
      <x:c r="AZ14" s="69" t="str">
        <x:v>Résistant</x:v>
      </x:c>
      <x:c r="BA14" s="69" t="str">
        <x:v>Neutre</x:v>
      </x:c>
      <x:c r="BB14" s="23" t="str">
        <x:f t="shared" si="1"/>
        <x:v>resistanceA_force</x:v>
      </x:c>
      <x:c r="BC14" s="75" t="str">
        <x:v>Non</x:v>
      </x:c>
      <x:c r="BD14" s="75" t="str">
        <x:v>Non</x:v>
      </x:c>
      <x:c r="BE14" s="75" t="str">
        <x:v>Non</x:v>
      </x:c>
      <x:c r="BF14" s="75" t="str">
        <x:v>Non</x:v>
      </x:c>
      <x:c r="BG14" s="23" t="str">
        <x:v>Son corps est une manifestation d'énergie ou de matière élémentaire ; sa vraie défense dépend de l'élément incarné. Résiste à Force par affinité ou constitution.</x:v>
      </x:c>
      <x:c r="BH14" s="23" t="str">
        <x:f t="shared" si="2"/>
        <x:v>resistanceA_force</x:v>
      </x:c>
    </x:row>
    <x:row r="15" ht="14.25" customHeight="1">
      <x:c r="A15" s="23" t="str">
        <x:v>Céleste</x:v>
      </x:c>
      <x:c r="B15" s="66" t="n">
        <x:v>1017</x:v>
      </x:c>
      <x:c r="C15" s="23" t="str">
        <x:v>celestial</x:v>
      </x:c>
      <x:c r="D15" s="23" t="str">
        <x:v>Céleste</x:v>
      </x:c>
      <x:c r="E15" s="66" t="n">
        <x:v>1</x:v>
      </x:c>
      <x:c r="F15" s="66" t="n">
        <x:v>1</x:v>
      </x:c>
      <x:c r="G15" s="66" t="n">
        <x:v>2</x:v>
      </x:c>
      <x:c r="H15" s="66" t="n">
        <x:v>1</x:v>
      </x:c>
      <x:c r="I15" s="66" t="n">
        <x:v>2</x:v>
      </x:c>
      <x:c r="J15" s="66" t="n">
        <x:v>2</x:v>
      </x:c>
      <x:c r="K15" s="66" t="n">
        <x:v>2</x:v>
      </x:c>
      <x:c r="L15" s="66" t="n">
        <x:v>1.25</x:v>
      </x:c>
      <x:c r="M15" s="66" t="n">
        <x:v>1</x:v>
      </x:c>
      <x:c r="N15" s="68" t="n">
        <x:v>1.5</x:v>
      </x:c>
      <x:c r="O15" s="66" t="n">
        <x:v>1</x:v>
      </x:c>
      <x:c r="P15" s="66" t="n">
        <x:v>1</x:v>
      </x:c>
      <x:c r="Q15" s="66" t="n">
        <x:v>1</x:v>
      </x:c>
      <x:c r="R15" s="66" t="n">
        <x:v>0</x:v>
      </x:c>
      <x:c r="S15" s="66" t="n">
        <x:v>0</x:v>
      </x:c>
      <x:c r="T15" s="66" t="n">
        <x:v>0</x:v>
      </x:c>
      <x:c r="U15" s="66" t="n">
        <x:v>0</x:v>
      </x:c>
      <x:c r="V15" s="66" t="n">
        <x:v>0</x:v>
      </x:c>
      <x:c r="W15" s="66" t="n">
        <x:v>0</x:v>
      </x:c>
      <x:c r="X15" s="66" t="n">
        <x:v>0</x:v>
      </x:c>
      <x:c r="Y15" s="66" t="n">
        <x:v>1</x:v>
      </x:c>
      <x:c r="Z15" s="23"/>
      <x:c r="AA15" s="23"/>
      <x:c r="AB15" s="23"/>
      <x:c r="AC15" s="23"/>
      <x:c r="AD15" s="23"/>
      <x:c r="AE15" s="23"/>
      <x:c r="AF15" s="23"/>
      <x:c r="AG15" s="23"/>
      <x:c r="AH15" s="23"/>
      <x:c r="AI15" s="23"/>
      <x:c r="AJ15" s="23"/>
      <x:c r="AK15" s="23" t="str">
        <x:v>plumes sacrées, fragments lumineux, larmes cristallisées, reliques bénies ou essence radieuse</x:v>
      </x:c>
      <x:c r="AL15" s="23" t="str">
        <x:v>La créature sacrée laisse peu de chair exploitable, mais ses fragments lumineux et reliques bénies ont une valeur spirituelle élevée.</x:v>
      </x:c>
      <x:c r="AM15" s="66" t="n">
        <x:v>14.5</x:v>
      </x:c>
      <x:c r="AN15" s="23" t="str">
        <x:v>Élite</x:v>
      </x:c>
      <x:c r="AO15" s="23" t="str">
        <x:v>Élite / mini-boss</x:v>
      </x:c>
      <x:c r="AP15" s="23" t="str">
        <x:v>Famille</x:v>
      </x:c>
      <x:c r="AQ15" s="23" t="str">
        <x:v>Céleste</x:v>
      </x:c>
      <x:c r="AR15" s="23"/>
      <x:c r="AS15" s="23" t="str">
        <x:v>Famille principale du bestiaire.</x:v>
      </x:c>
      <x:c r="AT15" s="69" t="str">
        <x:v>Neutre</x:v>
      </x:c>
      <x:c r="AU15" s="69" t="str">
        <x:v>Neutre</x:v>
      </x:c>
      <x:c r="AV15" s="69" t="str">
        <x:v>Neutre</x:v>
      </x:c>
      <x:c r="AW15" s="69" t="str">
        <x:v>Neutre</x:v>
      </x:c>
      <x:c r="AX15" s="69" t="str">
        <x:v>Vulnérable</x:v>
      </x:c>
      <x:c r="AY15" s="69" t="str">
        <x:v>Résistant</x:v>
      </x:c>
      <x:c r="AZ15" s="69" t="str">
        <x:v>Neutre</x:v>
      </x:c>
      <x:c r="BA15" s="69" t="str">
        <x:v>Neutre</x:v>
      </x:c>
      <x:c r="BB15" s="23" t="str">
        <x:f t="shared" si="1"/>
        <x:v>vulnerableA_ombre resistanceA_lumiere</x:v>
      </x:c>
      <x:c r="BC15" s="75" t="str">
        <x:v>Non</x:v>
      </x:c>
      <x:c r="BD15" s="75" t="str">
        <x:v>Non</x:v>
      </x:c>
      <x:c r="BE15" s="75" t="str">
        <x:v>Non</x:v>
      </x:c>
      <x:c r="BF15" s="75" t="str">
        <x:v>Non</x:v>
      </x:c>
      <x:c r="BG15" s="23" t="str">
        <x:v>Son essence sacrée résiste au radiant mais réagit mal aux forces de l’Ombre qui corrompent ou annulent cette énergie. Résiste à Lumière par affinité ou constitution. Vulnérable à Ombre, qui perturbe directement sa nature.</x:v>
      </x:c>
      <x:c r="BH15" s="23" t="str">
        <x:f t="shared" si="2"/>
        <x:v>vulnerableA_ombre resistanceA_lumiere</x:v>
      </x:c>
    </x:row>
    <x:row r="16" ht="14.25" customHeight="1">
      <x:c r="A16" s="23" t="str">
        <x:v>Artificiel</x:v>
      </x:c>
      <x:c r="B16" s="23" t="n">
        <x:v>1006</x:v>
      </x:c>
      <x:c r="C16" s="23" t="str">
        <x:v>construct</x:v>
      </x:c>
      <x:c r="D16" s="23" t="str">
        <x:v>Artificiel</x:v>
      </x:c>
      <x:c r="E16" s="23" t="n">
        <x:v>1</x:v>
      </x:c>
      <x:c r="F16" s="23" t="n">
        <x:v>-1</x:v>
      </x:c>
      <x:c r="G16" s="23" t="n">
        <x:v>3</x:v>
      </x:c>
      <x:c r="H16" s="23" t="n">
        <x:v>0</x:v>
      </x:c>
      <x:c r="I16" s="23" t="n">
        <x:v>-1</x:v>
      </x:c>
      <x:c r="J16" s="23" t="n">
        <x:v>0</x:v>
      </x:c>
      <x:c r="K16" s="23" t="n">
        <x:v>1</x:v>
      </x:c>
      <x:c r="L16" s="23" t="n">
        <x:v>1.5</x:v>
      </x:c>
      <x:c r="M16" s="23" t="n">
        <x:v>-2</x:v>
      </x:c>
      <x:c r="N16" s="95" t="n">
        <x:v>1.5</x:v>
      </x:c>
      <x:c r="O16" s="23" t="n">
        <x:v>2</x:v>
      </x:c>
      <x:c r="P16" s="23" t="n">
        <x:v>2</x:v>
      </x:c>
      <x:c r="Q16" s="23" t="n">
        <x:v>2</x:v>
      </x:c>
      <x:c r="R16" s="23" t="n">
        <x:v>0</x:v>
      </x:c>
      <x:c r="S16" s="23" t="n">
        <x:v>0</x:v>
      </x:c>
      <x:c r="T16" s="23" t="n">
        <x:v>0</x:v>
      </x:c>
      <x:c r="U16" s="23" t="n">
        <x:v>0</x:v>
      </x:c>
      <x:c r="V16" s="23" t="n">
        <x:v>0</x:v>
      </x:c>
      <x:c r="W16" s="23" t="n">
        <x:v>0</x:v>
      </x:c>
      <x:c r="X16" s="23" t="n">
        <x:v>0</x:v>
      </x:c>
      <x:c r="Y16" s="23" t="n">
        <x:v>0</x:v>
      </x:c>
      <x:c r="Z16" s="23"/>
      <x:c r="AA16" s="23"/>
      <x:c r="AB16" s="23"/>
      <x:c r="AC16" s="23"/>
      <x:c r="AD16" s="23"/>
      <x:c r="AE16" s="23"/>
      <x:c r="AF16" s="23"/>
      <x:c r="AG16" s="23"/>
      <x:c r="AH16" s="23" t="str">
        <x:v>Oui</x:v>
      </x:c>
      <x:c r="AI16" s="23" t="str">
        <x:v>Oui</x:v>
      </x:c>
      <x:c r="AJ16" s="23"/>
      <x:c r="AK16" s="23" t="str">
        <x:v>rouages, plaques métalliques, cristaux, noyau brisé ou composants mécaniques</x:v>
      </x:c>
      <x:c r="AL16" s="23" t="str">
        <x:v>Le corps mécanique ou animé peut être démonté : rouages, plaques, cristaux, noyaux brisés ou fragments enchantés gardent une valeur élevée.</x:v>
      </x:c>
      <x:c r="AM16" s="23" t="n">
        <x:v>17.5</x:v>
      </x:c>
      <x:c r="AN16" s="23" t="str">
        <x:v>Élite</x:v>
      </x:c>
      <x:c r="AO16" s="23" t="str">
        <x:v>Élite / mini-boss</x:v>
      </x:c>
      <x:c r="AP16" s="23" t="str">
        <x:v>Famille</x:v>
      </x:c>
      <x:c r="AQ16" s="23" t="str">
        <x:v>Artificiel</x:v>
      </x:c>
      <x:c r="AR16" s="23"/>
      <x:c r="AS16" s="23" t="str">
        <x:v>Famille principale du bestiaire.</x:v>
      </x:c>
      <x:c r="AT16" s="69" t="str">
        <x:v>Neutre</x:v>
      </x:c>
      <x:c r="AU16" s="69" t="str">
        <x:v>Neutre</x:v>
      </x:c>
      <x:c r="AV16" s="69" t="str">
        <x:v>Neutre</x:v>
      </x:c>
      <x:c r="AW16" s="69" t="str">
        <x:v>Neutre</x:v>
      </x:c>
      <x:c r="AX16" s="69" t="str">
        <x:v>Résistant</x:v>
      </x:c>
      <x:c r="AY16" s="69" t="str">
        <x:v>Neutre</x:v>
      </x:c>
      <x:c r="AZ16" s="69" t="str">
        <x:v>Neutre</x:v>
      </x:c>
      <x:c r="BA16" s="69" t="str">
        <x:v>Résistant</x:v>
      </x:c>
      <x:c r="BB16" s="23" t="str">
        <x:f t="shared" si="1"/>
        <x:v>resistanceA_ombre</x:v>
      </x:c>
      <x:c r="BC16" s="75" t="str">
        <x:v>Non</x:v>
      </x:c>
      <x:c r="BD16" s="75" t="str">
        <x:v>Oui</x:v>
      </x:c>
      <x:c r="BE16" s="75" t="str">
        <x:v>Non</x:v>
      </x:c>
      <x:c r="BF16" s="75" t="str">
        <x:v>Non</x:v>
      </x:c>
      <x:c r="BG16" s="23" t="str">
        <x:v>Sans organes ni points vitaux classiques, il craint moins les perforations et les effets qui ciblent la matière vivante. Résiste à Ombre par affinité ou constitution. Sa morphologie réduit les dégâts perçants.</x:v>
      </x:c>
      <x:c r="BH16" s="23" t="str">
        <x:f t="shared" si="2"/>
        <x:v>resistanceA_ombre resistanceA_percant</x:v>
      </x:c>
    </x:row>
    <x:row r="17" ht="14.25" customHeight="1">
      <x:c r="A17" s="23" t="str">
        <x:v>Esprit</x:v>
      </x:c>
      <x:c r="B17" s="23" t="n">
        <x:v>1014</x:v>
      </x:c>
      <x:c r="C17" s="23" t="str">
        <x:v>spirit</x:v>
      </x:c>
      <x:c r="D17" s="23" t="str">
        <x:v>Esprit</x:v>
      </x:c>
      <x:c r="E17" s="23" t="n">
        <x:v>-2</x:v>
      </x:c>
      <x:c r="F17" s="23" t="n">
        <x:v>2</x:v>
      </x:c>
      <x:c r="G17" s="23" t="n">
        <x:v>-2</x:v>
      </x:c>
      <x:c r="H17" s="23" t="n">
        <x:v>0</x:v>
      </x:c>
      <x:c r="I17" s="23" t="n">
        <x:v>2</x:v>
      </x:c>
      <x:c r="J17" s="23" t="n">
        <x:v>1</x:v>
      </x:c>
      <x:c r="K17" s="23" t="n">
        <x:v>2</x:v>
      </x:c>
      <x:c r="L17" s="23" t="n">
        <x:v>0.8</x:v>
      </x:c>
      <x:c r="M17" s="23" t="n">
        <x:v>2</x:v>
      </x:c>
      <x:c r="N17" s="23" t="n">
        <x:v>1.25</x:v>
      </x:c>
      <x:c r="O17" s="23" t="n">
        <x:v>2</x:v>
      </x:c>
      <x:c r="P17" s="23" t="n">
        <x:v>2</x:v>
      </x:c>
      <x:c r="Q17" s="23" t="n">
        <x:v>2</x:v>
      </x:c>
      <x:c r="R17" s="23" t="n">
        <x:v>0</x:v>
      </x:c>
      <x:c r="S17" s="23" t="n">
        <x:v>0</x:v>
      </x:c>
      <x:c r="T17" s="23" t="n">
        <x:v>0</x:v>
      </x:c>
      <x:c r="U17" s="23" t="n">
        <x:v>0</x:v>
      </x:c>
      <x:c r="V17" s="23" t="n">
        <x:v>1</x:v>
      </x:c>
      <x:c r="W17" s="23" t="n">
        <x:v>0</x:v>
      </x:c>
      <x:c r="X17" s="23" t="n">
        <x:v>0</x:v>
      </x:c>
      <x:c r="Y17" s="23" t="n">
        <x:v>1</x:v>
      </x:c>
      <x:c r="Z17" s="23"/>
      <x:c r="AA17" s="23"/>
      <x:c r="AB17" s="23"/>
      <x:c r="AC17" s="23"/>
      <x:c r="AD17" s="23"/>
      <x:c r="AE17" s="23"/>
      <x:c r="AF17" s="23"/>
      <x:c r="AG17" s="23"/>
      <x:c r="AH17" s="23" t="str">
        <x:v>Oui</x:v>
      </x:c>
      <x:c r="AI17" s="23" t="str">
        <x:v>Oui</x:v>
      </x:c>
      <x:c r="AJ17" s="23"/>
      <x:c r="AK17" s="23" t="str">
        <x:v>résidus ectoplasmiques, poussière spectrale, fragments liés ou essence éthérée</x:v>
      </x:c>
      <x:c r="AL17" s="23" t="str">
        <x:v>La créature ne laisse presque rien de matériel, mais ses résidus éthérés peuvent être capturés ou valorisés par des spécialistes.</x:v>
      </x:c>
      <x:c r="AM17" s="23" t="n">
        <x:v>19</x:v>
      </x:c>
      <x:c r="AN17" s="23" t="str">
        <x:v>Boss-like / rare</x:v>
      </x:c>
      <x:c r="AO17" s="23" t="str">
        <x:v>Rare / boss</x:v>
      </x:c>
      <x:c r="AP17" s="23" t="str">
        <x:v>Famille</x:v>
      </x:c>
      <x:c r="AQ17" s="23" t="str">
        <x:v>Esprit</x:v>
      </x:c>
      <x:c r="AR17" s="23"/>
      <x:c r="AS17" s="23" t="str">
        <x:v>Famille principale du bestiaire.</x:v>
      </x:c>
      <x:c r="AT17" s="69" t="str">
        <x:v>Neutre</x:v>
      </x:c>
      <x:c r="AU17" s="69" t="str">
        <x:v>Neutre</x:v>
      </x:c>
      <x:c r="AV17" s="69" t="str">
        <x:v>Neutre</x:v>
      </x:c>
      <x:c r="AW17" s="69" t="str">
        <x:v>Neutre</x:v>
      </x:c>
      <x:c r="AX17" s="69" t="str">
        <x:v>Résistant</x:v>
      </x:c>
      <x:c r="AY17" s="69" t="str">
        <x:v>Vulnérable</x:v>
      </x:c>
      <x:c r="AZ17" s="69" t="str">
        <x:v>Résistant</x:v>
      </x:c>
      <x:c r="BA17" s="69" t="str">
        <x:v>Neutre</x:v>
      </x:c>
      <x:c r="BB17" s="23" t="str">
        <x:f t="shared" si="1"/>
        <x:v>resistanceA_ombre vulnerableA_lumiere resistanceA_force</x:v>
      </x:c>
      <x:c r="BC17" s="75" t="str">
        <x:v>Non</x:v>
      </x:c>
      <x:c r="BD17" s="75" t="str">
        <x:v>Non</x:v>
      </x:c>
      <x:c r="BE17" s="75" t="str">
        <x:v>Non</x:v>
      </x:c>
      <x:c r="BF17" s="75" t="str">
        <x:v>Non</x:v>
      </x:c>
      <x:c r="BG17" s="23" t="str">
        <x:v>Une manifestation immatérielle ne réagit pas comme un corps physique ; l'intangibilité doit rester son principal mécanisme défensif. Résiste à Ombre, Force par affinité ou constitution. Vulnérable à Lumière, qui perturbe directement sa nature.</x:v>
      </x:c>
      <x:c r="BH17" s="23" t="str">
        <x:f t="shared" si="2"/>
        <x:v>resistanceA_ombre vulnerableA_lumiere resistanceA_force</x:v>
      </x:c>
    </x:row>
    <x:row r="18" ht="14.25" customHeight="1">
      <x:c r="A18" s="23" t="str">
        <x:v>Dragon</x:v>
      </x:c>
      <x:c r="B18" s="23" t="n">
        <x:v>1005</x:v>
      </x:c>
      <x:c r="C18" s="23" t="str">
        <x:v>dragon</x:v>
      </x:c>
      <x:c r="D18" s="23" t="str">
        <x:v>Dragon</x:v>
      </x:c>
      <x:c r="E18" s="23" t="n">
        <x:v>2</x:v>
      </x:c>
      <x:c r="F18" s="23" t="n">
        <x:v>-1</x:v>
      </x:c>
      <x:c r="G18" s="23" t="n">
        <x:v>2</x:v>
      </x:c>
      <x:c r="H18" s="23" t="n">
        <x:v>0</x:v>
      </x:c>
      <x:c r="I18" s="23" t="n">
        <x:v>1</x:v>
      </x:c>
      <x:c r="J18" s="23" t="n">
        <x:v>1</x:v>
      </x:c>
      <x:c r="K18" s="23" t="n">
        <x:v>1</x:v>
      </x:c>
      <x:c r="L18" s="23" t="n">
        <x:v>1.5</x:v>
      </x:c>
      <x:c r="M18" s="23" t="n">
        <x:v>-1</x:v>
      </x:c>
      <x:c r="N18" s="23" t="n">
        <x:v>2</x:v>
      </x:c>
      <x:c r="O18" s="23" t="n">
        <x:v>2</x:v>
      </x:c>
      <x:c r="P18" s="23" t="n">
        <x:v>1</x:v>
      </x:c>
      <x:c r="Q18" s="23" t="n">
        <x:v>2</x:v>
      </x:c>
      <x:c r="R18" s="23" t="n">
        <x:v>1</x:v>
      </x:c>
      <x:c r="S18" s="23" t="n">
        <x:v>1</x:v>
      </x:c>
      <x:c r="T18" s="23" t="n">
        <x:v>1</x:v>
      </x:c>
      <x:c r="U18" s="23" t="n">
        <x:v>1</x:v>
      </x:c>
      <x:c r="V18" s="23" t="n">
        <x:v>0</x:v>
      </x:c>
      <x:c r="W18" s="23" t="n">
        <x:v>0</x:v>
      </x:c>
      <x:c r="X18" s="23" t="n">
        <x:v>0</x:v>
      </x:c>
      <x:c r="Y18" s="23" t="n">
        <x:v>1</x:v>
      </x:c>
      <x:c r="Z18" s="23"/>
      <x:c r="AA18" s="23"/>
      <x:c r="AB18" s="23"/>
      <x:c r="AC18" s="23"/>
      <x:c r="AD18" s="23"/>
      <x:c r="AE18" s="23"/>
      <x:c r="AF18" s="23"/>
      <x:c r="AG18" s="23"/>
      <x:c r="AH18" s="23"/>
      <x:c r="AI18" s="23"/>
      <x:c r="AJ18" s="23"/>
      <x:c r="AK18" s="23" t="str">
        <x:v>écailles, sang draconique, crocs, griffes, os ou fragments de corne</x:v>
      </x:c>
      <x:c r="AL18" s="23" t="str">
        <x:v>Même abîmé, le corps draconique fournit des matériaux recherchés : écailles, sang, crocs, griffes, os ou fragments de corne.</x:v>
      </x:c>
      <x:c r="AM18" s="23" t="n">
        <x:v>23.25</x:v>
      </x:c>
      <x:c r="AN18" s="23" t="str">
        <x:v>Boss-like / rare</x:v>
      </x:c>
      <x:c r="AO18" s="23" t="str">
        <x:v>Rare / boss</x:v>
      </x:c>
      <x:c r="AP18" s="23" t="str">
        <x:v>Famille</x:v>
      </x:c>
      <x:c r="AQ18" s="23" t="str">
        <x:v>Dragon</x:v>
      </x:c>
      <x:c r="AR18" s="23"/>
      <x:c r="AS18" s="23" t="str">
        <x:v>Famille principale du bestiaire.</x:v>
      </x:c>
      <x:c r="AT18" s="69" t="str">
        <x:v>Neutre</x:v>
      </x:c>
      <x:c r="AU18" s="69" t="str">
        <x:v>Neutre</x:v>
      </x:c>
      <x:c r="AV18" s="69" t="str">
        <x:v>Neutre</x:v>
      </x:c>
      <x:c r="AW18" s="69" t="str">
        <x:v>Neutre</x:v>
      </x:c>
      <x:c r="AX18" s="69" t="str">
        <x:v>Neutre</x:v>
      </x:c>
      <x:c r="AY18" s="69" t="str">
        <x:v>Neutre</x:v>
      </x:c>
      <x:c r="AZ18" s="69" t="str">
        <x:v>Résistant</x:v>
      </x:c>
      <x:c r="BA18" s="69" t="str">
        <x:v>Neutre</x:v>
      </x:c>
      <x:c r="BB18" s="23" t="str">
        <x:f t="shared" si="1"/>
        <x:v>resistanceA_force</x:v>
      </x:c>
      <x:c r="BC18" s="75" t="str">
        <x:v>Oui</x:v>
      </x:c>
      <x:c r="BD18" s="75" t="str">
        <x:v>Non</x:v>
      </x:c>
      <x:c r="BE18" s="75" t="str">
        <x:v>Non</x:v>
      </x:c>
      <x:c r="BF18" s="75" t="str">
        <x:v>Non</x:v>
      </x:c>
      <x:c r="BG18" s="23" t="str">
        <x:v>Écailles, puissance magique et physiologie surnaturelle rendent les entailles ordinaires moins efficaces. Résiste à Force par affinité ou constitution. Sa morphologie réduit les dégâts tranchants.</x:v>
      </x:c>
      <x:c r="BH18" s="23" t="str">
        <x:f t="shared" si="2"/>
        <x:v>resistanceA_force resistanceA_tranchant</x:v>
      </x:c>
    </x:row>
    <x:row r="19" ht="14.25" customHeight="1">
      <x:c r="A19" s="23" t="str">
        <x:v>Gobelinoïde</x:v>
      </x:c>
      <x:c r="B19" s="23" t="n">
        <x:v>2001</x:v>
      </x:c>
      <x:c r="C19" s="23" t="str">
        <x:v>humanoid_goblinoid</x:v>
      </x:c>
      <x:c r="D19" s="23" t="str">
        <x:v>Humanoïde</x:v>
      </x:c>
      <x:c r="E19" s="23" t="n">
        <x:v>0</x:v>
      </x:c>
      <x:c r="F19" s="23" t="n">
        <x:v>1</x:v>
      </x:c>
      <x:c r="G19" s="23" t="n">
        <x:v>0</x:v>
      </x:c>
      <x:c r="H19" s="23" t="n">
        <x:v>0</x:v>
      </x:c>
      <x:c r="I19" s="23" t="n">
        <x:v>0</x:v>
      </x:c>
      <x:c r="J19" s="23" t="n">
        <x:v>-1</x:v>
      </x:c>
      <x:c r="K19" s="23" t="n">
        <x:v>0</x:v>
      </x:c>
      <x:c r="L19" s="23" t="n">
        <x:v>1</x:v>
      </x:c>
      <x:c r="M19" s="23" t="n">
        <x:v>1</x:v>
      </x:c>
      <x:c r="N19" s="23" t="n">
        <x:v>0.9</x:v>
      </x:c>
      <x:c r="O19" s="23" t="n">
        <x:v>0</x:v>
      </x:c>
      <x:c r="P19" s="23" t="n">
        <x:v>0</x:v>
      </x:c>
      <x:c r="Q19" s="23" t="n">
        <x:v>0</x:v>
      </x:c>
      <x:c r="R19" s="23" t="n">
        <x:v>0</x:v>
      </x:c>
      <x:c r="S19" s="23" t="n">
        <x:v>0</x:v>
      </x:c>
      <x:c r="T19" s="23" t="n">
        <x:v>0</x:v>
      </x:c>
      <x:c r="U19" s="23" t="n">
        <x:v>0</x:v>
      </x:c>
      <x:c r="V19" s="23" t="n">
        <x:v>0</x:v>
      </x:c>
      <x:c r="W19" s="23" t="n">
        <x:v>0</x:v>
      </x:c>
      <x:c r="X19" s="23" t="n">
        <x:v>0</x:v>
      </x:c>
      <x:c r="Y19" s="23" t="n">
        <x:v>0</x:v>
      </x:c>
      <x:c r="Z19" s="23"/>
      <x:c r="AA19" s="23"/>
      <x:c r="AB19" s="23"/>
      <x:c r="AC19" s="23"/>
      <x:c r="AD19" s="23"/>
      <x:c r="AE19" s="23"/>
      <x:c r="AF19" s="23"/>
      <x:c r="AG19" s="23"/>
      <x:c r="AH19" s="23"/>
      <x:c r="AI19" s="23"/>
      <x:c r="AJ19" s="23"/>
      <x:c r="AK19" s="23" t="str">
        <x:v>monnaie, équipement usé, armes simples, outils ou objets personnels</x:v>
      </x:c>
      <x:c r="AL19" s="23" t="str">
        <x:v>La créature possède des biens transportables ou récupérables : monnaie, équipement, armes simples, outils ou effets personnels. Sous-famille : Sous-famille créée pour ne pas mélanger les peuples tribaux/tactiques avec les humanoïdes civilisés.</x:v>
      </x:c>
      <x:c r="AM19" s="23" t="n">
        <x:v>1.5</x:v>
      </x:c>
      <x:c r="AN19" s="23" t="str">
        <x:v>Commun</x:v>
      </x:c>
      <x:c r="AO19" s="23" t="str">
        <x:v>Usage standard</x:v>
      </x:c>
      <x:c r="AP19" s="23" t="str">
        <x:v>Sous-famille</x:v>
      </x:c>
      <x:c r="AQ19" s="23" t="str">
        <x:v>Humanoïde</x:v>
      </x:c>
      <x:c r="AR19" s="23" t="str">
        <x:v>Gobelinoïde</x:v>
      </x:c>
      <x:c r="AS19" s="23" t="str">
        <x:v>Peuples rusés, tribaux ou militaires : gobelins, hobgobelins, bugbears.</x:v>
      </x:c>
      <x:c r="AT19" s="69" t="str">
        <x:v>Neutre</x:v>
      </x:c>
      <x:c r="AU19" s="69" t="str">
        <x:v>Neutre</x:v>
      </x:c>
      <x:c r="AV19" s="69" t="str">
        <x:v>Neutre</x:v>
      </x:c>
      <x:c r="AW19" s="69" t="str">
        <x:v>Neutre</x:v>
      </x:c>
      <x:c r="AX19" s="69" t="str">
        <x:v>Neutre</x:v>
      </x:c>
      <x:c r="AY19" s="69" t="str">
        <x:v>Neutre</x:v>
      </x:c>
      <x:c r="AZ19" s="69" t="str">
        <x:v>Neutre</x:v>
      </x:c>
      <x:c r="BA19" s="69" t="str">
        <x:v>Neutre</x:v>
      </x:c>
      <x:c r="BB19" s="23">
        <x:f t="shared" si="1"/>
      </x:c>
      <x:c r="BC19" s="75" t="str">
        <x:v>Non</x:v>
      </x:c>
      <x:c r="BD19" s="75" t="str">
        <x:v>Non</x:v>
      </x:c>
      <x:c r="BE19" s="75" t="str">
        <x:v>Non</x:v>
      </x:c>
      <x:c r="BF19" s="75" t="str">
        <x:v>Non</x:v>
      </x:c>
      <x:c r="BG19" s="23" t="str">
        <x:v>Peuples rusés, tribaux ou militaires : gobelins, hobgobelins, bugbears. Aucune résistance innée supplémentaire : son identité vient surtout de ses statistiques et capacités.</x:v>
      </x:c>
      <x:c r="BH19" s="23">
        <x:f t="shared" si="2"/>
      </x:c>
    </x:row>
    <x:row r="20" ht="14.25" customHeight="1">
      <x:c r="A20" s="23" t="str">
        <x:v>Saurien</x:v>
      </x:c>
      <x:c r="B20" s="23" t="n">
        <x:v>2002</x:v>
      </x:c>
      <x:c r="C20" s="23" t="str">
        <x:v>humanoid_saurian</x:v>
      </x:c>
      <x:c r="D20" s="23" t="str">
        <x:v>Humanoïde</x:v>
      </x:c>
      <x:c r="E20" s="23" t="n">
        <x:v>1</x:v>
      </x:c>
      <x:c r="F20" s="23" t="n">
        <x:v>1</x:v>
      </x:c>
      <x:c r="G20" s="23" t="n">
        <x:v>1</x:v>
      </x:c>
      <x:c r="H20" s="23" t="n">
        <x:v>-1</x:v>
      </x:c>
      <x:c r="I20" s="23" t="n">
        <x:v>0</x:v>
      </x:c>
      <x:c r="J20" s="23" t="n">
        <x:v>0</x:v>
      </x:c>
      <x:c r="K20" s="23" t="n">
        <x:v>1</x:v>
      </x:c>
      <x:c r="L20" s="23" t="n">
        <x:v>1.05</x:v>
      </x:c>
      <x:c r="M20" s="23" t="n">
        <x:v>1</x:v>
      </x:c>
      <x:c r="N20" s="23" t="n">
        <x:v>0.9</x:v>
      </x:c>
      <x:c r="O20" s="23" t="n">
        <x:v>0</x:v>
      </x:c>
      <x:c r="P20" s="23" t="n">
        <x:v>0</x:v>
      </x:c>
      <x:c r="Q20" s="23" t="n">
        <x:v>0</x:v>
      </x:c>
      <x:c r="R20" s="23" t="n">
        <x:v>0</x:v>
      </x:c>
      <x:c r="S20" s="23" t="n">
        <x:v>0</x:v>
      </x:c>
      <x:c r="T20" s="23" t="n">
        <x:v>0</x:v>
      </x:c>
      <x:c r="U20" s="23" t="n">
        <x:v>0</x:v>
      </x:c>
      <x:c r="V20" s="23" t="n">
        <x:v>0</x:v>
      </x:c>
      <x:c r="W20" s="23" t="n">
        <x:v>0</x:v>
      </x:c>
      <x:c r="X20" s="23" t="n">
        <x:v>0</x:v>
      </x:c>
      <x:c r="Y20" s="23" t="n">
        <x:v>0</x:v>
      </x:c>
      <x:c r="Z20" s="23"/>
      <x:c r="AA20" s="23"/>
      <x:c r="AB20" s="23"/>
      <x:c r="AC20" s="23"/>
      <x:c r="AD20" s="23"/>
      <x:c r="AE20" s="23"/>
      <x:c r="AF20" s="23"/>
      <x:c r="AG20" s="23"/>
      <x:c r="AH20" s="23"/>
      <x:c r="AI20" s="23"/>
      <x:c r="AJ20" s="23"/>
      <x:c r="AK20" s="23" t="str">
        <x:v>monnaie, équipement usé, armes simples, outils ou objets personnels</x:v>
      </x:c>
      <x:c r="AL20" s="23" t="str">
        <x:v>La créature possède des biens transportables ou récupérables : monnaie, équipement, armes simples, outils ou effets personnels. Sous-famille : Sous-famille utile pour écailles, milieu humide et équipement tribal reptilien.</x:v>
      </x:c>
      <x:c r="AM20" s="23" t="n">
        <x:v>2.25</x:v>
      </x:c>
      <x:c r="AN20" s="23" t="str">
        <x:v>Commun</x:v>
      </x:c>
      <x:c r="AO20" s="23" t="str">
        <x:v>Usage standard</x:v>
      </x:c>
      <x:c r="AP20" s="23" t="str">
        <x:v>Sous-famille</x:v>
      </x:c>
      <x:c r="AQ20" s="23" t="str">
        <x:v>Humanoïde</x:v>
      </x:c>
      <x:c r="AR20" s="23" t="str">
        <x:v>Saurien</x:v>
      </x:c>
      <x:c r="AS20" s="23" t="str">
        <x:v>Humanoïdes reptiliens : homme-lézard, kobold, peuples des marais ou écaillés.</x:v>
      </x:c>
      <x:c r="AT20" s="69" t="str">
        <x:v>Neutre</x:v>
      </x:c>
      <x:c r="AU20" s="69" t="str">
        <x:v>Neutre</x:v>
      </x:c>
      <x:c r="AV20" s="69" t="str">
        <x:v>Neutre</x:v>
      </x:c>
      <x:c r="AW20" s="69" t="str">
        <x:v>Résistant</x:v>
      </x:c>
      <x:c r="AX20" s="69" t="str">
        <x:v>Neutre</x:v>
      </x:c>
      <x:c r="AY20" s="69" t="str">
        <x:v>Neutre</x:v>
      </x:c>
      <x:c r="AZ20" s="69" t="str">
        <x:v>Neutre</x:v>
      </x:c>
      <x:c r="BA20" s="69" t="str">
        <x:v>Neutre</x:v>
      </x:c>
      <x:c r="BB20" s="23" t="str">
        <x:f t="shared" si="1"/>
        <x:v>resistanceA_terre</x:v>
      </x:c>
      <x:c r="BC20" s="75" t="str">
        <x:v>Oui</x:v>
      </x:c>
      <x:c r="BD20" s="75" t="str">
        <x:v>Non</x:v>
      </x:c>
      <x:c r="BE20" s="75" t="str">
        <x:v>Non</x:v>
      </x:c>
      <x:c r="BF20" s="75" t="str">
        <x:v>Non</x:v>
      </x:c>
      <x:c r="BG20" s="23" t="str">
        <x:v>Humanoïdes reptiliens : homme-lézard, kobold, peuples des marais ou écaillés. Résiste à Terre par affinité ou constitution. Sa morphologie réduit les dégâts tranchants.</x:v>
      </x:c>
      <x:c r="BH20" s="23" t="str">
        <x:f t="shared" si="2"/>
        <x:v>resistanceA_terre resistanceA_tranchant</x:v>
      </x:c>
    </x:row>
    <x:row r="21" ht="14.25" customHeight="1">
      <x:c r="A21" s="23" t="str">
        <x:v>Orcoïde</x:v>
      </x:c>
      <x:c r="B21" s="66" t="n">
        <x:v>2003</x:v>
      </x:c>
      <x:c r="C21" s="23" t="str">
        <x:v>humanoid_orcoid</x:v>
      </x:c>
      <x:c r="D21" s="23" t="str">
        <x:v>Humanoïde</x:v>
      </x:c>
      <x:c r="E21" s="66" t="n">
        <x:v>1</x:v>
      </x:c>
      <x:c r="F21" s="66" t="n">
        <x:v>0</x:v>
      </x:c>
      <x:c r="G21" s="66" t="n">
        <x:v>1</x:v>
      </x:c>
      <x:c r="H21" s="66" t="n">
        <x:v>-1</x:v>
      </x:c>
      <x:c r="I21" s="66" t="n">
        <x:v>0</x:v>
      </x:c>
      <x:c r="J21" s="66" t="n">
        <x:v>0</x:v>
      </x:c>
      <x:c r="K21" s="66" t="n">
        <x:v>0</x:v>
      </x:c>
      <x:c r="L21" s="66" t="n">
        <x:v>1.1</x:v>
      </x:c>
      <x:c r="M21" s="66" t="n">
        <x:v>0</x:v>
      </x:c>
      <x:c r="N21" s="68" t="n">
        <x:v>1</x:v>
      </x:c>
      <x:c r="O21" s="66" t="n">
        <x:v>0</x:v>
      </x:c>
      <x:c r="P21" s="66" t="n">
        <x:v>0</x:v>
      </x:c>
      <x:c r="Q21" s="66" t="n">
        <x:v>0</x:v>
      </x:c>
      <x:c r="R21" s="66" t="n">
        <x:v>0</x:v>
      </x:c>
      <x:c r="S21" s="66" t="n">
        <x:v>0</x:v>
      </x:c>
      <x:c r="T21" s="66" t="n">
        <x:v>0</x:v>
      </x:c>
      <x:c r="U21" s="66" t="n">
        <x:v>0</x:v>
      </x:c>
      <x:c r="V21" s="66" t="n">
        <x:v>0</x:v>
      </x:c>
      <x:c r="W21" s="66" t="n">
        <x:v>0</x:v>
      </x:c>
      <x:c r="X21" s="66" t="n">
        <x:v>0</x:v>
      </x:c>
      <x:c r="Y21" s="66" t="n">
        <x:v>0</x:v>
      </x:c>
      <x:c r="Z21" s="23"/>
      <x:c r="AA21" s="23"/>
      <x:c r="AB21" s="23"/>
      <x:c r="AC21" s="23"/>
      <x:c r="AD21" s="23"/>
      <x:c r="AE21" s="23"/>
      <x:c r="AF21" s="23"/>
      <x:c r="AG21" s="23"/>
      <x:c r="AH21" s="23"/>
      <x:c r="AI21" s="23"/>
      <x:c r="AJ21" s="23"/>
      <x:c r="AK21" s="23" t="str">
        <x:v>monnaie, équipement usé, armes simples, outils ou objets personnels</x:v>
      </x:c>
      <x:c r="AL21" s="23" t="str">
        <x:v>La créature possède des biens transportables ou récupérables : monnaie, équipement, armes simples, outils ou effets personnels. Sous-famille : Sous-famille créée pour traiter les orcs comme humanoïdes monstrueux, plus physiques que civilisés.</x:v>
      </x:c>
      <x:c r="AM21" s="66" t="n">
        <x:v>2.5</x:v>
      </x:c>
      <x:c r="AN21" s="23" t="str">
        <x:v>Commun</x:v>
      </x:c>
      <x:c r="AO21" s="23" t="str">
        <x:v>Usage standard</x:v>
      </x:c>
      <x:c r="AP21" s="23" t="str">
        <x:v>Sous-famille</x:v>
      </x:c>
      <x:c r="AQ21" s="23" t="str">
        <x:v>Humanoïde</x:v>
      </x:c>
      <x:c r="AR21" s="23" t="str">
        <x:v>Orcoïde</x:v>
      </x:c>
      <x:c r="AS21" s="23" t="str">
        <x:v>Humanoïdes brutaux et physiques : orcs, demi-orcs sauvages, tribus guerrières.</x:v>
      </x:c>
      <x:c r="AT21" s="69" t="str">
        <x:v>Neutre</x:v>
      </x:c>
      <x:c r="AU21" s="69" t="str">
        <x:v>Neutre</x:v>
      </x:c>
      <x:c r="AV21" s="69" t="str">
        <x:v>Neutre</x:v>
      </x:c>
      <x:c r="AW21" s="69" t="str">
        <x:v>Neutre</x:v>
      </x:c>
      <x:c r="AX21" s="69" t="str">
        <x:v>Neutre</x:v>
      </x:c>
      <x:c r="AY21" s="69" t="str">
        <x:v>Neutre</x:v>
      </x:c>
      <x:c r="AZ21" s="69" t="str">
        <x:v>Neutre</x:v>
      </x:c>
      <x:c r="BA21" s="69" t="str">
        <x:v>Neutre</x:v>
      </x:c>
      <x:c r="BB21" s="23">
        <x:f t="shared" si="1"/>
      </x:c>
      <x:c r="BC21" s="75" t="str">
        <x:v>Non</x:v>
      </x:c>
      <x:c r="BD21" s="75" t="str">
        <x:v>Non</x:v>
      </x:c>
      <x:c r="BE21" s="75" t="str">
        <x:v>Oui</x:v>
      </x:c>
      <x:c r="BF21" s="75" t="str">
        <x:v>Non</x:v>
      </x:c>
      <x:c r="BG21" s="23" t="str">
        <x:v>Humanoïdes brutaux et physiques : orcs, demi-orcs sauvages, tribus guerrières. Sa morphologie réduit les dégâts contondants.</x:v>
      </x:c>
      <x:c r="BH21" s="23" t="str">
        <x:f t="shared" si="2"/>
        <x:v>resistanceA_contondant</x:v>
      </x:c>
    </x:row>
    <x:row r="22" ht="14.25" customHeight="1">
      <x:c r="A22" s="23" t="str">
        <x:v>Squelette</x:v>
      </x:c>
      <x:c r="B22" s="66" t="n">
        <x:v>2010</x:v>
      </x:c>
      <x:c r="C22" s="23" t="str">
        <x:v>undead_skeleton</x:v>
      </x:c>
      <x:c r="D22" s="23" t="str">
        <x:v>Mort-vivant</x:v>
      </x:c>
      <x:c r="E22" s="66" t="n">
        <x:v>0</x:v>
      </x:c>
      <x:c r="F22" s="66" t="n">
        <x:v>1</x:v>
      </x:c>
      <x:c r="G22" s="66" t="n">
        <x:v>0</x:v>
      </x:c>
      <x:c r="H22" s="66" t="n">
        <x:v>-2</x:v>
      </x:c>
      <x:c r="I22" s="66" t="n">
        <x:v>0</x:v>
      </x:c>
      <x:c r="J22" s="66" t="n">
        <x:v>-2</x:v>
      </x:c>
      <x:c r="K22" s="66" t="n">
        <x:v>1</x:v>
      </x:c>
      <x:c r="L22" s="66" t="n">
        <x:v>0.9</x:v>
      </x:c>
      <x:c r="M22" s="66" t="n">
        <x:v>1</x:v>
      </x:c>
      <x:c r="N22" s="68" t="n">
        <x:v>0.8</x:v>
      </x:c>
      <x:c r="O22" s="66" t="n">
        <x:v>1</x:v>
      </x:c>
      <x:c r="P22" s="66" t="n">
        <x:v>0</x:v>
      </x:c>
      <x:c r="Q22" s="66" t="n">
        <x:v>2</x:v>
      </x:c>
      <x:c r="R22" s="66" t="n">
        <x:v>0</x:v>
      </x:c>
      <x:c r="S22" s="66" t="n">
        <x:v>0</x:v>
      </x:c>
      <x:c r="T22" s="66" t="n">
        <x:v>0</x:v>
      </x:c>
      <x:c r="U22" s="66" t="n">
        <x:v>0</x:v>
      </x:c>
      <x:c r="V22" s="66" t="n">
        <x:v>0</x:v>
      </x:c>
      <x:c r="W22" s="66" t="n">
        <x:v>0</x:v>
      </x:c>
      <x:c r="X22" s="66" t="n">
        <x:v>0</x:v>
      </x:c>
      <x:c r="Y22" s="66" t="n">
        <x:v>0</x:v>
      </x:c>
      <x:c r="Z22" s="23"/>
      <x:c r="AA22" s="23"/>
      <x:c r="AB22" s="23"/>
      <x:c r="AC22" s="23"/>
      <x:c r="AD22" s="23"/>
      <x:c r="AE22" s="23"/>
      <x:c r="AF22" s="23"/>
      <x:c r="AG22" s="23"/>
      <x:c r="AH22" s="23" t="str">
        <x:v>Oui</x:v>
      </x:c>
      <x:c r="AI22" s="23" t="str">
        <x:v>Oui</x:v>
      </x:c>
      <x:c r="AJ22" s="23"/>
      <x:c r="AK22" s="23" t="str">
        <x:v>ossements, bijoux ternis, poussière funéraire, reliques abîmées ou traces nécrotiques</x:v>
      </x:c>
      <x:c r="AL22" s="23" t="str">
        <x:v>Les restes conservent des traces de leur ancienne existence : ossements, bijoux ternis, équipement abîmé ou énergie nécrotique. Sous-famille : Sous-famille créée car un mort-vivant osseux change les résistances et le loot.</x:v>
      </x:c>
      <x:c r="AM22" s="66" t="n">
        <x:v>2.5</x:v>
      </x:c>
      <x:c r="AN22" s="23" t="str">
        <x:v>Commun</x:v>
      </x:c>
      <x:c r="AO22" s="23" t="str">
        <x:v>Usage standard</x:v>
      </x:c>
      <x:c r="AP22" s="23" t="str">
        <x:v>Sous-famille</x:v>
      </x:c>
      <x:c r="AQ22" s="23" t="str">
        <x:v>Mort-vivant</x:v>
      </x:c>
      <x:c r="AR22" s="23" t="str">
        <x:v>Squelette</x:v>
      </x:c>
      <x:c r="AS22" s="23" t="str">
        <x:v>Mort-vivant osseux : loot et résistances différents des zombies.</x:v>
      </x:c>
      <x:c r="AT22" s="69" t="str">
        <x:v>Neutre</x:v>
      </x:c>
      <x:c r="AU22" s="69" t="str">
        <x:v>Neutre</x:v>
      </x:c>
      <x:c r="AV22" s="69" t="str">
        <x:v>Neutre</x:v>
      </x:c>
      <x:c r="AW22" s="69" t="str">
        <x:v>Neutre</x:v>
      </x:c>
      <x:c r="AX22" s="69" t="str">
        <x:v>Résistant</x:v>
      </x:c>
      <x:c r="AY22" s="69" t="str">
        <x:v>Vulnérable</x:v>
      </x:c>
      <x:c r="AZ22" s="69" t="str">
        <x:v>Neutre</x:v>
      </x:c>
      <x:c r="BA22" s="69" t="str">
        <x:v>Résistant</x:v>
      </x:c>
      <x:c r="BB22" s="23" t="str">
        <x:f t="shared" si="1"/>
        <x:v>resistanceA_ombre vulnerableA_lumiere</x:v>
      </x:c>
      <x:c r="BC22" s="75" t="str">
        <x:v>Non</x:v>
      </x:c>
      <x:c r="BD22" s="75" t="str">
        <x:v>Oui</x:v>
      </x:c>
      <x:c r="BE22" s="75" t="str">
        <x:v>Non</x:v>
      </x:c>
      <x:c r="BF22" s="75" t="str">
        <x:v>Non</x:v>
      </x:c>
      <x:c r="BG22" s="23" t="str">
        <x:v>Mort-vivant osseux : loot et résistances différents des zombies. Résiste à Ombre par affinité ou constitution. Vulnérable à Lumière, qui perturbe directement sa nature. Sa morphologie réduit les dégâts perçants.</x:v>
      </x:c>
      <x:c r="BH22" s="23" t="str">
        <x:f t="shared" si="2"/>
        <x:v>resistanceA_ombre vulnerableA_lumiere resistanceA_percant</x:v>
      </x:c>
    </x:row>
    <x:row r="23" ht="14.25" customHeight="1">
      <x:c r="A23" s="23" t="str">
        <x:v>Charogne</x:v>
      </x:c>
      <x:c r="B23" s="66" t="n">
        <x:v>2011</x:v>
      </x:c>
      <x:c r="C23" s="23" t="str">
        <x:v>undead_carrion</x:v>
      </x:c>
      <x:c r="D23" s="23" t="str">
        <x:v>Mort-vivant</x:v>
      </x:c>
      <x:c r="E23" s="66" t="n">
        <x:v>1</x:v>
      </x:c>
      <x:c r="F23" s="66" t="n">
        <x:v>-1</x:v>
      </x:c>
      <x:c r="G23" s="66" t="n">
        <x:v>2</x:v>
      </x:c>
      <x:c r="H23" s="66" t="n">
        <x:v>-3</x:v>
      </x:c>
      <x:c r="I23" s="66" t="n">
        <x:v>0</x:v>
      </x:c>
      <x:c r="J23" s="66" t="n">
        <x:v>-3</x:v>
      </x:c>
      <x:c r="K23" s="66" t="n">
        <x:v>0</x:v>
      </x:c>
      <x:c r="L23" s="66" t="n">
        <x:v>1.2</x:v>
      </x:c>
      <x:c r="M23" s="66" t="n">
        <x:v>-1</x:v>
      </x:c>
      <x:c r="N23" s="68" t="n">
        <x:v>0.8</x:v>
      </x:c>
      <x:c r="O23" s="66" t="n">
        <x:v>1</x:v>
      </x:c>
      <x:c r="P23" s="66" t="n">
        <x:v>0</x:v>
      </x:c>
      <x:c r="Q23" s="66" t="n">
        <x:v>1</x:v>
      </x:c>
      <x:c r="R23" s="66" t="n">
        <x:v>0</x:v>
      </x:c>
      <x:c r="S23" s="66" t="n">
        <x:v>0</x:v>
      </x:c>
      <x:c r="T23" s="66" t="n">
        <x:v>0</x:v>
      </x:c>
      <x:c r="U23" s="66" t="n">
        <x:v>0</x:v>
      </x:c>
      <x:c r="V23" s="66" t="n">
        <x:v>0</x:v>
      </x:c>
      <x:c r="W23" s="66" t="n">
        <x:v>2</x:v>
      </x:c>
      <x:c r="X23" s="66" t="n">
        <x:v>2</x:v>
      </x:c>
      <x:c r="Y23" s="66" t="n">
        <x:v>0</x:v>
      </x:c>
      <x:c r="Z23" s="23"/>
      <x:c r="AA23" s="23"/>
      <x:c r="AB23" s="23"/>
      <x:c r="AC23" s="23"/>
      <x:c r="AD23" s="23"/>
      <x:c r="AE23" s="23"/>
      <x:c r="AF23" s="23"/>
      <x:c r="AG23" s="23"/>
      <x:c r="AH23" s="23" t="str">
        <x:v>Oui</x:v>
      </x:c>
      <x:c r="AI23" s="23" t="str">
        <x:v>Oui</x:v>
      </x:c>
      <x:c r="AJ23" s="23"/>
      <x:c r="AK23" s="23" t="str">
        <x:v>ossements, bijoux ternis, poussière funéraire, reliques abîmées ou traces nécrotiques</x:v>
      </x:c>
      <x:c r="AL23" s="23" t="str">
        <x:v>Les restes conservent des traces de leur ancienne existence : ossements, bijoux ternis, équipement abîmé ou énergie nécrotique. Sous-famille : Sous-famille créée pour les corps putrides, maladies et effets de contamination.</x:v>
      </x:c>
      <x:c r="AM23" s="66" t="n">
        <x:v>3.25</x:v>
      </x:c>
      <x:c r="AN23" s="23" t="str">
        <x:v>Commun</x:v>
      </x:c>
      <x:c r="AO23" s="23" t="str">
        <x:v>Usage standard</x:v>
      </x:c>
      <x:c r="AP23" s="23" t="str">
        <x:v>Sous-famille</x:v>
      </x:c>
      <x:c r="AQ23" s="23" t="str">
        <x:v>Mort-vivant</x:v>
      </x:c>
      <x:c r="AR23" s="23" t="str">
        <x:v>Charogne</x:v>
      </x:c>
      <x:c r="AS23" s="23" t="str">
        <x:v>Mort-vivant de chair morte : putréfaction, maladie, goules, zombies.</x:v>
      </x:c>
      <x:c r="AT23" s="69" t="str">
        <x:v>Neutre</x:v>
      </x:c>
      <x:c r="AU23" s="69" t="str">
        <x:v>Neutre</x:v>
      </x:c>
      <x:c r="AV23" s="69" t="str">
        <x:v>Neutre</x:v>
      </x:c>
      <x:c r="AW23" s="69" t="str">
        <x:v>Neutre</x:v>
      </x:c>
      <x:c r="AX23" s="69" t="str">
        <x:v>Résistant</x:v>
      </x:c>
      <x:c r="AY23" s="69" t="str">
        <x:v>Vulnérable</x:v>
      </x:c>
      <x:c r="AZ23" s="69" t="str">
        <x:v>Neutre</x:v>
      </x:c>
      <x:c r="BA23" s="69" t="str">
        <x:v>Résistant</x:v>
      </x:c>
      <x:c r="BB23" s="23" t="str">
        <x:f t="shared" si="1"/>
        <x:v>resistanceA_ombre vulnerableA_lumiere</x:v>
      </x:c>
      <x:c r="BC23" s="75" t="str">
        <x:v>Non</x:v>
      </x:c>
      <x:c r="BD23" s="75" t="str">
        <x:v>Oui</x:v>
      </x:c>
      <x:c r="BE23" s="75" t="str">
        <x:v>Non</x:v>
      </x:c>
      <x:c r="BF23" s="75" t="str">
        <x:v>Non</x:v>
      </x:c>
      <x:c r="BG23" s="23" t="str">
        <x:v>Mort-vivant de chair morte : putréfaction, maladie, goules, zombies. Résiste à Ombre par affinité ou constitution. Vulnérable à Lumière, qui perturbe directement sa nature. Sa morphologie réduit les dégâts perçants.</x:v>
      </x:c>
      <x:c r="BH23" s="23" t="str">
        <x:f t="shared" si="2"/>
        <x:v>resistanceA_ombre vulnerableA_lumiere resistanceA_percant</x:v>
      </x:c>
    </x:row>
    <x:row r="24" ht="14.25" customHeight="1">
      <x:c r="A24" s="23" t="str">
        <x:v>Prédateur</x:v>
      </x:c>
      <x:c r="B24" s="66" t="n">
        <x:v>2020</x:v>
      </x:c>
      <x:c r="C24" s="23" t="str">
        <x:v>beast_predator</x:v>
      </x:c>
      <x:c r="D24" s="23" t="str">
        <x:v>Bête</x:v>
      </x:c>
      <x:c r="E24" s="66" t="n">
        <x:v>1</x:v>
      </x:c>
      <x:c r="F24" s="66" t="n">
        <x:v>1</x:v>
      </x:c>
      <x:c r="G24" s="66" t="n">
        <x:v>0</x:v>
      </x:c>
      <x:c r="H24" s="66" t="n">
        <x:v>-2</x:v>
      </x:c>
      <x:c r="I24" s="66" t="n">
        <x:v>1</x:v>
      </x:c>
      <x:c r="J24" s="66" t="n">
        <x:v>0</x:v>
      </x:c>
      <x:c r="K24" s="66" t="n">
        <x:v>0</x:v>
      </x:c>
      <x:c r="L24" s="66" t="n">
        <x:v>1</x:v>
      </x:c>
      <x:c r="M24" s="66" t="n">
        <x:v>1</x:v>
      </x:c>
      <x:c r="N24" s="68" t="n">
        <x:v>0.75</x:v>
      </x:c>
      <x:c r="O24" s="66" t="n">
        <x:v>0</x:v>
      </x:c>
      <x:c r="P24" s="66" t="n">
        <x:v>0</x:v>
      </x:c>
      <x:c r="Q24" s="66" t="n">
        <x:v>0</x:v>
      </x:c>
      <x:c r="R24" s="66" t="n">
        <x:v>0</x:v>
      </x:c>
      <x:c r="S24" s="66" t="n">
        <x:v>0</x:v>
      </x:c>
      <x:c r="T24" s="66" t="n">
        <x:v>0</x:v>
      </x:c>
      <x:c r="U24" s="66" t="n">
        <x:v>0</x:v>
      </x:c>
      <x:c r="V24" s="66" t="n">
        <x:v>0</x:v>
      </x:c>
      <x:c r="W24" s="66" t="n">
        <x:v>0</x:v>
      </x:c>
      <x:c r="X24" s="66" t="n">
        <x:v>0</x:v>
      </x:c>
      <x:c r="Y24" s="66" t="n">
        <x:v>0</x:v>
      </x:c>
      <x:c r="Z24" s="23"/>
      <x:c r="AA24" s="23"/>
      <x:c r="AB24" s="23"/>
      <x:c r="AC24" s="23"/>
      <x:c r="AD24" s="23"/>
      <x:c r="AE24" s="23"/>
      <x:c r="AF24" s="23"/>
      <x:c r="AG24" s="23"/>
      <x:c r="AH24" s="23"/>
      <x:c r="AI24" s="23"/>
      <x:c r="AJ24" s="23"/>
      <x:c r="AK24" s="23" t="str">
        <x:v>peaux, crocs, griffes, os, graisses ou fourrures exploitables</x:v>
      </x:c>
      <x:c r="AL24" s="23" t="str">
        <x:v>Les personnages peuvent dépecer la créature pour récupérer des peaux, crocs, griffes, os ou graisses exploitables. Sous-famille : Sous-famille utile pour les bêtes de chasse classiques.</x:v>
      </x:c>
      <x:c r="AM24" s="66" t="n">
        <x:v>3.5</x:v>
      </x:c>
      <x:c r="AN24" s="23" t="str">
        <x:v>Commun</x:v>
      </x:c>
      <x:c r="AO24" s="23" t="str">
        <x:v>Usage standard</x:v>
      </x:c>
      <x:c r="AP24" s="23" t="str">
        <x:v>Sous-famille</x:v>
      </x:c>
      <x:c r="AQ24" s="23" t="str">
        <x:v>Bête</x:v>
      </x:c>
      <x:c r="AR24" s="23" t="str">
        <x:v>Prédateur</x:v>
      </x:c>
      <x:c r="AS24" s="23" t="str">
        <x:v>Bête de chasse classique : loup, félin, ours, panthère.</x:v>
      </x:c>
      <x:c r="AT24" s="69" t="str">
        <x:v>Neutre</x:v>
      </x:c>
      <x:c r="AU24" s="69" t="str">
        <x:v>Neutre</x:v>
      </x:c>
      <x:c r="AV24" s="69" t="str">
        <x:v>Neutre</x:v>
      </x:c>
      <x:c r="AW24" s="69" t="str">
        <x:v>Neutre</x:v>
      </x:c>
      <x:c r="AX24" s="69" t="str">
        <x:v>Neutre</x:v>
      </x:c>
      <x:c r="AY24" s="69" t="str">
        <x:v>Neutre</x:v>
      </x:c>
      <x:c r="AZ24" s="69" t="str">
        <x:v>Neutre</x:v>
      </x:c>
      <x:c r="BA24" s="69" t="str">
        <x:v>Neutre</x:v>
      </x:c>
      <x:c r="BB24" s="23">
        <x:f t="shared" si="1"/>
      </x:c>
      <x:c r="BC24" s="75" t="str">
        <x:v>Non</x:v>
      </x:c>
      <x:c r="BD24" s="75" t="str">
        <x:v>Non</x:v>
      </x:c>
      <x:c r="BE24" s="75" t="str">
        <x:v>Non</x:v>
      </x:c>
      <x:c r="BF24" s="75" t="str">
        <x:v>Non</x:v>
      </x:c>
      <x:c r="BG24" s="23" t="str">
        <x:v>Bête de chasse classique : loup, félin, ours, panthère. Aucune résistance innée supplémentaire : son identité vient surtout de ses statistiques et capacités.</x:v>
      </x:c>
      <x:c r="BH24" s="23">
        <x:f t="shared" si="2"/>
      </x:c>
    </x:row>
    <x:row r="25" ht="14.25" customHeight="1">
      <x:c r="A25" s="23" t="str">
        <x:v>Volante</x:v>
      </x:c>
      <x:c r="B25" s="66" t="n">
        <x:v>2021</x:v>
      </x:c>
      <x:c r="C25" s="23" t="str">
        <x:v>beast_flying</x:v>
      </x:c>
      <x:c r="D25" s="23" t="str">
        <x:v>Bête</x:v>
      </x:c>
      <x:c r="E25" s="66" t="n">
        <x:v>0</x:v>
      </x:c>
      <x:c r="F25" s="66" t="n">
        <x:v>2</x:v>
      </x:c>
      <x:c r="G25" s="66" t="n">
        <x:v>0</x:v>
      </x:c>
      <x:c r="H25" s="66" t="n">
        <x:v>-2</x:v>
      </x:c>
      <x:c r="I25" s="66" t="n">
        <x:v>1</x:v>
      </x:c>
      <x:c r="J25" s="66" t="n">
        <x:v>0</x:v>
      </x:c>
      <x:c r="K25" s="66" t="n">
        <x:v>0</x:v>
      </x:c>
      <x:c r="L25" s="66" t="n">
        <x:v>0.85</x:v>
      </x:c>
      <x:c r="M25" s="66" t="n">
        <x:v>2</x:v>
      </x:c>
      <x:c r="N25" s="68" t="n">
        <x:v>0.75</x:v>
      </x:c>
      <x:c r="O25" s="66" t="n">
        <x:v>0</x:v>
      </x:c>
      <x:c r="P25" s="66" t="n">
        <x:v>0</x:v>
      </x:c>
      <x:c r="Q25" s="66" t="n">
        <x:v>0</x:v>
      </x:c>
      <x:c r="R25" s="66" t="n">
        <x:v>0</x:v>
      </x:c>
      <x:c r="S25" s="66" t="n">
        <x:v>0</x:v>
      </x:c>
      <x:c r="T25" s="66" t="n">
        <x:v>0</x:v>
      </x:c>
      <x:c r="U25" s="66" t="n">
        <x:v>0</x:v>
      </x:c>
      <x:c r="V25" s="66" t="n">
        <x:v>0</x:v>
      </x:c>
      <x:c r="W25" s="66" t="n">
        <x:v>0</x:v>
      </x:c>
      <x:c r="X25" s="66" t="n">
        <x:v>0</x:v>
      </x:c>
      <x:c r="Y25" s="66" t="n">
        <x:v>0</x:v>
      </x:c>
      <x:c r="Z25" s="23"/>
      <x:c r="AA25" s="23"/>
      <x:c r="AB25" s="23"/>
      <x:c r="AC25" s="23"/>
      <x:c r="AD25" s="23"/>
      <x:c r="AE25" s="23"/>
      <x:c r="AF25" s="23"/>
      <x:c r="AG25" s="23"/>
      <x:c r="AH25" s="23"/>
      <x:c r="AI25" s="23"/>
      <x:c r="AJ25" s="23"/>
      <x:c r="AK25" s="23" t="str">
        <x:v>peaux, crocs, griffes, os, graisses ou fourrures exploitables</x:v>
      </x:c>
      <x:c r="AL25" s="23" t="str">
        <x:v>Les personnages peuvent dépecer la créature pour récupérer des peaux, crocs, griffes, os ou graisses exploitables. Sous-famille : Sous-famille créée car la mobilité aérienne change la rencontre.</x:v>
      </x:c>
      <x:c r="AM25" s="66" t="n">
        <x:v>3.75</x:v>
      </x:c>
      <x:c r="AN25" s="23" t="str">
        <x:v>Commun</x:v>
      </x:c>
      <x:c r="AO25" s="23" t="str">
        <x:v>Usage standard</x:v>
      </x:c>
      <x:c r="AP25" s="23" t="str">
        <x:v>Sous-famille</x:v>
      </x:c>
      <x:c r="AQ25" s="23" t="str">
        <x:v>Bête</x:v>
      </x:c>
      <x:c r="AR25" s="23" t="str">
        <x:v>Volante</x:v>
      </x:c>
      <x:c r="AS25" s="23" t="str">
        <x:v>Bête avec avantage tactique de mobilité aérienne.</x:v>
      </x:c>
      <x:c r="AT25" s="69" t="str">
        <x:v>Neutre</x:v>
      </x:c>
      <x:c r="AU25" s="69" t="str">
        <x:v>Résistant</x:v>
      </x:c>
      <x:c r="AV25" s="69" t="str">
        <x:v>Neutre</x:v>
      </x:c>
      <x:c r="AW25" s="69" t="str">
        <x:v>Neutre</x:v>
      </x:c>
      <x:c r="AX25" s="69" t="str">
        <x:v>Neutre</x:v>
      </x:c>
      <x:c r="AY25" s="69" t="str">
        <x:v>Neutre</x:v>
      </x:c>
      <x:c r="AZ25" s="69" t="str">
        <x:v>Neutre</x:v>
      </x:c>
      <x:c r="BA25" s="69" t="str">
        <x:v>Neutre</x:v>
      </x:c>
      <x:c r="BB25" s="23" t="str">
        <x:f t="shared" si="1"/>
        <x:v>resistanceA_air</x:v>
      </x:c>
      <x:c r="BC25" s="75" t="str">
        <x:v>Non</x:v>
      </x:c>
      <x:c r="BD25" s="75" t="str">
        <x:v>Non</x:v>
      </x:c>
      <x:c r="BE25" s="75" t="str">
        <x:v>Non</x:v>
      </x:c>
      <x:c r="BF25" s="75" t="str">
        <x:v>Non</x:v>
      </x:c>
      <x:c r="BG25" s="23" t="str">
        <x:v>Bête avec avantage tactique de mobilité aérienne. Résiste à Air par affinité ou constitution.</x:v>
      </x:c>
      <x:c r="BH25" s="23" t="str">
        <x:f t="shared" si="2"/>
        <x:v>resistanceA_air</x:v>
      </x:c>
    </x:row>
    <x:row r="26" ht="14.25" customHeight="1">
      <x:c r="A26" s="23" t="str">
        <x:v>Massive</x:v>
      </x:c>
      <x:c r="B26" s="66" t="n">
        <x:v>2022</x:v>
      </x:c>
      <x:c r="C26" s="23" t="str">
        <x:v>beast_massive</x:v>
      </x:c>
      <x:c r="D26" s="23" t="str">
        <x:v>Bête</x:v>
      </x:c>
      <x:c r="E26" s="66" t="n">
        <x:v>2</x:v>
      </x:c>
      <x:c r="F26" s="66" t="n">
        <x:v>0</x:v>
      </x:c>
      <x:c r="G26" s="66" t="n">
        <x:v>2</x:v>
      </x:c>
      <x:c r="H26" s="66" t="n">
        <x:v>-3</x:v>
      </x:c>
      <x:c r="I26" s="66" t="n">
        <x:v>1</x:v>
      </x:c>
      <x:c r="J26" s="66" t="n">
        <x:v>0</x:v>
      </x:c>
      <x:c r="K26" s="66" t="n">
        <x:v>0</x:v>
      </x:c>
      <x:c r="L26" s="66" t="n">
        <x:v>1.35</x:v>
      </x:c>
      <x:c r="M26" s="66" t="n">
        <x:v>0</x:v>
      </x:c>
      <x:c r="N26" s="68" t="n">
        <x:v>0.9</x:v>
      </x:c>
      <x:c r="O26" s="66" t="n">
        <x:v>0</x:v>
      </x:c>
      <x:c r="P26" s="66" t="n">
        <x:v>0</x:v>
      </x:c>
      <x:c r="Q26" s="66" t="n">
        <x:v>0</x:v>
      </x:c>
      <x:c r="R26" s="66" t="n">
        <x:v>0</x:v>
      </x:c>
      <x:c r="S26" s="66" t="n">
        <x:v>0</x:v>
      </x:c>
      <x:c r="T26" s="66" t="n">
        <x:v>0</x:v>
      </x:c>
      <x:c r="U26" s="66" t="n">
        <x:v>0</x:v>
      </x:c>
      <x:c r="V26" s="66" t="n">
        <x:v>0</x:v>
      </x:c>
      <x:c r="W26" s="66" t="n">
        <x:v>0</x:v>
      </x:c>
      <x:c r="X26" s="66" t="n">
        <x:v>0</x:v>
      </x:c>
      <x:c r="Y26" s="66" t="n">
        <x:v>0</x:v>
      </x:c>
      <x:c r="Z26" s="23"/>
      <x:c r="AA26" s="23"/>
      <x:c r="AB26" s="23"/>
      <x:c r="AC26" s="23"/>
      <x:c r="AD26" s="23"/>
      <x:c r="AE26" s="23"/>
      <x:c r="AF26" s="23"/>
      <x:c r="AG26" s="23"/>
      <x:c r="AH26" s="23"/>
      <x:c r="AI26" s="23"/>
      <x:c r="AJ26" s="23"/>
      <x:c r="AK26" s="23" t="str">
        <x:v>peaux, crocs, griffes, os, graisses ou fourrures exploitables</x:v>
      </x:c>
      <x:c r="AL26" s="23" t="str">
        <x:v>Les personnages peuvent dépecer la créature pour récupérer des peaux, crocs, griffes, os ou graisses exploitables. Sous-famille : Sous-famille créée car masse et endurance augmentent la menace.</x:v>
      </x:c>
      <x:c r="AM26" s="66" t="n">
        <x:v>4</x:v>
      </x:c>
      <x:c r="AN26" s="23" t="str">
        <x:v>Renforcé</x:v>
      </x:c>
      <x:c r="AO26" s="23" t="str">
        <x:v>Usage fréquent</x:v>
      </x:c>
      <x:c r="AP26" s="23" t="str">
        <x:v>Sous-famille</x:v>
      </x:c>
      <x:c r="AQ26" s="23" t="str">
        <x:v>Bête</x:v>
      </x:c>
      <x:c r="AR26" s="23" t="str">
        <x:v>Massive</x:v>
      </x:c>
      <x:c r="AS26" s="23" t="str">
        <x:v>Bête très lourde : meilleure force, constitution ou PV.</x:v>
      </x:c>
      <x:c r="AT26" s="69" t="str">
        <x:v>Neutre</x:v>
      </x:c>
      <x:c r="AU26" s="69" t="str">
        <x:v>Neutre</x:v>
      </x:c>
      <x:c r="AV26" s="69" t="str">
        <x:v>Neutre</x:v>
      </x:c>
      <x:c r="AW26" s="69" t="str">
        <x:v>Résistant</x:v>
      </x:c>
      <x:c r="AX26" s="69" t="str">
        <x:v>Neutre</x:v>
      </x:c>
      <x:c r="AY26" s="69" t="str">
        <x:v>Neutre</x:v>
      </x:c>
      <x:c r="AZ26" s="69" t="str">
        <x:v>Neutre</x:v>
      </x:c>
      <x:c r="BA26" s="69" t="str">
        <x:v>Neutre</x:v>
      </x:c>
      <x:c r="BB26" s="23" t="str">
        <x:f t="shared" si="1"/>
        <x:v>resistanceA_terre</x:v>
      </x:c>
      <x:c r="BC26" s="75" t="str">
        <x:v>Non</x:v>
      </x:c>
      <x:c r="BD26" s="75" t="str">
        <x:v>Non</x:v>
      </x:c>
      <x:c r="BE26" s="75" t="str">
        <x:v>Oui</x:v>
      </x:c>
      <x:c r="BF26" s="75" t="str">
        <x:v>Non</x:v>
      </x:c>
      <x:c r="BG26" s="23" t="str">
        <x:v>Bête très lourde : meilleure force, constitution ou PV. Résiste à Terre par affinité ou constitution. Sa morphologie réduit les dégâts contondants.</x:v>
      </x:c>
      <x:c r="BH26" s="23" t="str">
        <x:f t="shared" si="2"/>
        <x:v>resistanceA_terre resistanceA_contondant</x:v>
      </x:c>
    </x:row>
    <x:row r="27" ht="14.25" customHeight="1">
      <x:c r="A27" s="23" t="str">
        <x:v>Insectoïde</x:v>
      </x:c>
      <x:c r="B27" s="66" t="n">
        <x:v>2030</x:v>
      </x:c>
      <x:c r="C27" s="23" t="str">
        <x:v>vermin_insectoid</x:v>
      </x:c>
      <x:c r="D27" s="23" t="str">
        <x:v>Vermine</x:v>
      </x:c>
      <x:c r="E27" s="66" t="n">
        <x:v>0</x:v>
      </x:c>
      <x:c r="F27" s="66" t="n">
        <x:v>1</x:v>
      </x:c>
      <x:c r="G27" s="66" t="n">
        <x:v>1</x:v>
      </x:c>
      <x:c r="H27" s="66" t="n">
        <x:v>-3</x:v>
      </x:c>
      <x:c r="I27" s="66" t="n">
        <x:v>0</x:v>
      </x:c>
      <x:c r="J27" s="66" t="n">
        <x:v>-2</x:v>
      </x:c>
      <x:c r="K27" s="66" t="n">
        <x:v>1</x:v>
      </x:c>
      <x:c r="L27" s="66" t="n">
        <x:v>1</x:v>
      </x:c>
      <x:c r="M27" s="66" t="n">
        <x:v>0</x:v>
      </x:c>
      <x:c r="N27" s="68" t="n">
        <x:v>0.5</x:v>
      </x:c>
      <x:c r="O27" s="66" t="n">
        <x:v>0</x:v>
      </x:c>
      <x:c r="P27" s="66" t="n">
        <x:v>1</x:v>
      </x:c>
      <x:c r="Q27" s="66" t="n">
        <x:v>0</x:v>
      </x:c>
      <x:c r="R27" s="66" t="n">
        <x:v>0</x:v>
      </x:c>
      <x:c r="S27" s="66" t="n">
        <x:v>0</x:v>
      </x:c>
      <x:c r="T27" s="66" t="n">
        <x:v>0</x:v>
      </x:c>
      <x:c r="U27" s="66" t="n">
        <x:v>0</x:v>
      </x:c>
      <x:c r="V27" s="66" t="n">
        <x:v>0</x:v>
      </x:c>
      <x:c r="W27" s="66" t="n">
        <x:v>0</x:v>
      </x:c>
      <x:c r="X27" s="66" t="n">
        <x:v>1</x:v>
      </x:c>
      <x:c r="Y27" s="66" t="n">
        <x:v>0</x:v>
      </x:c>
      <x:c r="Z27" s="23"/>
      <x:c r="AA27" s="23"/>
      <x:c r="AB27" s="23"/>
      <x:c r="AC27" s="23"/>
      <x:c r="AD27" s="23"/>
      <x:c r="AE27" s="23"/>
      <x:c r="AF27" s="23"/>
      <x:c r="AG27" s="23"/>
      <x:c r="AH27" s="23"/>
      <x:c r="AI27" s="23"/>
      <x:c r="AJ27" s="23"/>
      <x:c r="AK27" s="23" t="str">
        <x:v>chitine, mandibules, venin faible, glandes ou carapace exploitable</x:v>
      </x:c>
      <x:c r="AL27" s="23" t="str">
        <x:v>La créature laisse peu de richesse directe, mais sa chitine, ses mandibules, ses glandes ou son venin peuvent être récupérés. Sous-famille : Sous-famille standard des vermines à chitine.</x:v>
      </x:c>
      <x:c r="AM27" s="66" t="n">
        <x:v>4.5</x:v>
      </x:c>
      <x:c r="AN27" s="23" t="str">
        <x:v>Renforcé</x:v>
      </x:c>
      <x:c r="AO27" s="23" t="str">
        <x:v>Usage fréquent</x:v>
      </x:c>
      <x:c r="AP27" s="23" t="str">
        <x:v>Sous-famille</x:v>
      </x:c>
      <x:c r="AQ27" s="23" t="str">
        <x:v>Vermine</x:v>
      </x:c>
      <x:c r="AR27" s="23" t="str">
        <x:v>Insectoïde</x:v>
      </x:c>
      <x:c r="AS27" s="23" t="str">
        <x:v>Vermine à chitine, mandibules ou glandes exploitables.</x:v>
      </x:c>
      <x:c r="AT27" s="69" t="str">
        <x:v>Vulnérable</x:v>
      </x:c>
      <x:c r="AU27" s="69" t="str">
        <x:v>Neutre</x:v>
      </x:c>
      <x:c r="AV27" s="69" t="str">
        <x:v>Neutre</x:v>
      </x:c>
      <x:c r="AW27" s="69" t="str">
        <x:v>Neutre</x:v>
      </x:c>
      <x:c r="AX27" s="69" t="str">
        <x:v>Neutre</x:v>
      </x:c>
      <x:c r="AY27" s="69" t="str">
        <x:v>Neutre</x:v>
      </x:c>
      <x:c r="AZ27" s="69" t="str">
        <x:v>Neutre</x:v>
      </x:c>
      <x:c r="BA27" s="69" t="str">
        <x:v>Résistant</x:v>
      </x:c>
      <x:c r="BB27" s="23" t="str">
        <x:f t="shared" si="1"/>
        <x:v>vulnerableA_feu</x:v>
      </x:c>
      <x:c r="BC27" s="75" t="str">
        <x:v>Oui</x:v>
      </x:c>
      <x:c r="BD27" s="75" t="str">
        <x:v>Non</x:v>
      </x:c>
      <x:c r="BE27" s="75" t="str">
        <x:v>Non</x:v>
      </x:c>
      <x:c r="BF27" s="75" t="str">
        <x:v>Non</x:v>
      </x:c>
      <x:c r="BG27" s="23" t="str">
        <x:v>Vermine à chitine, mandibules ou glandes exploitables. Vulnérable à Feu, qui perturbe directement sa nature. Sa morphologie réduit les dégâts tranchants.</x:v>
      </x:c>
      <x:c r="BH27" s="23" t="str">
        <x:f t="shared" si="2"/>
        <x:v>vulnerableA_feu resistanceA_tranchant</x:v>
      </x:c>
    </x:row>
    <x:row r="28" ht="14.25" customHeight="1">
      <x:c r="A28" s="23" t="str">
        <x:v>Prédateur marin</x:v>
      </x:c>
      <x:c r="B28" s="66" t="n">
        <x:v>2040</x:v>
      </x:c>
      <x:c r="C28" s="23" t="str">
        <x:v>aquatic_predator</x:v>
      </x:c>
      <x:c r="D28" s="23" t="str">
        <x:v>Aquatique</x:v>
      </x:c>
      <x:c r="E28" s="66" t="n">
        <x:v>1</x:v>
      </x:c>
      <x:c r="F28" s="66" t="n">
        <x:v>1</x:v>
      </x:c>
      <x:c r="G28" s="66" t="n">
        <x:v>1</x:v>
      </x:c>
      <x:c r="H28" s="66" t="n">
        <x:v>-3</x:v>
      </x:c>
      <x:c r="I28" s="66" t="n">
        <x:v>1</x:v>
      </x:c>
      <x:c r="J28" s="66" t="n">
        <x:v>-2</x:v>
      </x:c>
      <x:c r="K28" s="66" t="n">
        <x:v>0</x:v>
      </x:c>
      <x:c r="L28" s="66" t="n">
        <x:v>1.1</x:v>
      </x:c>
      <x:c r="M28" s="66" t="n">
        <x:v>1</x:v>
      </x:c>
      <x:c r="N28" s="68" t="n">
        <x:v>0.75</x:v>
      </x:c>
      <x:c r="O28" s="66" t="n">
        <x:v>0</x:v>
      </x:c>
      <x:c r="P28" s="66" t="n">
        <x:v>0</x:v>
      </x:c>
      <x:c r="Q28" s="66" t="n">
        <x:v>0</x:v>
      </x:c>
      <x:c r="R28" s="66" t="n">
        <x:v>0</x:v>
      </x:c>
      <x:c r="S28" s="66" t="n">
        <x:v>0</x:v>
      </x:c>
      <x:c r="T28" s="66" t="n">
        <x:v>0</x:v>
      </x:c>
      <x:c r="U28" s="66" t="n">
        <x:v>0</x:v>
      </x:c>
      <x:c r="V28" s="66" t="n">
        <x:v>0</x:v>
      </x:c>
      <x:c r="W28" s="66" t="n">
        <x:v>0</x:v>
      </x:c>
      <x:c r="X28" s="66" t="n">
        <x:v>0</x:v>
      </x:c>
      <x:c r="Y28" s="66" t="n">
        <x:v>0</x:v>
      </x:c>
      <x:c r="Z28" s="23"/>
      <x:c r="AA28" s="23"/>
      <x:c r="AB28" s="23"/>
      <x:c r="AC28" s="23"/>
      <x:c r="AD28" s="23"/>
      <x:c r="AE28" s="23"/>
      <x:c r="AF28" s="23"/>
      <x:c r="AG28" s="23"/>
      <x:c r="AH28" s="23"/>
      <x:c r="AI28" s="23"/>
      <x:c r="AJ28" s="23"/>
      <x:c r="AK28" s="23" t="str">
        <x:v>écailles humides, dents, nageoires, perles, algues rares ou organes marins</x:v>
      </x:c>
      <x:c r="AL28" s="23" t="str">
        <x:v>La créature fournit des ressources liées aux eaux : écailles, dents, membranes, perles ou matières alchimiques marines. Sous-famille : Sous-famille créée pour les chasseurs aquatiques, forts dans l’eau mais limités ailleurs.</x:v>
      </x:c>
      <x:c r="AM28" s="66" t="n">
        <x:v>4.5</x:v>
      </x:c>
      <x:c r="AN28" s="23" t="str">
        <x:v>Renforcé</x:v>
      </x:c>
      <x:c r="AO28" s="23" t="str">
        <x:v>Usage fréquent</x:v>
      </x:c>
      <x:c r="AP28" s="23" t="str">
        <x:v>Sous-famille</x:v>
      </x:c>
      <x:c r="AQ28" s="23" t="str">
        <x:v>Aquatique</x:v>
      </x:c>
      <x:c r="AR28" s="23" t="str">
        <x:v>Prédateur marin</x:v>
      </x:c>
      <x:c r="AS28" s="23" t="str">
        <x:v>Danger aquatique simple : requin, serpent de mer, crocodile géant.</x:v>
      </x:c>
      <x:c r="AT28" s="69" t="str">
        <x:v>Vulnérable</x:v>
      </x:c>
      <x:c r="AU28" s="69" t="str">
        <x:v>Neutre</x:v>
      </x:c>
      <x:c r="AV28" s="69" t="str">
        <x:v>Résistant</x:v>
      </x:c>
      <x:c r="AW28" s="69" t="str">
        <x:v>Neutre</x:v>
      </x:c>
      <x:c r="AX28" s="69" t="str">
        <x:v>Neutre</x:v>
      </x:c>
      <x:c r="AY28" s="69" t="str">
        <x:v>Neutre</x:v>
      </x:c>
      <x:c r="AZ28" s="69" t="str">
        <x:v>Neutre</x:v>
      </x:c>
      <x:c r="BA28" s="69" t="str">
        <x:v>Neutre</x:v>
      </x:c>
      <x:c r="BB28" s="23" t="str">
        <x:f t="shared" si="1"/>
        <x:v>vulnerableA_feu resistanceA_eau</x:v>
      </x:c>
      <x:c r="BC28" s="75" t="str">
        <x:v>Non</x:v>
      </x:c>
      <x:c r="BD28" s="75" t="str">
        <x:v>Non</x:v>
      </x:c>
      <x:c r="BE28" s="75" t="str">
        <x:v>Non</x:v>
      </x:c>
      <x:c r="BF28" s="75" t="str">
        <x:v>Non</x:v>
      </x:c>
      <x:c r="BG28" s="23" t="str">
        <x:v>Danger aquatique simple : requin, serpent de mer, crocodile géant. Résiste à Eau par affinité ou constitution. Vulnérable à Feu, qui perturbe directement sa nature.</x:v>
      </x:c>
      <x:c r="BH28" s="23" t="str">
        <x:f t="shared" si="2"/>
        <x:v>vulnerableA_feu resistanceA_eau</x:v>
      </x:c>
    </x:row>
    <x:row r="29" ht="14.25" customHeight="1">
      <x:c r="A29" s="23" t="str">
        <x:v>Amphibien intelligent</x:v>
      </x:c>
      <x:c r="B29" s="66" t="n">
        <x:v>2041</x:v>
      </x:c>
      <x:c r="C29" s="23" t="str">
        <x:v>aquatic_amphibian_intelligent</x:v>
      </x:c>
      <x:c r="D29" s="23" t="str">
        <x:v>Aquatique</x:v>
      </x:c>
      <x:c r="E29" s="66" t="n">
        <x:v>0</x:v>
      </x:c>
      <x:c r="F29" s="66" t="n">
        <x:v>1</x:v>
      </x:c>
      <x:c r="G29" s="66" t="n">
        <x:v>1</x:v>
      </x:c>
      <x:c r="H29" s="66" t="n">
        <x:v>0</x:v>
      </x:c>
      <x:c r="I29" s="66" t="n">
        <x:v>0</x:v>
      </x:c>
      <x:c r="J29" s="66" t="n">
        <x:v>0</x:v>
      </x:c>
      <x:c r="K29" s="66" t="n">
        <x:v>0</x:v>
      </x:c>
      <x:c r="L29" s="66" t="n">
        <x:v>1</x:v>
      </x:c>
      <x:c r="M29" s="66" t="n">
        <x:v>1</x:v>
      </x:c>
      <x:c r="N29" s="68" t="n">
        <x:v>1</x:v>
      </x:c>
      <x:c r="O29" s="66" t="n">
        <x:v>0</x:v>
      </x:c>
      <x:c r="P29" s="66" t="n">
        <x:v>0</x:v>
      </x:c>
      <x:c r="Q29" s="66" t="n">
        <x:v>0</x:v>
      </x:c>
      <x:c r="R29" s="66" t="n">
        <x:v>0</x:v>
      </x:c>
      <x:c r="S29" s="66" t="n">
        <x:v>0</x:v>
      </x:c>
      <x:c r="T29" s="66" t="n">
        <x:v>0</x:v>
      </x:c>
      <x:c r="U29" s="66" t="n">
        <x:v>0</x:v>
      </x:c>
      <x:c r="V29" s="66" t="n">
        <x:v>0</x:v>
      </x:c>
      <x:c r="W29" s="66" t="n">
        <x:v>0</x:v>
      </x:c>
      <x:c r="X29" s="66" t="n">
        <x:v>0</x:v>
      </x:c>
      <x:c r="Y29" s="66" t="n">
        <x:v>0</x:v>
      </x:c>
      <x:c r="Z29" s="23"/>
      <x:c r="AA29" s="23"/>
      <x:c r="AB29" s="23"/>
      <x:c r="AC29" s="23"/>
      <x:c r="AD29" s="23"/>
      <x:c r="AE29" s="23"/>
      <x:c r="AF29" s="23"/>
      <x:c r="AG29" s="23"/>
      <x:c r="AH29" s="23"/>
      <x:c r="AI29" s="23"/>
      <x:c r="AJ29" s="23"/>
      <x:c r="AK29" s="23" t="str">
        <x:v>écailles humides, dents, nageoires, perles, algues rares ou organes marins</x:v>
      </x:c>
      <x:c r="AL29" s="23" t="str">
        <x:v>La créature fournit des ressources liées aux eaux : écailles, dents, membranes, perles ou matières alchimiques marines. Sous-famille : Sous-famille créée pour les peuples ou créatures aquatiques organisées.</x:v>
      </x:c>
      <x:c r="AM29" s="66" t="n">
        <x:v>5.25</x:v>
      </x:c>
      <x:c r="AN29" s="23" t="str">
        <x:v>Renforcé</x:v>
      </x:c>
      <x:c r="AO29" s="23" t="str">
        <x:v>Usage fréquent</x:v>
      </x:c>
      <x:c r="AP29" s="23" t="str">
        <x:v>Sous-famille</x:v>
      </x:c>
      <x:c r="AQ29" s="23" t="str">
        <x:v>Aquatique</x:v>
      </x:c>
      <x:c r="AR29" s="23" t="str">
        <x:v>Amphibien intelligent</x:v>
      </x:c>
      <x:c r="AS29" s="23" t="str">
        <x:v>Créature aquatique organisée ou armée.</x:v>
      </x:c>
      <x:c r="AT29" s="69" t="str">
        <x:v>Vulnérable</x:v>
      </x:c>
      <x:c r="AU29" s="69" t="str">
        <x:v>Neutre</x:v>
      </x:c>
      <x:c r="AV29" s="69" t="str">
        <x:v>Résistant</x:v>
      </x:c>
      <x:c r="AW29" s="69" t="str">
        <x:v>Neutre</x:v>
      </x:c>
      <x:c r="AX29" s="69" t="str">
        <x:v>Neutre</x:v>
      </x:c>
      <x:c r="AY29" s="69" t="str">
        <x:v>Neutre</x:v>
      </x:c>
      <x:c r="AZ29" s="69" t="str">
        <x:v>Neutre</x:v>
      </x:c>
      <x:c r="BA29" s="69" t="str">
        <x:v>Résistant</x:v>
      </x:c>
      <x:c r="BB29" s="23" t="str">
        <x:f t="shared" si="1"/>
        <x:v>vulnerableA_feu resistanceA_eau</x:v>
      </x:c>
      <x:c r="BC29" s="75" t="str">
        <x:v>Non</x:v>
      </x:c>
      <x:c r="BD29" s="75" t="str">
        <x:v>Non</x:v>
      </x:c>
      <x:c r="BE29" s="75" t="str">
        <x:v>Non</x:v>
      </x:c>
      <x:c r="BF29" s="75" t="str">
        <x:v>Non</x:v>
      </x:c>
      <x:c r="BG29" s="23" t="str">
        <x:v>Créature aquatique organisée ou armée. Résiste à Eau par affinité ou constitution. Vulnérable à Feu, qui perturbe directement sa nature.</x:v>
      </x:c>
      <x:c r="BH29" s="23" t="str">
        <x:f t="shared" si="2"/>
        <x:v>vulnerableA_feu resistanceA_eau</x:v>
      </x:c>
    </x:row>
    <x:row r="30" ht="14.25" customHeight="1">
      <x:c r="A30" s="23" t="str">
        <x:v>Arachnide</x:v>
      </x:c>
      <x:c r="B30" s="66" t="n">
        <x:v>2031</x:v>
      </x:c>
      <x:c r="C30" s="23" t="str">
        <x:v>vermin_arachnid</x:v>
      </x:c>
      <x:c r="D30" s="23" t="str">
        <x:v>Vermine</x:v>
      </x:c>
      <x:c r="E30" s="66" t="n">
        <x:v>0</x:v>
      </x:c>
      <x:c r="F30" s="66" t="n">
        <x:v>2</x:v>
      </x:c>
      <x:c r="G30" s="66" t="n">
        <x:v>1</x:v>
      </x:c>
      <x:c r="H30" s="66" t="n">
        <x:v>-3</x:v>
      </x:c>
      <x:c r="I30" s="66" t="n">
        <x:v>0</x:v>
      </x:c>
      <x:c r="J30" s="66" t="n">
        <x:v>-2</x:v>
      </x:c>
      <x:c r="K30" s="66" t="n">
        <x:v>1</x:v>
      </x:c>
      <x:c r="L30" s="66" t="n">
        <x:v>1</x:v>
      </x:c>
      <x:c r="M30" s="66" t="n">
        <x:v>1</x:v>
      </x:c>
      <x:c r="N30" s="68" t="n">
        <x:v>0.65</x:v>
      </x:c>
      <x:c r="O30" s="66" t="n">
        <x:v>0</x:v>
      </x:c>
      <x:c r="P30" s="66" t="n">
        <x:v>1</x:v>
      </x:c>
      <x:c r="Q30" s="66" t="n">
        <x:v>0</x:v>
      </x:c>
      <x:c r="R30" s="66" t="n">
        <x:v>0</x:v>
      </x:c>
      <x:c r="S30" s="66" t="n">
        <x:v>0</x:v>
      </x:c>
      <x:c r="T30" s="66" t="n">
        <x:v>0</x:v>
      </x:c>
      <x:c r="U30" s="66" t="n">
        <x:v>0</x:v>
      </x:c>
      <x:c r="V30" s="66" t="n">
        <x:v>0</x:v>
      </x:c>
      <x:c r="W30" s="66" t="n">
        <x:v>0</x:v>
      </x:c>
      <x:c r="X30" s="66" t="n">
        <x:v>2</x:v>
      </x:c>
      <x:c r="Y30" s="66" t="n">
        <x:v>0</x:v>
      </x:c>
      <x:c r="Z30" s="23"/>
      <x:c r="AA30" s="23"/>
      <x:c r="AB30" s="23"/>
      <x:c r="AC30" s="23"/>
      <x:c r="AD30" s="23"/>
      <x:c r="AE30" s="23"/>
      <x:c r="AF30" s="23"/>
      <x:c r="AG30" s="23"/>
      <x:c r="AH30" s="23"/>
      <x:c r="AI30" s="23"/>
      <x:c r="AJ30" s="23"/>
      <x:c r="AK30" s="23" t="str">
        <x:v>chitine, mandibules, venin faible, glandes ou carapace exploitable</x:v>
      </x:c>
      <x:c r="AL30" s="23" t="str">
        <x:v>La créature laisse peu de richesse directe, mais sa chitine, ses mandibules, ses glandes ou son venin peuvent être récupérés. Sous-famille : Sous-famille créée pour venin, toile ou pinces.</x:v>
      </x:c>
      <x:c r="AM30" s="66" t="n">
        <x:v>5.25</x:v>
      </x:c>
      <x:c r="AN30" s="23" t="str">
        <x:v>Renforcé</x:v>
      </x:c>
      <x:c r="AO30" s="23" t="str">
        <x:v>Usage fréquent</x:v>
      </x:c>
      <x:c r="AP30" s="23" t="str">
        <x:v>Sous-famille</x:v>
      </x:c>
      <x:c r="AQ30" s="23" t="str">
        <x:v>Vermine</x:v>
      </x:c>
      <x:c r="AR30" s="23" t="str">
        <x:v>Arachnide</x:v>
      </x:c>
      <x:c r="AS30" s="23" t="str">
        <x:v>Araignées et scorpions : venin, toile, pinces.</x:v>
      </x:c>
      <x:c r="AT30" s="69" t="str">
        <x:v>Vulnérable</x:v>
      </x:c>
      <x:c r="AU30" s="69" t="str">
        <x:v>Neutre</x:v>
      </x:c>
      <x:c r="AV30" s="69" t="str">
        <x:v>Neutre</x:v>
      </x:c>
      <x:c r="AW30" s="69" t="str">
        <x:v>Neutre</x:v>
      </x:c>
      <x:c r="AX30" s="69" t="str">
        <x:v>Neutre</x:v>
      </x:c>
      <x:c r="AY30" s="69" t="str">
        <x:v>Neutre</x:v>
      </x:c>
      <x:c r="AZ30" s="69" t="str">
        <x:v>Neutre</x:v>
      </x:c>
      <x:c r="BA30" s="69" t="str">
        <x:v>Résistant</x:v>
      </x:c>
      <x:c r="BB30" s="23" t="str">
        <x:f t="shared" si="1"/>
        <x:v>vulnerableA_feu</x:v>
      </x:c>
      <x:c r="BC30" s="75" t="str">
        <x:v>Oui</x:v>
      </x:c>
      <x:c r="BD30" s="75" t="str">
        <x:v>Non</x:v>
      </x:c>
      <x:c r="BE30" s="75" t="str">
        <x:v>Non</x:v>
      </x:c>
      <x:c r="BF30" s="75" t="str">
        <x:v>Non</x:v>
      </x:c>
      <x:c r="BG30" s="23" t="str">
        <x:v>Araignées et scorpions : venin, toile, pinces. Vulnérable à Feu, qui perturbe directement sa nature. Sa morphologie réduit les dégâts tranchants.</x:v>
      </x:c>
      <x:c r="BH30" s="23" t="str">
        <x:f t="shared" si="2"/>
        <x:v>vulnerableA_feu resistanceA_tranchant</x:v>
      </x:c>
    </x:row>
    <x:row r="31" ht="14.25" customHeight="1">
      <x:c r="A31" s="23" t="str">
        <x:v>Mutante</x:v>
      </x:c>
      <x:c r="B31" s="66" t="n">
        <x:v>2050</x:v>
      </x:c>
      <x:c r="C31" s="23" t="str">
        <x:v>aberration_mutant</x:v>
      </x:c>
      <x:c r="D31" s="23" t="str">
        <x:v>Aberration</x:v>
      </x:c>
      <x:c r="E31" s="66" t="n">
        <x:v>1</x:v>
      </x:c>
      <x:c r="F31" s="66" t="n">
        <x:v>0</x:v>
      </x:c>
      <x:c r="G31" s="66" t="n">
        <x:v>1</x:v>
      </x:c>
      <x:c r="H31" s="66" t="n">
        <x:v>0</x:v>
      </x:c>
      <x:c r="I31" s="66" t="n">
        <x:v>0</x:v>
      </x:c>
      <x:c r="J31" s="66" t="n">
        <x:v>0</x:v>
      </x:c>
      <x:c r="K31" s="66" t="n">
        <x:v>0</x:v>
      </x:c>
      <x:c r="L31" s="66" t="n">
        <x:v>1.1</x:v>
      </x:c>
      <x:c r="M31" s="66" t="n">
        <x:v>0</x:v>
      </x:c>
      <x:c r="N31" s="68" t="n">
        <x:v>1.25</x:v>
      </x:c>
      <x:c r="O31" s="66" t="n">
        <x:v>0</x:v>
      </x:c>
      <x:c r="P31" s="66" t="n">
        <x:v>0</x:v>
      </x:c>
      <x:c r="Q31" s="66" t="n">
        <x:v>0</x:v>
      </x:c>
      <x:c r="R31" s="66" t="n">
        <x:v>0</x:v>
      </x:c>
      <x:c r="S31" s="66" t="n">
        <x:v>0</x:v>
      </x:c>
      <x:c r="T31" s="66" t="n">
        <x:v>0</x:v>
      </x:c>
      <x:c r="U31" s="66" t="n">
        <x:v>0</x:v>
      </x:c>
      <x:c r="V31" s="66" t="n">
        <x:v>1</x:v>
      </x:c>
      <x:c r="W31" s="66" t="n">
        <x:v>0</x:v>
      </x:c>
      <x:c r="X31" s="66" t="n">
        <x:v>0</x:v>
      </x:c>
      <x:c r="Y31" s="66" t="n">
        <x:v>0</x:v>
      </x:c>
      <x:c r="Z31" s="23"/>
      <x:c r="AA31" s="23"/>
      <x:c r="AB31" s="23"/>
      <x:c r="AC31" s="23"/>
      <x:c r="AD31" s="23"/>
      <x:c r="AE31" s="23"/>
      <x:c r="AF31" s="23"/>
      <x:c r="AG31" s="23"/>
      <x:c r="AH31" s="23"/>
      <x:c r="AI31" s="23"/>
      <x:c r="AJ31" s="23"/>
      <x:c r="AK31" s="23" t="str">
        <x:v>glandes étranges, mucus, yeux déformés, chair instable ou organes inconnus</x:v>
      </x:c>
      <x:c r="AL31" s="23" t="str">
        <x:v>Les restes sont instables et répugnants, mais potentiellement précieux pour des érudits, alchimistes ou mages curieux. Sous-famille : Sous-famille physique de base pour les aberrations organiques.</x:v>
      </x:c>
      <x:c r="AM31" s="66" t="n">
        <x:v>5.5</x:v>
      </x:c>
      <x:c r="AN31" s="23" t="str">
        <x:v>Renforcé</x:v>
      </x:c>
      <x:c r="AO31" s="23" t="str">
        <x:v>Usage fréquent</x:v>
      </x:c>
      <x:c r="AP31" s="23" t="str">
        <x:v>Sous-famille</x:v>
      </x:c>
      <x:c r="AQ31" s="23" t="str">
        <x:v>Aberration</x:v>
      </x:c>
      <x:c r="AR31" s="23" t="str">
        <x:v>Mutante</x:v>
      </x:c>
      <x:c r="AS31" s="23" t="str">
        <x:v>Aberration physique ou organique instable.</x:v>
      </x:c>
      <x:c r="AT31" s="69" t="str">
        <x:v>Neutre</x:v>
      </x:c>
      <x:c r="AU31" s="69" t="str">
        <x:v>Neutre</x:v>
      </x:c>
      <x:c r="AV31" s="69" t="str">
        <x:v>Neutre</x:v>
      </x:c>
      <x:c r="AW31" s="69" t="str">
        <x:v>Neutre</x:v>
      </x:c>
      <x:c r="AX31" s="69" t="str">
        <x:v>Neutre</x:v>
      </x:c>
      <x:c r="AY31" s="69" t="str">
        <x:v>Neutre</x:v>
      </x:c>
      <x:c r="AZ31" s="69" t="str">
        <x:v>Résistant</x:v>
      </x:c>
      <x:c r="BA31" s="69" t="str">
        <x:v>Vulnérable</x:v>
      </x:c>
      <x:c r="BB31" s="23" t="str">
        <x:f t="shared" si="1"/>
        <x:v>resistanceA_force</x:v>
      </x:c>
      <x:c r="BC31" s="75" t="str">
        <x:v>Non</x:v>
      </x:c>
      <x:c r="BD31" s="75" t="str">
        <x:v>Non</x:v>
      </x:c>
      <x:c r="BE31" s="75" t="str">
        <x:v>Oui</x:v>
      </x:c>
      <x:c r="BF31" s="75" t="str">
        <x:v>Non</x:v>
      </x:c>
      <x:c r="BG31" s="23" t="str">
        <x:v>Aberration physique ou organique instable. Résiste à Force par affinité ou constitution. Sa morphologie réduit les dégâts contondants.</x:v>
      </x:c>
      <x:c r="BH31" s="23" t="str">
        <x:f t="shared" si="2"/>
        <x:v>resistanceA_force resistanceA_contondant</x:v>
      </x:c>
    </x:row>
    <x:row r="32" ht="14.25" customHeight="1">
      <x:c r="A32" s="23" t="str">
        <x:v>Végétal animé</x:v>
      </x:c>
      <x:c r="B32" s="66" t="n">
        <x:v>2060</x:v>
      </x:c>
      <x:c r="C32" s="23" t="str">
        <x:v>plant_animated</x:v>
      </x:c>
      <x:c r="D32" s="23" t="str">
        <x:v>Plante</x:v>
      </x:c>
      <x:c r="E32" s="66" t="n">
        <x:v>0</x:v>
      </x:c>
      <x:c r="F32" s="66" t="n">
        <x:v>-1</x:v>
      </x:c>
      <x:c r="G32" s="66" t="n">
        <x:v>2</x:v>
      </x:c>
      <x:c r="H32" s="66" t="n">
        <x:v>-2</x:v>
      </x:c>
      <x:c r="I32" s="66" t="n">
        <x:v>1</x:v>
      </x:c>
      <x:c r="J32" s="66" t="n">
        <x:v>0</x:v>
      </x:c>
      <x:c r="K32" s="66" t="n">
        <x:v>0</x:v>
      </x:c>
      <x:c r="L32" s="66" t="n">
        <x:v>1.2</x:v>
      </x:c>
      <x:c r="M32" s="66" t="n">
        <x:v>-1</x:v>
      </x:c>
      <x:c r="N32" s="68" t="n">
        <x:v>0.75</x:v>
      </x:c>
      <x:c r="O32" s="66" t="n">
        <x:v>0</x:v>
      </x:c>
      <x:c r="P32" s="66" t="n">
        <x:v>1</x:v>
      </x:c>
      <x:c r="Q32" s="66" t="n">
        <x:v>0</x:v>
      </x:c>
      <x:c r="R32" s="66" t="n">
        <x:v>0</x:v>
      </x:c>
      <x:c r="S32" s="66" t="n">
        <x:v>0</x:v>
      </x:c>
      <x:c r="T32" s="66" t="n">
        <x:v>0</x:v>
      </x:c>
      <x:c r="U32" s="66" t="n">
        <x:v>0</x:v>
      </x:c>
      <x:c r="V32" s="66" t="n">
        <x:v>0</x:v>
      </x:c>
      <x:c r="W32" s="66" t="n">
        <x:v>0</x:v>
      </x:c>
      <x:c r="X32" s="66" t="n">
        <x:v>1</x:v>
      </x:c>
      <x:c r="Y32" s="66" t="n">
        <x:v>0</x:v>
      </x:c>
      <x:c r="Z32" s="23"/>
      <x:c r="AA32" s="23"/>
      <x:c r="AB32" s="23"/>
      <x:c r="AC32" s="23"/>
      <x:c r="AD32" s="23"/>
      <x:c r="AE32" s="23"/>
      <x:c r="AF32" s="23"/>
      <x:c r="AG32" s="23"/>
      <x:c r="AH32" s="23"/>
      <x:c r="AI32" s="23" t="str">
        <x:v>Oui</x:v>
      </x:c>
      <x:c r="AJ32" s="23"/>
      <x:c r="AK32" s="23" t="str">
        <x:v>racines, spores, sèves, graines, épines ou feuilles alchimiques</x:v>
      </x:c>
      <x:c r="AL32" s="23" t="str">
        <x:v>La créature végétale peut être récoltée avec soin : racines, spores, sèves, graines ou épines servent à l'herboristerie et l'alchimie. Sous-famille : Sous-famille standard des plantes animées.</x:v>
      </x:c>
      <x:c r="AM32" s="66" t="n">
        <x:v>5.75</x:v>
      </x:c>
      <x:c r="AN32" s="23" t="str">
        <x:v>Renforcé</x:v>
      </x:c>
      <x:c r="AO32" s="23" t="str">
        <x:v>Usage fréquent</x:v>
      </x:c>
      <x:c r="AP32" s="23" t="str">
        <x:v>Sous-famille</x:v>
      </x:c>
      <x:c r="AQ32" s="23" t="str">
        <x:v>Plante</x:v>
      </x:c>
      <x:c r="AR32" s="23" t="str">
        <x:v>Végétal animé</x:v>
      </x:c>
      <x:c r="AS32" s="23" t="str">
        <x:v>Plante mobile ou animée.</x:v>
      </x:c>
      <x:c r="AT32" s="69" t="str">
        <x:v>Vulnérable</x:v>
      </x:c>
      <x:c r="AU32" s="69" t="str">
        <x:v>Neutre</x:v>
      </x:c>
      <x:c r="AV32" s="69" t="str">
        <x:v>Résistant</x:v>
      </x:c>
      <x:c r="AW32" s="69" t="str">
        <x:v>Neutre</x:v>
      </x:c>
      <x:c r="AX32" s="69" t="str">
        <x:v>Neutre</x:v>
      </x:c>
      <x:c r="AY32" s="69" t="str">
        <x:v>Neutre</x:v>
      </x:c>
      <x:c r="AZ32" s="69" t="str">
        <x:v>Neutre</x:v>
      </x:c>
      <x:c r="BA32" s="69" t="str">
        <x:v>Résistant</x:v>
      </x:c>
      <x:c r="BB32" s="23" t="str">
        <x:f t="shared" si="1"/>
        <x:v>vulnerableA_feu resistanceA_eau</x:v>
      </x:c>
      <x:c r="BC32" s="75" t="str">
        <x:v>Non</x:v>
      </x:c>
      <x:c r="BD32" s="75" t="str">
        <x:v>Oui</x:v>
      </x:c>
      <x:c r="BE32" s="75" t="str">
        <x:v>Non</x:v>
      </x:c>
      <x:c r="BF32" s="75" t="str">
        <x:v>Non</x:v>
      </x:c>
      <x:c r="BG32" s="23" t="str">
        <x:v>Plante mobile ou animée. Résiste à Eau par affinité ou constitution. Vulnérable à Feu, qui perturbe directement sa nature. Sa morphologie réduit les dégâts perçants.</x:v>
      </x:c>
      <x:c r="BH32" s="23" t="str">
        <x:f t="shared" si="2"/>
        <x:v>vulnerableA_feu resistanceA_eau resistanceA_percant</x:v>
      </x:c>
    </x:row>
    <x:row r="33" ht="14.25" customHeight="1">
      <x:c r="A33" s="23" t="str">
        <x:v>Nuée</x:v>
      </x:c>
      <x:c r="B33" s="66" t="n">
        <x:v>2032</x:v>
      </x:c>
      <x:c r="C33" s="23" t="str">
        <x:v>vermin_swarm</x:v>
      </x:c>
      <x:c r="D33" s="23" t="str">
        <x:v>Vermine</x:v>
      </x:c>
      <x:c r="E33" s="66" t="n">
        <x:v>-2</x:v>
      </x:c>
      <x:c r="F33" s="66" t="n">
        <x:v>2</x:v>
      </x:c>
      <x:c r="G33" s="66" t="n">
        <x:v>0</x:v>
      </x:c>
      <x:c r="H33" s="66" t="n">
        <x:v>-3</x:v>
      </x:c>
      <x:c r="I33" s="66" t="n">
        <x:v>0</x:v>
      </x:c>
      <x:c r="J33" s="66" t="n">
        <x:v>-3</x:v>
      </x:c>
      <x:c r="K33" s="66" t="n">
        <x:v>2</x:v>
      </x:c>
      <x:c r="L33" s="66" t="n">
        <x:v>0.8</x:v>
      </x:c>
      <x:c r="M33" s="66" t="n">
        <x:v>2</x:v>
      </x:c>
      <x:c r="N33" s="68" t="n">
        <x:v>0.4</x:v>
      </x:c>
      <x:c r="O33" s="66" t="n">
        <x:v>2</x:v>
      </x:c>
      <x:c r="P33" s="66" t="n">
        <x:v>0</x:v>
      </x:c>
      <x:c r="Q33" s="66" t="n">
        <x:v>2</x:v>
      </x:c>
      <x:c r="R33" s="66" t="n">
        <x:v>0</x:v>
      </x:c>
      <x:c r="S33" s="66" t="n">
        <x:v>0</x:v>
      </x:c>
      <x:c r="T33" s="66" t="n">
        <x:v>0</x:v>
      </x:c>
      <x:c r="U33" s="66" t="n">
        <x:v>0</x:v>
      </x:c>
      <x:c r="V33" s="66" t="n">
        <x:v>0</x:v>
      </x:c>
      <x:c r="W33" s="66" t="n">
        <x:v>0</x:v>
      </x:c>
      <x:c r="X33" s="66" t="n">
        <x:v>1</x:v>
      </x:c>
      <x:c r="Y33" s="66" t="n">
        <x:v>0</x:v>
      </x:c>
      <x:c r="Z33" s="23"/>
      <x:c r="AA33" s="23"/>
      <x:c r="AB33" s="23"/>
      <x:c r="AC33" s="23"/>
      <x:c r="AD33" s="23"/>
      <x:c r="AE33" s="23"/>
      <x:c r="AF33" s="23"/>
      <x:c r="AG33" s="23"/>
      <x:c r="AH33" s="23"/>
      <x:c r="AI33" s="23"/>
      <x:c r="AJ33" s="23"/>
      <x:c r="AK33" s="23" t="str">
        <x:v>chitine, mandibules, venin faible, glandes ou carapace exploitable</x:v>
      </x:c>
      <x:c r="AL33" s="23" t="str">
        <x:v>La créature laisse peu de richesse directe, mais sa chitine, ses mandibules, ses glandes ou son venin peuvent être récupérés. Sous-famille : Sous-famille créée car l’effet de masse change fortement la mécanique du combat.</x:v>
      </x:c>
      <x:c r="AM33" s="66" t="n">
        <x:v>6</x:v>
      </x:c>
      <x:c r="AN33" s="23" t="str">
        <x:v>Renforcé</x:v>
      </x:c>
      <x:c r="AO33" s="23" t="str">
        <x:v>Usage fréquent</x:v>
      </x:c>
      <x:c r="AP33" s="23" t="str">
        <x:v>Sous-famille</x:v>
      </x:c>
      <x:c r="AQ33" s="23" t="str">
        <x:v>Vermine</x:v>
      </x:c>
      <x:c r="AR33" s="23" t="str">
        <x:v>Nuée</x:v>
      </x:c>
      <x:c r="AS33" s="23" t="str">
        <x:v>Créature collective : l’effet de masse change le danger réel.</x:v>
      </x:c>
      <x:c r="AT33" s="69" t="str">
        <x:v>Vulnérable</x:v>
      </x:c>
      <x:c r="AU33" s="69" t="str">
        <x:v>Neutre</x:v>
      </x:c>
      <x:c r="AV33" s="69" t="str">
        <x:v>Neutre</x:v>
      </x:c>
      <x:c r="AW33" s="69" t="str">
        <x:v>Neutre</x:v>
      </x:c>
      <x:c r="AX33" s="69" t="str">
        <x:v>Neutre</x:v>
      </x:c>
      <x:c r="AY33" s="69" t="str">
        <x:v>Neutre</x:v>
      </x:c>
      <x:c r="AZ33" s="69" t="str">
        <x:v>Neutre</x:v>
      </x:c>
      <x:c r="BA33" s="69" t="str">
        <x:v>Résistant</x:v>
      </x:c>
      <x:c r="BB33" s="23" t="str">
        <x:f t="shared" si="1"/>
        <x:v>vulnerableA_feu</x:v>
      </x:c>
      <x:c r="BC33" s="75" t="str">
        <x:v>Oui</x:v>
      </x:c>
      <x:c r="BD33" s="75" t="str">
        <x:v>Oui</x:v>
      </x:c>
      <x:c r="BE33" s="75" t="str">
        <x:v>Non</x:v>
      </x:c>
      <x:c r="BF33" s="75" t="str">
        <x:v>Non</x:v>
      </x:c>
      <x:c r="BG33" s="23" t="str">
        <x:v>Créature collective : l’effet de masse change le danger réel. Vulnérable à Feu, qui perturbe directement sa nature. Sa morphologie réduit les dégâts tranchants, perçants.</x:v>
      </x:c>
      <x:c r="BH33" s="23" t="str">
        <x:f t="shared" si="2"/>
        <x:v>vulnerableA_feu resistanceA_tranchant resistanceA_percant</x:v>
      </x:c>
    </x:row>
    <x:row r="34" ht="14.25" customHeight="1">
      <x:c r="A34" s="23" t="str">
        <x:v>Tentaculaire</x:v>
      </x:c>
      <x:c r="B34" s="66" t="n">
        <x:v>2051</x:v>
      </x:c>
      <x:c r="C34" s="23" t="str">
        <x:v>aberration_tentacular</x:v>
      </x:c>
      <x:c r="D34" s="23" t="str">
        <x:v>Aberration</x:v>
      </x:c>
      <x:c r="E34" s="66" t="n">
        <x:v>0</x:v>
      </x:c>
      <x:c r="F34" s="66" t="n">
        <x:v>0</x:v>
      </x:c>
      <x:c r="G34" s="66" t="n">
        <x:v>1</x:v>
      </x:c>
      <x:c r="H34" s="66" t="n">
        <x:v>1</x:v>
      </x:c>
      <x:c r="I34" s="66" t="n">
        <x:v>1</x:v>
      </x:c>
      <x:c r="J34" s="66" t="n">
        <x:v>0</x:v>
      </x:c>
      <x:c r="K34" s="66" t="n">
        <x:v>0</x:v>
      </x:c>
      <x:c r="L34" s="66" t="n">
        <x:v>1.15</x:v>
      </x:c>
      <x:c r="M34" s="66" t="n">
        <x:v>0</x:v>
      </x:c>
      <x:c r="N34" s="68" t="n">
        <x:v>1.25</x:v>
      </x:c>
      <x:c r="O34" s="66" t="n">
        <x:v>0</x:v>
      </x:c>
      <x:c r="P34" s="66" t="n">
        <x:v>0</x:v>
      </x:c>
      <x:c r="Q34" s="66" t="n">
        <x:v>0</x:v>
      </x:c>
      <x:c r="R34" s="66" t="n">
        <x:v>0</x:v>
      </x:c>
      <x:c r="S34" s="66" t="n">
        <x:v>0</x:v>
      </x:c>
      <x:c r="T34" s="66" t="n">
        <x:v>0</x:v>
      </x:c>
      <x:c r="U34" s="66" t="n">
        <x:v>0</x:v>
      </x:c>
      <x:c r="V34" s="66" t="n">
        <x:v>1</x:v>
      </x:c>
      <x:c r="W34" s="66" t="n">
        <x:v>0</x:v>
      </x:c>
      <x:c r="X34" s="66" t="n">
        <x:v>0</x:v>
      </x:c>
      <x:c r="Y34" s="66" t="n">
        <x:v>1</x:v>
      </x:c>
      <x:c r="Z34" s="23"/>
      <x:c r="AA34" s="23"/>
      <x:c r="AB34" s="23"/>
      <x:c r="AC34" s="23"/>
      <x:c r="AD34" s="23"/>
      <x:c r="AE34" s="23"/>
      <x:c r="AF34" s="23"/>
      <x:c r="AG34" s="23"/>
      <x:c r="AH34" s="23"/>
      <x:c r="AI34" s="23"/>
      <x:c r="AJ34" s="23"/>
      <x:c r="AK34" s="23" t="str">
        <x:v>glandes étranges, mucus, yeux déformés, chair instable ou organes inconnus</x:v>
      </x:c>
      <x:c r="AL34" s="23" t="str">
        <x:v>Les restes sont instables et répugnants, mais potentiellement précieux pour des érudits, alchimistes ou mages curieux. Sous-famille : Sous-famille créée pour contrôle, agrippement et attaques multiples.</x:v>
      </x:c>
      <x:c r="AM34" s="66" t="n">
        <x:v>6</x:v>
      </x:c>
      <x:c r="AN34" s="23" t="str">
        <x:v>Renforcé</x:v>
      </x:c>
      <x:c r="AO34" s="23" t="str">
        <x:v>Usage fréquent</x:v>
      </x:c>
      <x:c r="AP34" s="23" t="str">
        <x:v>Sous-famille</x:v>
      </x:c>
      <x:c r="AQ34" s="23" t="str">
        <x:v>Aberration</x:v>
      </x:c>
      <x:c r="AR34" s="23" t="str">
        <x:v>Tentaculaire</x:v>
      </x:c>
      <x:c r="AS34" s="23" t="str">
        <x:v>Aberration de contrôle : entrave, attaques multiples, tentacules.</x:v>
      </x:c>
      <x:c r="AT34" s="69" t="str">
        <x:v>Neutre</x:v>
      </x:c>
      <x:c r="AU34" s="69" t="str">
        <x:v>Neutre</x:v>
      </x:c>
      <x:c r="AV34" s="69" t="str">
        <x:v>Neutre</x:v>
      </x:c>
      <x:c r="AW34" s="69" t="str">
        <x:v>Neutre</x:v>
      </x:c>
      <x:c r="AX34" s="69" t="str">
        <x:v>Neutre</x:v>
      </x:c>
      <x:c r="AY34" s="69" t="str">
        <x:v>Neutre</x:v>
      </x:c>
      <x:c r="AZ34" s="69" t="str">
        <x:v>Résistant</x:v>
      </x:c>
      <x:c r="BA34" s="69" t="str">
        <x:v>Neutre</x:v>
      </x:c>
      <x:c r="BB34" s="23" t="str">
        <x:f t="shared" si="1"/>
        <x:v>resistanceA_force</x:v>
      </x:c>
      <x:c r="BC34" s="75" t="str">
        <x:v>Non</x:v>
      </x:c>
      <x:c r="BD34" s="75" t="str">
        <x:v>Non</x:v>
      </x:c>
      <x:c r="BE34" s="75" t="str">
        <x:v>Oui</x:v>
      </x:c>
      <x:c r="BF34" s="75" t="str">
        <x:v>Non</x:v>
      </x:c>
      <x:c r="BG34" s="23" t="str">
        <x:v>Aberration de contrôle : entrave, attaques multiples, tentacules. Résiste à Force par affinité ou constitution. Sa morphologie réduit les dégâts contondants.</x:v>
      </x:c>
      <x:c r="BH34" s="23" t="str">
        <x:f t="shared" si="2"/>
        <x:v>resistanceA_force resistanceA_contondant</x:v>
      </x:c>
    </x:row>
    <x:row r="35" ht="14.25" customHeight="1">
      <x:c r="A35" s="23" t="str">
        <x:v>Fongique</x:v>
      </x:c>
      <x:c r="B35" s="23" t="n">
        <x:v>2061</x:v>
      </x:c>
      <x:c r="C35" s="23" t="str">
        <x:v>plant_fungal</x:v>
      </x:c>
      <x:c r="D35" s="23" t="str">
        <x:v>Plante</x:v>
      </x:c>
      <x:c r="E35" s="23" t="n">
        <x:v>0</x:v>
      </x:c>
      <x:c r="F35" s="23" t="n">
        <x:v>-2</x:v>
      </x:c>
      <x:c r="G35" s="23" t="n">
        <x:v>2</x:v>
      </x:c>
      <x:c r="H35" s="23" t="n">
        <x:v>-2</x:v>
      </x:c>
      <x:c r="I35" s="23" t="n">
        <x:v>1</x:v>
      </x:c>
      <x:c r="J35" s="23" t="n">
        <x:v>0</x:v>
      </x:c>
      <x:c r="K35" s="23" t="n">
        <x:v>0</x:v>
      </x:c>
      <x:c r="L35" s="23" t="n">
        <x:v>1.15</x:v>
      </x:c>
      <x:c r="M35" s="23" t="n">
        <x:v>-1</x:v>
      </x:c>
      <x:c r="N35" s="95" t="n">
        <x:v>0.9</x:v>
      </x:c>
      <x:c r="O35" s="23" t="n">
        <x:v>0</x:v>
      </x:c>
      <x:c r="P35" s="23" t="n">
        <x:v>0</x:v>
      </x:c>
      <x:c r="Q35" s="23" t="n">
        <x:v>0</x:v>
      </x:c>
      <x:c r="R35" s="23" t="n">
        <x:v>0</x:v>
      </x:c>
      <x:c r="S35" s="23" t="n">
        <x:v>0</x:v>
      </x:c>
      <x:c r="T35" s="23" t="n">
        <x:v>0</x:v>
      </x:c>
      <x:c r="U35" s="23" t="n">
        <x:v>0</x:v>
      </x:c>
      <x:c r="V35" s="23" t="n">
        <x:v>0</x:v>
      </x:c>
      <x:c r="W35" s="23" t="n">
        <x:v>2</x:v>
      </x:c>
      <x:c r="X35" s="23" t="n">
        <x:v>2</x:v>
      </x:c>
      <x:c r="Y35" s="23" t="n">
        <x:v>0</x:v>
      </x:c>
      <x:c r="Z35" s="23"/>
      <x:c r="AA35" s="23"/>
      <x:c r="AB35" s="23"/>
      <x:c r="AC35" s="23"/>
      <x:c r="AD35" s="23"/>
      <x:c r="AE35" s="23"/>
      <x:c r="AF35" s="23"/>
      <x:c r="AG35" s="23"/>
      <x:c r="AH35" s="23"/>
      <x:c r="AI35" s="23" t="str">
        <x:v>Oui</x:v>
      </x:c>
      <x:c r="AJ35" s="23"/>
      <x:c r="AK35" s="23" t="str">
        <x:v>racines, spores, sèves, graines, épines ou feuilles alchimiques</x:v>
      </x:c>
      <x:c r="AL35" s="23" t="str">
        <x:v>La créature végétale peut être récoltée avec soin : racines, spores, sèves, graines ou épines servent à l'herboristerie et l'alchimie. Sous-famille : Sous-famille créée pour spores, poison, maladie et contamination.</x:v>
      </x:c>
      <x:c r="AM35" s="23" t="n">
        <x:v>6.25</x:v>
      </x:c>
      <x:c r="AN35" s="23" t="str">
        <x:v>Renforcé</x:v>
      </x:c>
      <x:c r="AO35" s="23" t="str">
        <x:v>Usage fréquent</x:v>
      </x:c>
      <x:c r="AP35" s="23" t="str">
        <x:v>Sous-famille</x:v>
      </x:c>
      <x:c r="AQ35" s="23" t="str">
        <x:v>Plante</x:v>
      </x:c>
      <x:c r="AR35" s="23" t="str">
        <x:v>Fongique</x:v>
      </x:c>
      <x:c r="AS35" s="23" t="str">
        <x:v>Spores, toxines, maladie ou contamination.</x:v>
      </x:c>
      <x:c r="AT35" s="69" t="str">
        <x:v>Vulnérable</x:v>
      </x:c>
      <x:c r="AU35" s="69" t="str">
        <x:v>Neutre</x:v>
      </x:c>
      <x:c r="AV35" s="69" t="str">
        <x:v>Neutre</x:v>
      </x:c>
      <x:c r="AW35" s="69" t="str">
        <x:v>Neutre</x:v>
      </x:c>
      <x:c r="AX35" s="69" t="str">
        <x:v>Neutre</x:v>
      </x:c>
      <x:c r="AY35" s="69" t="str">
        <x:v>Neutre</x:v>
      </x:c>
      <x:c r="AZ35" s="69" t="str">
        <x:v>Neutre</x:v>
      </x:c>
      <x:c r="BA35" s="69" t="str">
        <x:v>Résistant</x:v>
      </x:c>
      <x:c r="BB35" s="23" t="str">
        <x:f t="shared" si="1"/>
        <x:v>vulnerableA_feu</x:v>
      </x:c>
      <x:c r="BC35" s="75" t="str">
        <x:v>Non</x:v>
      </x:c>
      <x:c r="BD35" s="75" t="str">
        <x:v>Non</x:v>
      </x:c>
      <x:c r="BE35" s="75" t="str">
        <x:v>Oui</x:v>
      </x:c>
      <x:c r="BF35" s="75" t="str">
        <x:v>Non</x:v>
      </x:c>
      <x:c r="BG35" s="23" t="str">
        <x:v>Spores, toxines, maladie ou contamination. Vulnérable à Feu, qui perturbe directement sa nature. Sa morphologie réduit les dégâts contondants.</x:v>
      </x:c>
      <x:c r="BH35" s="23" t="str">
        <x:f t="shared" si="2"/>
        <x:v>vulnerableA_feu resistanceA_contondant</x:v>
      </x:c>
    </x:row>
    <x:row r="36" ht="14.25" customHeight="1">
      <x:c r="A36" s="23" t="str">
        <x:v>Mentaliste</x:v>
      </x:c>
      <x:c r="B36" s="23" t="n">
        <x:v>2052</x:v>
      </x:c>
      <x:c r="C36" s="23" t="str">
        <x:v>aberration_mentalist</x:v>
      </x:c>
      <x:c r="D36" s="23" t="str">
        <x:v>Aberration</x:v>
      </x:c>
      <x:c r="E36" s="23" t="n">
        <x:v>-1</x:v>
      </x:c>
      <x:c r="F36" s="23" t="n">
        <x:v>0</x:v>
      </x:c>
      <x:c r="G36" s="23" t="n">
        <x:v>0</x:v>
      </x:c>
      <x:c r="H36" s="23" t="n">
        <x:v>2</x:v>
      </x:c>
      <x:c r="I36" s="23" t="n">
        <x:v>2</x:v>
      </x:c>
      <x:c r="J36" s="23" t="n">
        <x:v>2</x:v>
      </x:c>
      <x:c r="K36" s="23" t="n">
        <x:v>1</x:v>
      </x:c>
      <x:c r="L36" s="23" t="n">
        <x:v>1</x:v>
      </x:c>
      <x:c r="M36" s="23" t="n">
        <x:v>1</x:v>
      </x:c>
      <x:c r="N36" s="23" t="n">
        <x:v>1.5</x:v>
      </x:c>
      <x:c r="O36" s="23" t="n">
        <x:v>0</x:v>
      </x:c>
      <x:c r="P36" s="23" t="n">
        <x:v>0</x:v>
      </x:c>
      <x:c r="Q36" s="23" t="n">
        <x:v>0</x:v>
      </x:c>
      <x:c r="R36" s="23" t="n">
        <x:v>0</x:v>
      </x:c>
      <x:c r="S36" s="23" t="n">
        <x:v>0</x:v>
      </x:c>
      <x:c r="T36" s="23" t="n">
        <x:v>0</x:v>
      </x:c>
      <x:c r="U36" s="23" t="n">
        <x:v>0</x:v>
      </x:c>
      <x:c r="V36" s="23" t="n">
        <x:v>1</x:v>
      </x:c>
      <x:c r="W36" s="23" t="n">
        <x:v>0</x:v>
      </x:c>
      <x:c r="X36" s="23" t="n">
        <x:v>0</x:v>
      </x:c>
      <x:c r="Y36" s="23" t="n">
        <x:v>2</x:v>
      </x:c>
      <x:c r="Z36" s="23"/>
      <x:c r="AA36" s="23"/>
      <x:c r="AB36" s="23"/>
      <x:c r="AC36" s="23"/>
      <x:c r="AD36" s="23"/>
      <x:c r="AE36" s="23"/>
      <x:c r="AF36" s="23"/>
      <x:c r="AG36" s="23"/>
      <x:c r="AH36" s="23"/>
      <x:c r="AI36" s="23"/>
      <x:c r="AJ36" s="23"/>
      <x:c r="AK36" s="23" t="str">
        <x:v>glandes étranges, mucus, yeux déformés, chair instable ou organes inconnus</x:v>
      </x:c>
      <x:c r="AL36" s="23" t="str">
        <x:v>Les restes sont instables et répugnants, mais potentiellement précieux pour des érudits, alchimistes ou mages curieux. Sous-famille : Sous-famille créée pour illusions, domination, confusion et pouvoirs mentaux.</x:v>
      </x:c>
      <x:c r="AM36" s="23" t="n">
        <x:v>6.5</x:v>
      </x:c>
      <x:c r="AN36" s="23" t="str">
        <x:v>Renforcé</x:v>
      </x:c>
      <x:c r="AO36" s="23" t="str">
        <x:v>Usage fréquent</x:v>
      </x:c>
      <x:c r="AP36" s="23" t="str">
        <x:v>Sous-famille</x:v>
      </x:c>
      <x:c r="AQ36" s="23" t="str">
        <x:v>Aberration</x:v>
      </x:c>
      <x:c r="AR36" s="23" t="str">
        <x:v>Mentaliste</x:v>
      </x:c>
      <x:c r="AS36" s="23" t="str">
        <x:v>Aberration à pouvoirs mentaux : illusion, domination, confusion.</x:v>
      </x:c>
      <x:c r="AT36" s="69" t="str">
        <x:v>Neutre</x:v>
      </x:c>
      <x:c r="AU36" s="69" t="str">
        <x:v>Neutre</x:v>
      </x:c>
      <x:c r="AV36" s="69" t="str">
        <x:v>Neutre</x:v>
      </x:c>
      <x:c r="AW36" s="69" t="str">
        <x:v>Neutre</x:v>
      </x:c>
      <x:c r="AX36" s="69" t="str">
        <x:v>Neutre</x:v>
      </x:c>
      <x:c r="AY36" s="69" t="str">
        <x:v>Neutre</x:v>
      </x:c>
      <x:c r="AZ36" s="69" t="str">
        <x:v>Résistant</x:v>
      </x:c>
      <x:c r="BA36" s="69" t="str">
        <x:v>Neutre</x:v>
      </x:c>
      <x:c r="BB36" s="23" t="str">
        <x:f t="shared" si="1"/>
        <x:v>resistanceA_force</x:v>
      </x:c>
      <x:c r="BC36" s="75" t="str">
        <x:v>Non</x:v>
      </x:c>
      <x:c r="BD36" s="75" t="str">
        <x:v>Non</x:v>
      </x:c>
      <x:c r="BE36" s="75" t="str">
        <x:v>Non</x:v>
      </x:c>
      <x:c r="BF36" s="75" t="str">
        <x:v>Non</x:v>
      </x:c>
      <x:c r="BG36" s="23" t="str">
        <x:v>Aberration à pouvoirs mentaux : illusion, domination, confusion. Résiste à Force par affinité ou constitution.</x:v>
      </x:c>
      <x:c r="BH36" s="23" t="str">
        <x:f t="shared" si="2"/>
        <x:v>resistanceA_force</x:v>
      </x:c>
    </x:row>
    <x:row r="37" ht="14.25" customHeight="1">
      <x:c r="A37" s="23" t="str">
        <x:v>Carnivore</x:v>
      </x:c>
      <x:c r="B37" s="23" t="n">
        <x:v>2062</x:v>
      </x:c>
      <x:c r="C37" s="23" t="str">
        <x:v>plant_carnivorous</x:v>
      </x:c>
      <x:c r="D37" s="23" t="str">
        <x:v>Plante</x:v>
      </x:c>
      <x:c r="E37" s="23" t="n">
        <x:v>1</x:v>
      </x:c>
      <x:c r="F37" s="23" t="n">
        <x:v>-1</x:v>
      </x:c>
      <x:c r="G37" s="23" t="n">
        <x:v>2</x:v>
      </x:c>
      <x:c r="H37" s="23" t="n">
        <x:v>-3</x:v>
      </x:c>
      <x:c r="I37" s="23" t="n">
        <x:v>1</x:v>
      </x:c>
      <x:c r="J37" s="23" t="n">
        <x:v>0</x:v>
      </x:c>
      <x:c r="K37" s="23" t="n">
        <x:v>0</x:v>
      </x:c>
      <x:c r="L37" s="23" t="n">
        <x:v>1.25</x:v>
      </x:c>
      <x:c r="M37" s="23" t="n">
        <x:v>-1</x:v>
      </x:c>
      <x:c r="N37" s="23" t="n">
        <x:v>0.85</x:v>
      </x:c>
      <x:c r="O37" s="23" t="n">
        <x:v>0</x:v>
      </x:c>
      <x:c r="P37" s="23" t="n">
        <x:v>1</x:v>
      </x:c>
      <x:c r="Q37" s="23" t="n">
        <x:v>0</x:v>
      </x:c>
      <x:c r="R37" s="23" t="n">
        <x:v>0</x:v>
      </x:c>
      <x:c r="S37" s="23" t="n">
        <x:v>0</x:v>
      </x:c>
      <x:c r="T37" s="23" t="n">
        <x:v>0</x:v>
      </x:c>
      <x:c r="U37" s="23" t="n">
        <x:v>0</x:v>
      </x:c>
      <x:c r="V37" s="23" t="n">
        <x:v>0</x:v>
      </x:c>
      <x:c r="W37" s="23" t="n">
        <x:v>0</x:v>
      </x:c>
      <x:c r="X37" s="23" t="n">
        <x:v>1</x:v>
      </x:c>
      <x:c r="Y37" s="23" t="n">
        <x:v>0</x:v>
      </x:c>
      <x:c r="Z37" s="23"/>
      <x:c r="AA37" s="23"/>
      <x:c r="AB37" s="23"/>
      <x:c r="AC37" s="23"/>
      <x:c r="AD37" s="23"/>
      <x:c r="AE37" s="23"/>
      <x:c r="AF37" s="23"/>
      <x:c r="AG37" s="23"/>
      <x:c r="AH37" s="23"/>
      <x:c r="AI37" s="23" t="str">
        <x:v>Oui</x:v>
      </x:c>
      <x:c r="AJ37" s="23"/>
      <x:c r="AK37" s="23" t="str">
        <x:v>racines, spores, sèves, graines, épines ou feuilles alchimiques</x:v>
      </x:c>
      <x:c r="AL37" s="23" t="str">
        <x:v>La créature végétale peut être récoltée avec soin : racines, spores, sèves, graines ou épines servent à l'herboristerie et l'alchimie. Sous-famille : Sous-famille créée pour prédation, entrave et digestion.</x:v>
      </x:c>
      <x:c r="AM37" s="23" t="n">
        <x:v>6.75</x:v>
      </x:c>
      <x:c r="AN37" s="23" t="str">
        <x:v>Renforcé</x:v>
      </x:c>
      <x:c r="AO37" s="23" t="str">
        <x:v>Usage fréquent</x:v>
      </x:c>
      <x:c r="AP37" s="23" t="str">
        <x:v>Sous-famille</x:v>
      </x:c>
      <x:c r="AQ37" s="23" t="str">
        <x:v>Plante</x:v>
      </x:c>
      <x:c r="AR37" s="23" t="str">
        <x:v>Carnivore</x:v>
      </x:c>
      <x:c r="AS37" s="23" t="str">
        <x:v>Plante prédatrice : morsure, digestion, entrave.</x:v>
      </x:c>
      <x:c r="AT37" s="69" t="str">
        <x:v>Vulnérable</x:v>
      </x:c>
      <x:c r="AU37" s="69" t="str">
        <x:v>Neutre</x:v>
      </x:c>
      <x:c r="AV37" s="69" t="str">
        <x:v>Neutre</x:v>
      </x:c>
      <x:c r="AW37" s="69" t="str">
        <x:v>Neutre</x:v>
      </x:c>
      <x:c r="AX37" s="69" t="str">
        <x:v>Neutre</x:v>
      </x:c>
      <x:c r="AY37" s="69" t="str">
        <x:v>Neutre</x:v>
      </x:c>
      <x:c r="AZ37" s="69" t="str">
        <x:v>Neutre</x:v>
      </x:c>
      <x:c r="BA37" s="69" t="str">
        <x:v>Résistant</x:v>
      </x:c>
      <x:c r="BB37" s="23" t="str">
        <x:f t="shared" si="1"/>
        <x:v>vulnerableA_feu</x:v>
      </x:c>
      <x:c r="BC37" s="75" t="str">
        <x:v>Non</x:v>
      </x:c>
      <x:c r="BD37" s="75" t="str">
        <x:v>Oui</x:v>
      </x:c>
      <x:c r="BE37" s="75" t="str">
        <x:v>Non</x:v>
      </x:c>
      <x:c r="BF37" s="75" t="str">
        <x:v>Non</x:v>
      </x:c>
      <x:c r="BG37" s="23" t="str">
        <x:v>Plante prédatrice : morsure, digestion, entrave. Vulnérable à Feu, qui perturbe directement sa nature. Sa morphologie réduit les dégâts perçants.</x:v>
      </x:c>
      <x:c r="BH37" s="23" t="str">
        <x:f t="shared" si="2"/>
        <x:v>vulnerableA_feu resistanceA_percant</x:v>
      </x:c>
    </x:row>
    <x:row r="38" ht="14.25" customHeight="1">
      <x:c r="A38" s="23" t="str">
        <x:v>Abyssal</x:v>
      </x:c>
      <x:c r="B38" s="23" t="n">
        <x:v>2042</x:v>
      </x:c>
      <x:c r="C38" s="23" t="str">
        <x:v>aquatic_abyssal</x:v>
      </x:c>
      <x:c r="D38" s="23" t="str">
        <x:v>Aquatique</x:v>
      </x:c>
      <x:c r="E38" s="23" t="n">
        <x:v>2</x:v>
      </x:c>
      <x:c r="F38" s="23" t="n">
        <x:v>0</x:v>
      </x:c>
      <x:c r="G38" s="23" t="n">
        <x:v>2</x:v>
      </x:c>
      <x:c r="H38" s="23" t="n">
        <x:v>0</x:v>
      </x:c>
      <x:c r="I38" s="23" t="n">
        <x:v>1</x:v>
      </x:c>
      <x:c r="J38" s="23" t="n">
        <x:v>1</x:v>
      </x:c>
      <x:c r="K38" s="23" t="n">
        <x:v>1</x:v>
      </x:c>
      <x:c r="L38" s="23" t="n">
        <x:v>1.3</x:v>
      </x:c>
      <x:c r="M38" s="23" t="n">
        <x:v>0</x:v>
      </x:c>
      <x:c r="N38" s="23" t="n">
        <x:v>1.25</x:v>
      </x:c>
      <x:c r="O38" s="23" t="n">
        <x:v>0</x:v>
      </x:c>
      <x:c r="P38" s="23" t="n">
        <x:v>0</x:v>
      </x:c>
      <x:c r="Q38" s="23" t="n">
        <x:v>0</x:v>
      </x:c>
      <x:c r="R38" s="23" t="n">
        <x:v>0</x:v>
      </x:c>
      <x:c r="S38" s="23" t="n">
        <x:v>1</x:v>
      </x:c>
      <x:c r="T38" s="23" t="n">
        <x:v>0</x:v>
      </x:c>
      <x:c r="U38" s="23" t="n">
        <x:v>1</x:v>
      </x:c>
      <x:c r="V38" s="23" t="n">
        <x:v>1</x:v>
      </x:c>
      <x:c r="W38" s="23" t="n">
        <x:v>0</x:v>
      </x:c>
      <x:c r="X38" s="23" t="n">
        <x:v>0</x:v>
      </x:c>
      <x:c r="Y38" s="23" t="n">
        <x:v>1</x:v>
      </x:c>
      <x:c r="Z38" s="23"/>
      <x:c r="AA38" s="23"/>
      <x:c r="AB38" s="23"/>
      <x:c r="AC38" s="23"/>
      <x:c r="AD38" s="23"/>
      <x:c r="AE38" s="23"/>
      <x:c r="AF38" s="23"/>
      <x:c r="AG38" s="23"/>
      <x:c r="AH38" s="23"/>
      <x:c r="AI38" s="23"/>
      <x:c r="AJ38" s="23"/>
      <x:c r="AK38" s="23" t="str">
        <x:v>écailles humides, dents, nageoires, perles, algues rares ou organes marins</x:v>
      </x:c>
      <x:c r="AL38" s="23" t="str">
        <x:v>La créature fournit des ressources liées aux eaux : écailles, dents, membranes, perles ou matières alchimiques marines. Sous-famille : Sous-famille créée pour les menaces profondes ou anciennes.</x:v>
      </x:c>
      <x:c r="AM38" s="23" t="n">
        <x:v>7</x:v>
      </x:c>
      <x:c r="AN38" s="23" t="str">
        <x:v>Renforcé</x:v>
      </x:c>
      <x:c r="AO38" s="23" t="str">
        <x:v>Usage fréquent</x:v>
      </x:c>
      <x:c r="AP38" s="23" t="str">
        <x:v>Sous-famille</x:v>
      </x:c>
      <x:c r="AQ38" s="23" t="str">
        <x:v>Aquatique</x:v>
      </x:c>
      <x:c r="AR38" s="23" t="str">
        <x:v>Abyssal</x:v>
      </x:c>
      <x:c r="AS38" s="23" t="str">
        <x:v>Horreur des profondeurs, ancienne ou boss aquatique.</x:v>
      </x:c>
      <x:c r="AT38" s="69" t="str">
        <x:v>Neutre</x:v>
      </x:c>
      <x:c r="AU38" s="69" t="str">
        <x:v>Neutre</x:v>
      </x:c>
      <x:c r="AV38" s="69" t="str">
        <x:v>Résistant</x:v>
      </x:c>
      <x:c r="AW38" s="69" t="str">
        <x:v>Neutre</x:v>
      </x:c>
      <x:c r="AX38" s="69" t="str">
        <x:v>Résistant</x:v>
      </x:c>
      <x:c r="AY38" s="69" t="str">
        <x:v>Vulnérable</x:v>
      </x:c>
      <x:c r="AZ38" s="69" t="str">
        <x:v>Neutre</x:v>
      </x:c>
      <x:c r="BA38" s="69" t="str">
        <x:v>Neutre</x:v>
      </x:c>
      <x:c r="BB38" s="23" t="str">
        <x:f t="shared" si="1"/>
        <x:v>resistanceA_eau resistanceA_ombre vulnerableA_lumiere</x:v>
      </x:c>
      <x:c r="BC38" s="75" t="str">
        <x:v>Non</x:v>
      </x:c>
      <x:c r="BD38" s="75" t="str">
        <x:v>Non</x:v>
      </x:c>
      <x:c r="BE38" s="75" t="str">
        <x:v>Oui</x:v>
      </x:c>
      <x:c r="BF38" s="75" t="str">
        <x:v>Non</x:v>
      </x:c>
      <x:c r="BG38" s="23" t="str">
        <x:v>Horreur des profondeurs, ancienne ou boss aquatique. Résiste à Eau, Ombre par affinité ou constitution. Vulnérable à Lumière, qui perturbe directement sa nature. Sa morphologie réduit les dégâts contondants.</x:v>
      </x:c>
      <x:c r="BH38" s="23" t="str">
        <x:f t="shared" si="2"/>
        <x:v>resistanceA_eau resistanceA_ombre vulnerableA_lumiere resistanceA_contondant</x:v>
      </x:c>
    </x:row>
    <x:row r="39" ht="14.25" customHeight="1">
      <x:c r="A39" s="23" t="str">
        <x:v>Sylvestre</x:v>
      </x:c>
      <x:c r="B39" s="23" t="n">
        <x:v>2070</x:v>
      </x:c>
      <x:c r="C39" s="23" t="str">
        <x:v>fey_sylvan</x:v>
      </x:c>
      <x:c r="D39" s="23" t="str">
        <x:v>Fée</x:v>
      </x:c>
      <x:c r="E39" s="23" t="n">
        <x:v>-1</x:v>
      </x:c>
      <x:c r="F39" s="23" t="n">
        <x:v>2</x:v>
      </x:c>
      <x:c r="G39" s="23" t="n">
        <x:v>0</x:v>
      </x:c>
      <x:c r="H39" s="23" t="n">
        <x:v>0</x:v>
      </x:c>
      <x:c r="I39" s="23" t="n">
        <x:v>1</x:v>
      </x:c>
      <x:c r="J39" s="23" t="n">
        <x:v>2</x:v>
      </x:c>
      <x:c r="K39" s="23" t="n">
        <x:v>1</x:v>
      </x:c>
      <x:c r="L39" s="23" t="n">
        <x:v>0.8</x:v>
      </x:c>
      <x:c r="M39" s="23" t="n">
        <x:v>2</x:v>
      </x:c>
      <x:c r="N39" s="23" t="n">
        <x:v>1.25</x:v>
      </x:c>
      <x:c r="O39" s="23" t="n">
        <x:v>0</x:v>
      </x:c>
      <x:c r="P39" s="23" t="n">
        <x:v>0</x:v>
      </x:c>
      <x:c r="Q39" s="23" t="n">
        <x:v>0</x:v>
      </x:c>
      <x:c r="R39" s="23" t="n">
        <x:v>0</x:v>
      </x:c>
      <x:c r="S39" s="23" t="n">
        <x:v>0</x:v>
      </x:c>
      <x:c r="T39" s="23" t="n">
        <x:v>0</x:v>
      </x:c>
      <x:c r="U39" s="23" t="n">
        <x:v>0</x:v>
      </x:c>
      <x:c r="V39" s="23" t="n">
        <x:v>0</x:v>
      </x:c>
      <x:c r="W39" s="23" t="n">
        <x:v>0</x:v>
      </x:c>
      <x:c r="X39" s="23" t="n">
        <x:v>0</x:v>
      </x:c>
      <x:c r="Y39" s="23" t="n">
        <x:v>1</x:v>
      </x:c>
      <x:c r="Z39" s="23"/>
      <x:c r="AA39" s="23"/>
      <x:c r="AB39" s="23"/>
      <x:c r="AC39" s="23"/>
      <x:c r="AD39" s="23"/>
      <x:c r="AE39" s="23"/>
      <x:c r="AF39" s="23"/>
      <x:c r="AG39" s="23"/>
      <x:c r="AH39" s="23"/>
      <x:c r="AI39" s="23"/>
      <x:c r="AJ39" s="23"/>
      <x:c r="AK39" s="23" t="str">
        <x:v>poudre féerique, essence subtile, fleurs étranges, bijoux minuscules ou ornements curieux</x:v>
      </x:c>
      <x:c r="AL39" s="23" t="str">
        <x:v>Les restes matériels sont rares et fragiles, mais chargés d'une magie subtile : poudre, essence, fleurs étranges ou petits ornements. Sous-famille : Sous-famille naturelle et forestière.</x:v>
      </x:c>
      <x:c r="AM39" s="23" t="n">
        <x:v>7.5</x:v>
      </x:c>
      <x:c r="AN39" s="23" t="str">
        <x:v>Renforcé</x:v>
      </x:c>
      <x:c r="AO39" s="23" t="str">
        <x:v>Usage fréquent</x:v>
      </x:c>
      <x:c r="AP39" s="23" t="str">
        <x:v>Sous-famille</x:v>
      </x:c>
      <x:c r="AQ39" s="23" t="str">
        <x:v>Fée</x:v>
      </x:c>
      <x:c r="AR39" s="23" t="str">
        <x:v>Sylvestre</x:v>
      </x:c>
      <x:c r="AS39" s="23" t="str">
        <x:v>Fée naturelle, dryade ou esprit de forêt.</x:v>
      </x:c>
      <x:c r="AT39" s="69" t="str">
        <x:v>Vulnérable</x:v>
      </x:c>
      <x:c r="AU39" s="69" t="str">
        <x:v>Neutre</x:v>
      </x:c>
      <x:c r="AV39" s="69" t="str">
        <x:v>Résistant</x:v>
      </x:c>
      <x:c r="AW39" s="69" t="str">
        <x:v>Neutre</x:v>
      </x:c>
      <x:c r="AX39" s="69" t="str">
        <x:v>Neutre</x:v>
      </x:c>
      <x:c r="AY39" s="69" t="str">
        <x:v>Neutre</x:v>
      </x:c>
      <x:c r="AZ39" s="69" t="str">
        <x:v>Neutre</x:v>
      </x:c>
      <x:c r="BA39" s="69" t="str">
        <x:v>Résistant</x:v>
      </x:c>
      <x:c r="BB39" s="23" t="str">
        <x:f t="shared" si="1"/>
        <x:v>vulnerableA_feu resistanceA_eau</x:v>
      </x:c>
      <x:c r="BC39" s="75" t="str">
        <x:v>Non</x:v>
      </x:c>
      <x:c r="BD39" s="75" t="str">
        <x:v>Non</x:v>
      </x:c>
      <x:c r="BE39" s="75" t="str">
        <x:v>Non</x:v>
      </x:c>
      <x:c r="BF39" s="75" t="str">
        <x:v>Non</x:v>
      </x:c>
      <x:c r="BG39" s="23" t="str">
        <x:v>Fée naturelle, dryade ou esprit de forêt. Résiste à Eau par affinité ou constitution. Vulnérable à Feu, qui perturbe directement sa nature.</x:v>
      </x:c>
      <x:c r="BH39" s="23" t="str">
        <x:f t="shared" si="2"/>
        <x:v>vulnerableA_feu resistanceA_eau</x:v>
      </x:c>
    </x:row>
    <x:row r="40" ht="14.25" customHeight="1">
      <x:c r="A40" s="23" t="str">
        <x:v>Démon mineur</x:v>
      </x:c>
      <x:c r="B40" s="23" t="n">
        <x:v>2090</x:v>
      </x:c>
      <x:c r="C40" s="23" t="str">
        <x:v>fiend_minor</x:v>
      </x:c>
      <x:c r="D40" s="23" t="str">
        <x:v>Démon</x:v>
      </x:c>
      <x:c r="E40" s="23" t="n">
        <x:v>0</x:v>
      </x:c>
      <x:c r="F40" s="23" t="n">
        <x:v>1</x:v>
      </x:c>
      <x:c r="G40" s="23" t="n">
        <x:v>0</x:v>
      </x:c>
      <x:c r="H40" s="23" t="n">
        <x:v>0</x:v>
      </x:c>
      <x:c r="I40" s="23" t="n">
        <x:v>0</x:v>
      </x:c>
      <x:c r="J40" s="23" t="n">
        <x:v>1</x:v>
      </x:c>
      <x:c r="K40" s="23" t="n">
        <x:v>0</x:v>
      </x:c>
      <x:c r="L40" s="23" t="n">
        <x:v>0.8</x:v>
      </x:c>
      <x:c r="M40" s="23" t="n">
        <x:v>1</x:v>
      </x:c>
      <x:c r="N40" s="23" t="n">
        <x:v>1</x:v>
      </x:c>
      <x:c r="O40" s="23" t="n">
        <x:v>0</x:v>
      </x:c>
      <x:c r="P40" s="23" t="n">
        <x:v>0</x:v>
      </x:c>
      <x:c r="Q40" s="23" t="n">
        <x:v>0</x:v>
      </x:c>
      <x:c r="R40" s="23" t="n">
        <x:v>1</x:v>
      </x:c>
      <x:c r="S40" s="23" t="n">
        <x:v>0</x:v>
      </x:c>
      <x:c r="T40" s="23" t="n">
        <x:v>0</x:v>
      </x:c>
      <x:c r="U40" s="23" t="n">
        <x:v>0</x:v>
      </x:c>
      <x:c r="V40" s="23" t="n">
        <x:v>0</x:v>
      </x:c>
      <x:c r="W40" s="23" t="n">
        <x:v>0</x:v>
      </x:c>
      <x:c r="X40" s="23" t="n">
        <x:v>1</x:v>
      </x:c>
      <x:c r="Y40" s="23" t="n">
        <x:v>1</x:v>
      </x:c>
      <x:c r="Z40" s="23"/>
      <x:c r="AA40" s="23"/>
      <x:c r="AB40" s="23"/>
      <x:c r="AC40" s="23"/>
      <x:c r="AD40" s="23"/>
      <x:c r="AE40" s="23"/>
      <x:c r="AF40" s="23"/>
      <x:c r="AG40" s="23"/>
      <x:c r="AH40" s="23" t="str">
        <x:v>Oui</x:v>
      </x:c>
      <x:c r="AI40" s="23"/>
      <x:c r="AJ40" s="23"/>
      <x:c r="AK40" s="23" t="str">
        <x:v>ichor, cornes, griffes noires, cendres infernales ou fragments corrompus</x:v>
      </x:c>
      <x:c r="AL40" s="23" t="str">
        <x:v>Les restes sont dangereux à manipuler, mais précieux : ichor, cornes, cendres infernales ou fragments corrompus peuvent intéresser des occultistes. Sous-famille : Sous-famille créée pour les créatures infernales faibles ou nombreuses.</x:v>
      </x:c>
      <x:c r="AM40" s="23" t="n">
        <x:v>8</x:v>
      </x:c>
      <x:c r="AN40" s="23" t="str">
        <x:v>Renforcé</x:v>
      </x:c>
      <x:c r="AO40" s="23" t="str">
        <x:v>Usage fréquent</x:v>
      </x:c>
      <x:c r="AP40" s="23" t="str">
        <x:v>Sous-famille</x:v>
      </x:c>
      <x:c r="AQ40" s="23" t="str">
        <x:v>Démon</x:v>
      </x:c>
      <x:c r="AR40" s="23" t="str">
        <x:v>Démon mineur</x:v>
      </x:c>
      <x:c r="AS40" s="23" t="str">
        <x:v>Petite créature infernale ou corrompue.</x:v>
      </x:c>
      <x:c r="AT40" s="69" t="str">
        <x:v>Résistant</x:v>
      </x:c>
      <x:c r="AU40" s="69" t="str">
        <x:v>Neutre</x:v>
      </x:c>
      <x:c r="AV40" s="69" t="str">
        <x:v>Neutre</x:v>
      </x:c>
      <x:c r="AW40" s="69" t="str">
        <x:v>Neutre</x:v>
      </x:c>
      <x:c r="AX40" s="69" t="str">
        <x:v>Résistant</x:v>
      </x:c>
      <x:c r="AY40" s="69" t="str">
        <x:v>Vulnérable</x:v>
      </x:c>
      <x:c r="AZ40" s="69" t="str">
        <x:v>Neutre</x:v>
      </x:c>
      <x:c r="BA40" s="69" t="str">
        <x:v>Neutre</x:v>
      </x:c>
      <x:c r="BB40" s="23" t="str">
        <x:f t="shared" si="1"/>
        <x:v>resistanceA_feu resistanceA_ombre vulnerableA_lumiere</x:v>
      </x:c>
      <x:c r="BC40" s="75" t="str">
        <x:v>Non</x:v>
      </x:c>
      <x:c r="BD40" s="75" t="str">
        <x:v>Non</x:v>
      </x:c>
      <x:c r="BE40" s="75" t="str">
        <x:v>Non</x:v>
      </x:c>
      <x:c r="BF40" s="75" t="str">
        <x:v>Non</x:v>
      </x:c>
      <x:c r="BG40" s="23" t="str">
        <x:v>Petite créature infernale ou corrompue. Résiste à Feu, Ombre par affinité ou constitution. Vulnérable à Lumière, qui perturbe directement sa nature.</x:v>
      </x:c>
      <x:c r="BH40" s="23" t="str">
        <x:f t="shared" si="2"/>
        <x:v>resistanceA_feu resistanceA_ombre vulnerableA_lumiere</x:v>
      </x:c>
    </x:row>
    <x:row r="41" ht="14.25" customHeight="1">
      <x:c r="A41" s="23" t="str">
        <x:v>Noble mort-vivant</x:v>
      </x:c>
      <x:c r="B41" s="23" t="n">
        <x:v>2012</x:v>
      </x:c>
      <x:c r="C41" s="23" t="str">
        <x:v>undead_noble</x:v>
      </x:c>
      <x:c r="D41" s="23" t="str">
        <x:v>Mort-vivant</x:v>
      </x:c>
      <x:c r="E41" s="23" t="n">
        <x:v>1</x:v>
      </x:c>
      <x:c r="F41" s="23" t="n">
        <x:v>1</x:v>
      </x:c>
      <x:c r="G41" s="23" t="n">
        <x:v>1</x:v>
      </x:c>
      <x:c r="H41" s="23" t="n">
        <x:v>2</x:v>
      </x:c>
      <x:c r="I41" s="23" t="n">
        <x:v>1</x:v>
      </x:c>
      <x:c r="J41" s="23" t="n">
        <x:v>2</x:v>
      </x:c>
      <x:c r="K41" s="23" t="n">
        <x:v>2</x:v>
      </x:c>
      <x:c r="L41" s="23" t="n">
        <x:v>1.3</x:v>
      </x:c>
      <x:c r="M41" s="23" t="n">
        <x:v>1</x:v>
      </x:c>
      <x:c r="N41" s="23" t="n">
        <x:v>1.5</x:v>
      </x:c>
      <x:c r="O41" s="23" t="n">
        <x:v>1</x:v>
      </x:c>
      <x:c r="P41" s="23" t="n">
        <x:v>1</x:v>
      </x:c>
      <x:c r="Q41" s="23" t="n">
        <x:v>1</x:v>
      </x:c>
      <x:c r="R41" s="23" t="n">
        <x:v>0</x:v>
      </x:c>
      <x:c r="S41" s="23" t="n">
        <x:v>0</x:v>
      </x:c>
      <x:c r="T41" s="23" t="n">
        <x:v>0</x:v>
      </x:c>
      <x:c r="U41" s="23" t="n">
        <x:v>0</x:v>
      </x:c>
      <x:c r="V41" s="23" t="n">
        <x:v>0</x:v>
      </x:c>
      <x:c r="W41" s="23" t="n">
        <x:v>0</x:v>
      </x:c>
      <x:c r="X41" s="23" t="n">
        <x:v>0</x:v>
      </x:c>
      <x:c r="Y41" s="23" t="n">
        <x:v>1</x:v>
      </x:c>
      <x:c r="Z41" s="23"/>
      <x:c r="AA41" s="23"/>
      <x:c r="AB41" s="23"/>
      <x:c r="AC41" s="23"/>
      <x:c r="AD41" s="23"/>
      <x:c r="AE41" s="23"/>
      <x:c r="AF41" s="23"/>
      <x:c r="AG41" s="23"/>
      <x:c r="AH41" s="23" t="str">
        <x:v>Oui</x:v>
      </x:c>
      <x:c r="AI41" s="23" t="str">
        <x:v>Oui</x:v>
      </x:c>
      <x:c r="AJ41" s="23"/>
      <x:c r="AK41" s="23" t="str">
        <x:v>ossements, bijoux ternis, poussière funéraire, reliques abîmées ou traces nécrotiques</x:v>
      </x:c>
      <x:c r="AL41" s="23" t="str">
        <x:v>Les restes conservent des traces de leur ancienne existence : ossements, bijoux ternis, équipement abîmé ou énergie nécrotique. Sous-famille : Sous-famille créée pour les morts-vivants intelligents, nobles ou boss mineurs.</x:v>
      </x:c>
      <x:c r="AM41" s="23" t="n">
        <x:v>8.5</x:v>
      </x:c>
      <x:c r="AN41" s="23" t="str">
        <x:v>Renforcé</x:v>
      </x:c>
      <x:c r="AO41" s="23" t="str">
        <x:v>Usage fréquent</x:v>
      </x:c>
      <x:c r="AP41" s="23" t="str">
        <x:v>Sous-famille</x:v>
      </x:c>
      <x:c r="AQ41" s="23" t="str">
        <x:v>Mort-vivant</x:v>
      </x:c>
      <x:c r="AR41" s="23" t="str">
        <x:v>Noble mort-vivant</x:v>
      </x:c>
      <x:c r="AS41" s="23" t="str">
        <x:v>Mort-vivant supérieur : vampire, liche, chevalier noir ou revenant majeur.</x:v>
      </x:c>
      <x:c r="AT41" s="69" t="str">
        <x:v>Neutre</x:v>
      </x:c>
      <x:c r="AU41" s="69" t="str">
        <x:v>Neutre</x:v>
      </x:c>
      <x:c r="AV41" s="69" t="str">
        <x:v>Neutre</x:v>
      </x:c>
      <x:c r="AW41" s="69" t="str">
        <x:v>Neutre</x:v>
      </x:c>
      <x:c r="AX41" s="69" t="str">
        <x:v>Résistant</x:v>
      </x:c>
      <x:c r="AY41" s="69" t="str">
        <x:v>Vulnérable</x:v>
      </x:c>
      <x:c r="AZ41" s="69" t="str">
        <x:v>Résistant</x:v>
      </x:c>
      <x:c r="BA41" s="69" t="str">
        <x:v>Neutre</x:v>
      </x:c>
      <x:c r="BB41" s="23" t="str">
        <x:f t="shared" si="1"/>
        <x:v>resistanceA_ombre vulnerableA_lumiere resistanceA_force</x:v>
      </x:c>
      <x:c r="BC41" s="75" t="str">
        <x:v>Oui</x:v>
      </x:c>
      <x:c r="BD41" s="75" t="str">
        <x:v>Non</x:v>
      </x:c>
      <x:c r="BE41" s="75" t="str">
        <x:v>Non</x:v>
      </x:c>
      <x:c r="BF41" s="75" t="str">
        <x:v>Non</x:v>
      </x:c>
      <x:c r="BG41" s="23" t="str">
        <x:v>Mort-vivant supérieur : vampire, liche, chevalier noir ou revenant majeur. Résiste à Ombre, Force par affinité ou constitution. Vulnérable à Lumière, qui perturbe directement sa nature. Sa morphologie réduit les dégâts tranchants.</x:v>
      </x:c>
      <x:c r="BH41" s="23" t="str">
        <x:f t="shared" si="2"/>
        <x:v>resistanceA_ombre vulnerableA_lumiere resistanceA_force resistanceA_tranchant</x:v>
      </x:c>
    </x:row>
    <x:row r="42" ht="14.25" customHeight="1">
      <x:c r="A42" s="23" t="str">
        <x:v>Prédateur monstrueux</x:v>
      </x:c>
      <x:c r="B42" s="23" t="n">
        <x:v>2080</x:v>
      </x:c>
      <x:c r="C42" s="23" t="str">
        <x:v>monster_predator</x:v>
      </x:c>
      <x:c r="D42" s="23" t="str">
        <x:v>Monstre</x:v>
      </x:c>
      <x:c r="E42" s="23" t="n">
        <x:v>2</x:v>
      </x:c>
      <x:c r="F42" s="23" t="n">
        <x:v>1</x:v>
      </x:c>
      <x:c r="G42" s="23" t="n">
        <x:v>1</x:v>
      </x:c>
      <x:c r="H42" s="23" t="n">
        <x:v>-2</x:v>
      </x:c>
      <x:c r="I42" s="23" t="n">
        <x:v>1</x:v>
      </x:c>
      <x:c r="J42" s="23" t="n">
        <x:v>0</x:v>
      </x:c>
      <x:c r="K42" s="23" t="n">
        <x:v>1</x:v>
      </x:c>
      <x:c r="L42" s="23" t="n">
        <x:v>1.2</x:v>
      </x:c>
      <x:c r="M42" s="23" t="n">
        <x:v>1</x:v>
      </x:c>
      <x:c r="N42" s="23" t="n">
        <x:v>1.25</x:v>
      </x:c>
      <x:c r="O42" s="23" t="n">
        <x:v>1</x:v>
      </x:c>
      <x:c r="P42" s="23" t="n">
        <x:v>0</x:v>
      </x:c>
      <x:c r="Q42" s="23" t="n">
        <x:v>0</x:v>
      </x:c>
      <x:c r="R42" s="23" t="n">
        <x:v>0</x:v>
      </x:c>
      <x:c r="S42" s="23" t="n">
        <x:v>0</x:v>
      </x:c>
      <x:c r="T42" s="23" t="n">
        <x:v>0</x:v>
      </x:c>
      <x:c r="U42" s="23" t="n">
        <x:v>0</x:v>
      </x:c>
      <x:c r="V42" s="23" t="n">
        <x:v>0</x:v>
      </x:c>
      <x:c r="W42" s="23" t="n">
        <x:v>0</x:v>
      </x:c>
      <x:c r="X42" s="23" t="n">
        <x:v>0</x:v>
      </x:c>
      <x:c r="Y42" s="23" t="n">
        <x:v>0</x:v>
      </x:c>
      <x:c r="Z42" s="23"/>
      <x:c r="AA42" s="23"/>
      <x:c r="AB42" s="23"/>
      <x:c r="AC42" s="23"/>
      <x:c r="AD42" s="23"/>
      <x:c r="AE42" s="23"/>
      <x:c r="AF42" s="23"/>
      <x:c r="AG42" s="23"/>
      <x:c r="AH42" s="23"/>
      <x:c r="AI42" s="23"/>
      <x:c r="AJ42" s="23"/>
      <x:c r="AK42" s="23" t="str">
        <x:v>trophées monstrueux, griffes, crocs, cuir étrange, organes rares ou composants mutés</x:v>
      </x:c>
      <x:c r="AL42" s="23" t="str">
        <x:v>La créature n’appartient pas au monde naturel ordinaire : ses griffes, crocs, organes ou mutations peuvent devenir des composants rares. Sous-famille : Sous-famille standard des monstres fantasy dangereux.</x:v>
      </x:c>
      <x:c r="AM42" s="23" t="n">
        <x:v>8.5</x:v>
      </x:c>
      <x:c r="AN42" s="23" t="str">
        <x:v>Renforcé</x:v>
      </x:c>
      <x:c r="AO42" s="23" t="str">
        <x:v>Usage fréquent</x:v>
      </x:c>
      <x:c r="AP42" s="23" t="str">
        <x:v>Sous-famille</x:v>
      </x:c>
      <x:c r="AQ42" s="23" t="str">
        <x:v>Monstre</x:v>
      </x:c>
      <x:c r="AR42" s="23" t="str">
        <x:v>Prédateur monstrueux</x:v>
      </x:c>
      <x:c r="AS42" s="23" t="str">
        <x:v>Monstre fantasy standard : basilic, owlbear, manticore simple.</x:v>
      </x:c>
      <x:c r="AT42" s="69" t="str">
        <x:v>Neutre</x:v>
      </x:c>
      <x:c r="AU42" s="69" t="str">
        <x:v>Neutre</x:v>
      </x:c>
      <x:c r="AV42" s="69" t="str">
        <x:v>Neutre</x:v>
      </x:c>
      <x:c r="AW42" s="69" t="str">
        <x:v>Neutre</x:v>
      </x:c>
      <x:c r="AX42" s="69" t="str">
        <x:v>Neutre</x:v>
      </x:c>
      <x:c r="AY42" s="69" t="str">
        <x:v>Neutre</x:v>
      </x:c>
      <x:c r="AZ42" s="69" t="str">
        <x:v>Neutre</x:v>
      </x:c>
      <x:c r="BA42" s="69" t="str">
        <x:v>Neutre</x:v>
      </x:c>
      <x:c r="BB42" s="23">
        <x:f t="shared" si="1"/>
      </x:c>
      <x:c r="BC42" s="75" t="str">
        <x:v>Oui</x:v>
      </x:c>
      <x:c r="BD42" s="75" t="str">
        <x:v>Non</x:v>
      </x:c>
      <x:c r="BE42" s="75" t="str">
        <x:v>Non</x:v>
      </x:c>
      <x:c r="BF42" s="75" t="str">
        <x:v>Non</x:v>
      </x:c>
      <x:c r="BG42" s="23" t="str">
        <x:v>Monstre fantasy standard : basilic, owlbear, manticore simple. Sa morphologie réduit les dégâts tranchants.</x:v>
      </x:c>
      <x:c r="BH42" s="23" t="str">
        <x:f t="shared" si="2"/>
        <x:v>resistanceA_tranchant</x:v>
      </x:c>
    </x:row>
    <x:row r="43" ht="14.25" customHeight="1">
      <x:c r="A43" s="23" t="str">
        <x:v>Sombre</x:v>
      </x:c>
      <x:c r="B43" s="23" t="n">
        <x:v>2071</x:v>
      </x:c>
      <x:c r="C43" s="23" t="str">
        <x:v>fey_dark</x:v>
      </x:c>
      <x:c r="D43" s="23" t="str">
        <x:v>Fée</x:v>
      </x:c>
      <x:c r="E43" s="23" t="n">
        <x:v>-1</x:v>
      </x:c>
      <x:c r="F43" s="23" t="n">
        <x:v>2</x:v>
      </x:c>
      <x:c r="G43" s="23" t="n">
        <x:v>0</x:v>
      </x:c>
      <x:c r="H43" s="23" t="n">
        <x:v>1</x:v>
      </x:c>
      <x:c r="I43" s="23" t="n">
        <x:v>1</x:v>
      </x:c>
      <x:c r="J43" s="23" t="n">
        <x:v>2</x:v>
      </x:c>
      <x:c r="K43" s="23" t="n">
        <x:v>1</x:v>
      </x:c>
      <x:c r="L43" s="23" t="n">
        <x:v>0.85</x:v>
      </x:c>
      <x:c r="M43" s="23" t="n">
        <x:v>2</x:v>
      </x:c>
      <x:c r="N43" s="23" t="n">
        <x:v>1.5</x:v>
      </x:c>
      <x:c r="O43" s="23" t="n">
        <x:v>0</x:v>
      </x:c>
      <x:c r="P43" s="23" t="n">
        <x:v>0</x:v>
      </x:c>
      <x:c r="Q43" s="23" t="n">
        <x:v>0</x:v>
      </x:c>
      <x:c r="R43" s="23" t="n">
        <x:v>0</x:v>
      </x:c>
      <x:c r="S43" s="23" t="n">
        <x:v>0</x:v>
      </x:c>
      <x:c r="T43" s="23" t="n">
        <x:v>0</x:v>
      </x:c>
      <x:c r="U43" s="23" t="n">
        <x:v>0</x:v>
      </x:c>
      <x:c r="V43" s="23" t="n">
        <x:v>0</x:v>
      </x:c>
      <x:c r="W43" s="23" t="n">
        <x:v>0</x:v>
      </x:c>
      <x:c r="X43" s="23" t="n">
        <x:v>1</x:v>
      </x:c>
      <x:c r="Y43" s="23" t="n">
        <x:v>1</x:v>
      </x:c>
      <x:c r="Z43" s="23"/>
      <x:c r="AA43" s="23"/>
      <x:c r="AB43" s="23"/>
      <x:c r="AC43" s="23"/>
      <x:c r="AD43" s="23"/>
      <x:c r="AE43" s="23"/>
      <x:c r="AF43" s="23"/>
      <x:c r="AG43" s="23"/>
      <x:c r="AH43" s="23"/>
      <x:c r="AI43" s="23"/>
      <x:c r="AJ43" s="23"/>
      <x:c r="AK43" s="23" t="str">
        <x:v>poudre féerique, essence subtile, fleurs étranges, bijoux minuscules ou ornements curieux</x:v>
      </x:c>
      <x:c r="AL43" s="23" t="str">
        <x:v>Les restes matériels sont rares et fragiles, mais chargés d'une magie subtile : poudre, essence, fleurs étranges ou petits ornements. Sous-famille : Sous-famille créée pour malédictions, illusions dangereuses et cruauté féerique.</x:v>
      </x:c>
      <x:c r="AM43" s="23" t="n">
        <x:v>8.5</x:v>
      </x:c>
      <x:c r="AN43" s="23" t="str">
        <x:v>Renforcé</x:v>
      </x:c>
      <x:c r="AO43" s="23" t="str">
        <x:v>Usage fréquent</x:v>
      </x:c>
      <x:c r="AP43" s="23" t="str">
        <x:v>Sous-famille</x:v>
      </x:c>
      <x:c r="AQ43" s="23" t="str">
        <x:v>Fée</x:v>
      </x:c>
      <x:c r="AR43" s="23" t="str">
        <x:v>Sombre</x:v>
      </x:c>
      <x:c r="AS43" s="23" t="str">
        <x:v>Fée cruelle, maudissante ou dangereuse par illusion.</x:v>
      </x:c>
      <x:c r="AT43" s="69" t="str">
        <x:v>Neutre</x:v>
      </x:c>
      <x:c r="AU43" s="69" t="str">
        <x:v>Neutre</x:v>
      </x:c>
      <x:c r="AV43" s="69" t="str">
        <x:v>Neutre</x:v>
      </x:c>
      <x:c r="AW43" s="69" t="str">
        <x:v>Neutre</x:v>
      </x:c>
      <x:c r="AX43" s="69" t="str">
        <x:v>Neutre</x:v>
      </x:c>
      <x:c r="AY43" s="69" t="str">
        <x:v>Vulnérable</x:v>
      </x:c>
      <x:c r="AZ43" s="69" t="str">
        <x:v>Résistant</x:v>
      </x:c>
      <x:c r="BA43" s="69" t="str">
        <x:v>Résistant</x:v>
      </x:c>
      <x:c r="BB43" s="23" t="str">
        <x:f t="shared" si="1"/>
        <x:v>vulnerableA_lumiere resistanceA_force</x:v>
      </x:c>
      <x:c r="BC43" s="75" t="str">
        <x:v>Non</x:v>
      </x:c>
      <x:c r="BD43" s="75" t="str">
        <x:v>Non</x:v>
      </x:c>
      <x:c r="BE43" s="75" t="str">
        <x:v>Non</x:v>
      </x:c>
      <x:c r="BF43" s="75" t="str">
        <x:v>Non</x:v>
      </x:c>
      <x:c r="BG43" s="23" t="str">
        <x:v>Fée cruelle, maudissante ou dangereuse par illusion. Résiste à Force par affinité ou constitution. Vulnérable à Lumière, qui perturbe directement sa nature.</x:v>
      </x:c>
      <x:c r="BH43" s="23" t="str">
        <x:f t="shared" si="2"/>
        <x:v>vulnerableA_lumiere resistanceA_force</x:v>
      </x:c>
    </x:row>
    <x:row r="44" ht="14.25" customHeight="1">
      <x:c r="A44" s="23" t="str">
        <x:v>Ogre</x:v>
      </x:c>
      <x:c r="B44" s="23" t="n">
        <x:v>2100</x:v>
      </x:c>
      <x:c r="C44" s="23" t="str">
        <x:v>giant_ogre</x:v>
      </x:c>
      <x:c r="D44" s="23" t="str">
        <x:v>Géant</x:v>
      </x:c>
      <x:c r="E44" s="23" t="n">
        <x:v>2</x:v>
      </x:c>
      <x:c r="F44" s="23" t="n">
        <x:v>-1</x:v>
      </x:c>
      <x:c r="G44" s="23" t="n">
        <x:v>2</x:v>
      </x:c>
      <x:c r="H44" s="23" t="n">
        <x:v>-2</x:v>
      </x:c>
      <x:c r="I44" s="23" t="n">
        <x:v>0</x:v>
      </x:c>
      <x:c r="J44" s="23" t="n">
        <x:v>-1</x:v>
      </x:c>
      <x:c r="K44" s="23" t="n">
        <x:v>-1</x:v>
      </x:c>
      <x:c r="L44" s="23" t="n">
        <x:v>1.4</x:v>
      </x:c>
      <x:c r="M44" s="23" t="n">
        <x:v>-1</x:v>
      </x:c>
      <x:c r="N44" s="23" t="n">
        <x:v>0.9</x:v>
      </x:c>
      <x:c r="O44" s="23" t="n">
        <x:v>0</x:v>
      </x:c>
      <x:c r="P44" s="23" t="n">
        <x:v>1</x:v>
      </x:c>
      <x:c r="Q44" s="23" t="n">
        <x:v>0</x:v>
      </x:c>
      <x:c r="R44" s="23" t="n">
        <x:v>0</x:v>
      </x:c>
      <x:c r="S44" s="23" t="n">
        <x:v>0</x:v>
      </x:c>
      <x:c r="T44" s="23" t="n">
        <x:v>0</x:v>
      </x:c>
      <x:c r="U44" s="23" t="n">
        <x:v>0</x:v>
      </x:c>
      <x:c r="V44" s="23" t="n">
        <x:v>0</x:v>
      </x:c>
      <x:c r="W44" s="23" t="n">
        <x:v>0</x:v>
      </x:c>
      <x:c r="X44" s="23" t="n">
        <x:v>0</x:v>
      </x:c>
      <x:c r="Y44" s="23" t="n">
        <x:v>0</x:v>
      </x:c>
      <x:c r="Z44" s="23"/>
      <x:c r="AA44" s="23"/>
      <x:c r="AB44" s="23"/>
      <x:c r="AC44" s="23"/>
      <x:c r="AD44" s="23"/>
      <x:c r="AE44" s="23"/>
      <x:c r="AF44" s="23"/>
      <x:c r="AG44" s="23"/>
      <x:c r="AH44" s="23"/>
      <x:c r="AI44" s="23"/>
      <x:c r="AJ44" s="23"/>
      <x:c r="AK44" s="23" t="str">
        <x:v>cuir épais, dents massives, os lourds, équipement surdimensionné ou objets pillés</x:v>
      </x:c>
      <x:c r="AL44" s="23" t="str">
        <x:v>La créature laisse des ressources massives et encombrantes : cuir épais, os lourds, dents, équipement surdimensionné ou objets pillés. Sous-famille : Sous-famille créée pour les grands brutes plus faibles qu’un vrai géant.</x:v>
      </x:c>
      <x:c r="AM44" s="23" t="n">
        <x:v>9</x:v>
      </x:c>
      <x:c r="AN44" s="23" t="str">
        <x:v>Dangereux</x:v>
      </x:c>
      <x:c r="AO44" s="23" t="str">
        <x:v>Rencontre marquante</x:v>
      </x:c>
      <x:c r="AP44" s="23" t="str">
        <x:v>Sous-famille</x:v>
      </x:c>
      <x:c r="AQ44" s="23" t="str">
        <x:v>Géant</x:v>
      </x:c>
      <x:c r="AR44" s="23" t="str">
        <x:v>Ogre</x:v>
      </x:c>
      <x:c r="AS44" s="23" t="str">
        <x:v>Gros humanoïde brutal, moins puissant qu’un vrai géant.</x:v>
      </x:c>
      <x:c r="AT44" s="69" t="str">
        <x:v>Neutre</x:v>
      </x:c>
      <x:c r="AU44" s="69" t="str">
        <x:v>Neutre</x:v>
      </x:c>
      <x:c r="AV44" s="69" t="str">
        <x:v>Neutre</x:v>
      </x:c>
      <x:c r="AW44" s="69" t="str">
        <x:v>Neutre</x:v>
      </x:c>
      <x:c r="AX44" s="69" t="str">
        <x:v>Neutre</x:v>
      </x:c>
      <x:c r="AY44" s="69" t="str">
        <x:v>Neutre</x:v>
      </x:c>
      <x:c r="AZ44" s="69" t="str">
        <x:v>Neutre</x:v>
      </x:c>
      <x:c r="BA44" s="69" t="str">
        <x:v>Neutre</x:v>
      </x:c>
      <x:c r="BB44" s="23">
        <x:f t="shared" si="1"/>
      </x:c>
      <x:c r="BC44" s="75" t="str">
        <x:v>Non</x:v>
      </x:c>
      <x:c r="BD44" s="75" t="str">
        <x:v>Non</x:v>
      </x:c>
      <x:c r="BE44" s="75" t="str">
        <x:v>Oui</x:v>
      </x:c>
      <x:c r="BF44" s="75" t="str">
        <x:v>Non</x:v>
      </x:c>
      <x:c r="BG44" s="23" t="str">
        <x:v>Gros humanoïde brutal, moins puissant qu’un vrai géant. Sa morphologie réduit les dégâts contondants.</x:v>
      </x:c>
      <x:c r="BH44" s="23" t="str">
        <x:f t="shared" si="2"/>
        <x:v>resistanceA_contondant</x:v>
      </x:c>
    </x:row>
    <x:row r="45" ht="14.25" customHeight="1">
      <x:c r="A45" s="23" t="str">
        <x:v>Hybride</x:v>
      </x:c>
      <x:c r="B45" s="23" t="n">
        <x:v>2081</x:v>
      </x:c>
      <x:c r="C45" s="23" t="str">
        <x:v>monster_hybrid</x:v>
      </x:c>
      <x:c r="D45" s="23" t="str">
        <x:v>Monstre</x:v>
      </x:c>
      <x:c r="E45" s="23" t="n">
        <x:v>2</x:v>
      </x:c>
      <x:c r="F45" s="23" t="n">
        <x:v>1</x:v>
      </x:c>
      <x:c r="G45" s="23" t="n">
        <x:v>2</x:v>
      </x:c>
      <x:c r="H45" s="23" t="n">
        <x:v>-1</x:v>
      </x:c>
      <x:c r="I45" s="23" t="n">
        <x:v>1</x:v>
      </x:c>
      <x:c r="J45" s="23" t="n">
        <x:v>0</x:v>
      </x:c>
      <x:c r="K45" s="23" t="n">
        <x:v>1</x:v>
      </x:c>
      <x:c r="L45" s="23" t="n">
        <x:v>1.3</x:v>
      </x:c>
      <x:c r="M45" s="23" t="n">
        <x:v>1</x:v>
      </x:c>
      <x:c r="N45" s="23" t="n">
        <x:v>1.4</x:v>
      </x:c>
      <x:c r="O45" s="23" t="n">
        <x:v>1</x:v>
      </x:c>
      <x:c r="P45" s="23" t="n">
        <x:v>0</x:v>
      </x:c>
      <x:c r="Q45" s="23" t="n">
        <x:v>1</x:v>
      </x:c>
      <x:c r="R45" s="23" t="n">
        <x:v>0</x:v>
      </x:c>
      <x:c r="S45" s="23" t="n">
        <x:v>0</x:v>
      </x:c>
      <x:c r="T45" s="23" t="n">
        <x:v>0</x:v>
      </x:c>
      <x:c r="U45" s="23" t="n">
        <x:v>0</x:v>
      </x:c>
      <x:c r="V45" s="23" t="n">
        <x:v>0</x:v>
      </x:c>
      <x:c r="W45" s="23" t="n">
        <x:v>0</x:v>
      </x:c>
      <x:c r="X45" s="23" t="n">
        <x:v>0</x:v>
      </x:c>
      <x:c r="Y45" s="23" t="n">
        <x:v>0</x:v>
      </x:c>
      <x:c r="Z45" s="23"/>
      <x:c r="AA45" s="23"/>
      <x:c r="AB45" s="23"/>
      <x:c r="AC45" s="23"/>
      <x:c r="AD45" s="23"/>
      <x:c r="AE45" s="23"/>
      <x:c r="AF45" s="23"/>
      <x:c r="AG45" s="23"/>
      <x:c r="AH45" s="23"/>
      <x:c r="AI45" s="23"/>
      <x:c r="AJ45" s="23"/>
      <x:c r="AK45" s="23" t="str">
        <x:v>trophées monstrueux, griffes, crocs, cuir étrange, organes rares ou composants mutés</x:v>
      </x:c>
      <x:c r="AL45" s="23" t="str">
        <x:v>La créature n’appartient pas au monde naturel ordinaire : ses griffes, crocs, organes ou mutations peuvent devenir des composants rares. Sous-famille : Sous-famille créée pour les créatures à plusieurs natures ou formes.</x:v>
      </x:c>
      <x:c r="AM45" s="23" t="n">
        <x:v>9.5</x:v>
      </x:c>
      <x:c r="AN45" s="23" t="str">
        <x:v>Dangereux</x:v>
      </x:c>
      <x:c r="AO45" s="23" t="str">
        <x:v>Rencontre marquante</x:v>
      </x:c>
      <x:c r="AP45" s="23" t="str">
        <x:v>Sous-famille</x:v>
      </x:c>
      <x:c r="AQ45" s="23" t="str">
        <x:v>Monstre</x:v>
      </x:c>
      <x:c r="AR45" s="23" t="str">
        <x:v>Hybride</x:v>
      </x:c>
      <x:c r="AS45" s="23" t="str">
        <x:v>Créature composite à plusieurs natures : chimère, griffon monstrueux.</x:v>
      </x:c>
      <x:c r="AT45" s="69" t="str">
        <x:v>Neutre</x:v>
      </x:c>
      <x:c r="AU45" s="69" t="str">
        <x:v>Neutre</x:v>
      </x:c>
      <x:c r="AV45" s="69" t="str">
        <x:v>Neutre</x:v>
      </x:c>
      <x:c r="AW45" s="69" t="str">
        <x:v>Neutre</x:v>
      </x:c>
      <x:c r="AX45" s="69" t="str">
        <x:v>Neutre</x:v>
      </x:c>
      <x:c r="AY45" s="69" t="str">
        <x:v>Neutre</x:v>
      </x:c>
      <x:c r="AZ45" s="69" t="str">
        <x:v>Neutre</x:v>
      </x:c>
      <x:c r="BA45" s="69" t="str">
        <x:v>Neutre</x:v>
      </x:c>
      <x:c r="BB45" s="23">
        <x:f t="shared" si="1"/>
      </x:c>
      <x:c r="BC45" s="75" t="str">
        <x:v>Oui</x:v>
      </x:c>
      <x:c r="BD45" s="75" t="str">
        <x:v>Non</x:v>
      </x:c>
      <x:c r="BE45" s="75" t="str">
        <x:v>Non</x:v>
      </x:c>
      <x:c r="BF45" s="75" t="str">
        <x:v>Non</x:v>
      </x:c>
      <x:c r="BG45" s="23" t="str">
        <x:v>Créature composite à plusieurs natures : chimère, griffon monstrueux. Sa morphologie réduit les dégâts tranchants.</x:v>
      </x:c>
      <x:c r="BH45" s="23" t="str">
        <x:f t="shared" si="2"/>
        <x:v>resistanceA_tranchant</x:v>
      </x:c>
    </x:row>
    <x:row r="46" ht="14.25" customHeight="1">
      <x:c r="A46" s="23" t="str">
        <x:v>Brute infernale</x:v>
      </x:c>
      <x:c r="B46" s="23" t="n">
        <x:v>2091</x:v>
      </x:c>
      <x:c r="C46" s="23" t="str">
        <x:v>fiend_brute</x:v>
      </x:c>
      <x:c r="D46" s="23" t="str">
        <x:v>Démon</x:v>
      </x:c>
      <x:c r="E46" s="23" t="n">
        <x:v>1</x:v>
      </x:c>
      <x:c r="F46" s="23" t="n">
        <x:v>0</x:v>
      </x:c>
      <x:c r="G46" s="23" t="n">
        <x:v>1</x:v>
      </x:c>
      <x:c r="H46" s="23" t="n">
        <x:v>0</x:v>
      </x:c>
      <x:c r="I46" s="23" t="n">
        <x:v>0</x:v>
      </x:c>
      <x:c r="J46" s="23" t="n">
        <x:v>2</x:v>
      </x:c>
      <x:c r="K46" s="23" t="n">
        <x:v>0</x:v>
      </x:c>
      <x:c r="L46" s="23" t="n">
        <x:v>1.15</x:v>
      </x:c>
      <x:c r="M46" s="23" t="n">
        <x:v>0</x:v>
      </x:c>
      <x:c r="N46" s="23" t="n">
        <x:v>1.5</x:v>
      </x:c>
      <x:c r="O46" s="23" t="n">
        <x:v>0</x:v>
      </x:c>
      <x:c r="P46" s="23" t="n">
        <x:v>0</x:v>
      </x:c>
      <x:c r="Q46" s="23" t="n">
        <x:v>0</x:v>
      </x:c>
      <x:c r="R46" s="23" t="n">
        <x:v>2</x:v>
      </x:c>
      <x:c r="S46" s="23" t="n">
        <x:v>0</x:v>
      </x:c>
      <x:c r="T46" s="23" t="n">
        <x:v>0</x:v>
      </x:c>
      <x:c r="U46" s="23" t="n">
        <x:v>0</x:v>
      </x:c>
      <x:c r="V46" s="23" t="n">
        <x:v>0</x:v>
      </x:c>
      <x:c r="W46" s="23" t="n">
        <x:v>0</x:v>
      </x:c>
      <x:c r="X46" s="23" t="n">
        <x:v>1</x:v>
      </x:c>
      <x:c r="Y46" s="23" t="n">
        <x:v>1</x:v>
      </x:c>
      <x:c r="Z46" s="23"/>
      <x:c r="AA46" s="23"/>
      <x:c r="AB46" s="23"/>
      <x:c r="AC46" s="23"/>
      <x:c r="AD46" s="23"/>
      <x:c r="AE46" s="23"/>
      <x:c r="AF46" s="23"/>
      <x:c r="AG46" s="23"/>
      <x:c r="AH46" s="23" t="str">
        <x:v>Oui</x:v>
      </x:c>
      <x:c r="AI46" s="23"/>
      <x:c r="AJ46" s="23"/>
      <x:c r="AK46" s="23" t="str">
        <x:v>ichor, cornes, griffes noires, cendres infernales ou fragments corrompus</x:v>
      </x:c>
      <x:c r="AL46" s="23" t="str">
        <x:v>Les restes sont dangereux à manipuler, mais précieux : ichor, cornes, cendres infernales ou fragments corrompus peuvent intéresser des occultistes. Sous-famille : Sous-famille standard des démons de combat.</x:v>
      </x:c>
      <x:c r="AM46" s="23" t="n">
        <x:v>10.5</x:v>
      </x:c>
      <x:c r="AN46" s="23" t="str">
        <x:v>Dangereux</x:v>
      </x:c>
      <x:c r="AO46" s="23" t="str">
        <x:v>Rencontre marquante</x:v>
      </x:c>
      <x:c r="AP46" s="23" t="str">
        <x:v>Sous-famille</x:v>
      </x:c>
      <x:c r="AQ46" s="23" t="str">
        <x:v>Démon</x:v>
      </x:c>
      <x:c r="AR46" s="23" t="str">
        <x:v>Brute infernale</x:v>
      </x:c>
      <x:c r="AS46" s="23" t="str">
        <x:v>Démon de combat standard.</x:v>
      </x:c>
      <x:c r="AT46" s="69" t="str">
        <x:v>Résistant</x:v>
      </x:c>
      <x:c r="AU46" s="69" t="str">
        <x:v>Neutre</x:v>
      </x:c>
      <x:c r="AV46" s="69" t="str">
        <x:v>Neutre</x:v>
      </x:c>
      <x:c r="AW46" s="69" t="str">
        <x:v>Neutre</x:v>
      </x:c>
      <x:c r="AX46" s="69" t="str">
        <x:v>Résistant</x:v>
      </x:c>
      <x:c r="AY46" s="69" t="str">
        <x:v>Vulnérable</x:v>
      </x:c>
      <x:c r="AZ46" s="69" t="str">
        <x:v>Neutre</x:v>
      </x:c>
      <x:c r="BA46" s="69" t="str">
        <x:v>Neutre</x:v>
      </x:c>
      <x:c r="BB46" s="23" t="str">
        <x:f t="shared" si="1"/>
        <x:v>resistanceA_feu resistanceA_ombre vulnerableA_lumiere</x:v>
      </x:c>
      <x:c r="BC46" s="75" t="str">
        <x:v>Oui</x:v>
      </x:c>
      <x:c r="BD46" s="75" t="str">
        <x:v>Non</x:v>
      </x:c>
      <x:c r="BE46" s="75" t="str">
        <x:v>Oui</x:v>
      </x:c>
      <x:c r="BF46" s="75" t="str">
        <x:v>Non</x:v>
      </x:c>
      <x:c r="BG46" s="23" t="str">
        <x:v>Démon de combat standard. Résiste à Feu, Ombre par affinité ou constitution. Vulnérable à Lumière, qui perturbe directement sa nature. Sa morphologie réduit les dégâts tranchants, contondants.</x:v>
      </x:c>
      <x:c r="BH46" s="23" t="str">
        <x:f t="shared" si="2"/>
        <x:v>resistanceA_feu resistanceA_ombre vulnerableA_lumiere resistanceA_tranchant resistanceA_contondant</x:v>
      </x:c>
    </x:row>
    <x:row r="47" ht="14.25" customHeight="1">
      <x:c r="A47" s="23" t="str">
        <x:v>Géant véritable</x:v>
      </x:c>
      <x:c r="B47" s="23" t="n">
        <x:v>2101</x:v>
      </x:c>
      <x:c r="C47" s="23" t="str">
        <x:v>giant_true</x:v>
      </x:c>
      <x:c r="D47" s="23" t="str">
        <x:v>Géant</x:v>
      </x:c>
      <x:c r="E47" s="23" t="n">
        <x:v>3</x:v>
      </x:c>
      <x:c r="F47" s="23" t="n">
        <x:v>-2</x:v>
      </x:c>
      <x:c r="G47" s="23" t="n">
        <x:v>2</x:v>
      </x:c>
      <x:c r="H47" s="23" t="n">
        <x:v>-1</x:v>
      </x:c>
      <x:c r="I47" s="23" t="n">
        <x:v>0</x:v>
      </x:c>
      <x:c r="J47" s="23" t="n">
        <x:v>0</x:v>
      </x:c>
      <x:c r="K47" s="23" t="n">
        <x:v>-1</x:v>
      </x:c>
      <x:c r="L47" s="23" t="n">
        <x:v>1.7</x:v>
      </x:c>
      <x:c r="M47" s="23" t="n">
        <x:v>-2</x:v>
      </x:c>
      <x:c r="N47" s="23" t="n">
        <x:v>1</x:v>
      </x:c>
      <x:c r="O47" s="23" t="n">
        <x:v>1</x:v>
      </x:c>
      <x:c r="P47" s="23" t="n">
        <x:v>1</x:v>
      </x:c>
      <x:c r="Q47" s="23" t="n">
        <x:v>1</x:v>
      </x:c>
      <x:c r="R47" s="23" t="n">
        <x:v>0</x:v>
      </x:c>
      <x:c r="S47" s="23" t="n">
        <x:v>0</x:v>
      </x:c>
      <x:c r="T47" s="23" t="n">
        <x:v>0</x:v>
      </x:c>
      <x:c r="U47" s="23" t="n">
        <x:v>0</x:v>
      </x:c>
      <x:c r="V47" s="23" t="n">
        <x:v>0</x:v>
      </x:c>
      <x:c r="W47" s="23" t="n">
        <x:v>0</x:v>
      </x:c>
      <x:c r="X47" s="23" t="n">
        <x:v>0</x:v>
      </x:c>
      <x:c r="Y47" s="23" t="n">
        <x:v>0</x:v>
      </x:c>
      <x:c r="Z47" s="23"/>
      <x:c r="AA47" s="23"/>
      <x:c r="AB47" s="23"/>
      <x:c r="AC47" s="23"/>
      <x:c r="AD47" s="23"/>
      <x:c r="AE47" s="23"/>
      <x:c r="AF47" s="23"/>
      <x:c r="AG47" s="23"/>
      <x:c r="AH47" s="23"/>
      <x:c r="AI47" s="23"/>
      <x:c r="AJ47" s="23"/>
      <x:c r="AK47" s="23" t="str">
        <x:v>cuir épais, dents massives, os lourds, équipement surdimensionné ou objets pillés</x:v>
      </x:c>
      <x:c r="AL47" s="23" t="str">
        <x:v>La créature laisse des ressources massives et encombrantes : cuir épais, os lourds, dents, équipement surdimensionné ou objets pillés. Sous-famille : Sous-famille standard des géants.</x:v>
      </x:c>
      <x:c r="AM47" s="23" t="n">
        <x:v>10.5</x:v>
      </x:c>
      <x:c r="AN47" s="23" t="str">
        <x:v>Dangereux</x:v>
      </x:c>
      <x:c r="AO47" s="23" t="str">
        <x:v>Rencontre marquante</x:v>
      </x:c>
      <x:c r="AP47" s="23" t="str">
        <x:v>Sous-famille</x:v>
      </x:c>
      <x:c r="AQ47" s="23" t="str">
        <x:v>Géant</x:v>
      </x:c>
      <x:c r="AR47" s="23" t="str">
        <x:v>Géant véritable</x:v>
      </x:c>
      <x:c r="AS47" s="23" t="str">
        <x:v>Géant standard : force, taille, endurance.</x:v>
      </x:c>
      <x:c r="AT47" s="69" t="str">
        <x:v>Neutre</x:v>
      </x:c>
      <x:c r="AU47" s="69" t="str">
        <x:v>Neutre</x:v>
      </x:c>
      <x:c r="AV47" s="69" t="str">
        <x:v>Neutre</x:v>
      </x:c>
      <x:c r="AW47" s="69" t="str">
        <x:v>Résistant</x:v>
      </x:c>
      <x:c r="AX47" s="69" t="str">
        <x:v>Neutre</x:v>
      </x:c>
      <x:c r="AY47" s="69" t="str">
        <x:v>Neutre</x:v>
      </x:c>
      <x:c r="AZ47" s="69" t="str">
        <x:v>Neutre</x:v>
      </x:c>
      <x:c r="BA47" s="69" t="str">
        <x:v>Neutre</x:v>
      </x:c>
      <x:c r="BB47" s="23" t="str">
        <x:f t="shared" si="1"/>
        <x:v>resistanceA_terre</x:v>
      </x:c>
      <x:c r="BC47" s="75" t="str">
        <x:v>Non</x:v>
      </x:c>
      <x:c r="BD47" s="75" t="str">
        <x:v>Non</x:v>
      </x:c>
      <x:c r="BE47" s="75" t="str">
        <x:v>Oui</x:v>
      </x:c>
      <x:c r="BF47" s="75" t="str">
        <x:v>Non</x:v>
      </x:c>
      <x:c r="BG47" s="23" t="str">
        <x:v>Géant standard : force, taille, endurance. Résiste à Terre par affinité ou constitution. Sa morphologie réduit les dégâts contondants.</x:v>
      </x:c>
      <x:c r="BH47" s="23" t="str">
        <x:f t="shared" si="2"/>
        <x:v>resistanceA_terre resistanceA_contondant</x:v>
      </x:c>
    </x:row>
    <x:row r="48" ht="14.25" customHeight="1">
      <x:c r="A48" s="23" t="str">
        <x:v>Régénérant</x:v>
      </x:c>
      <x:c r="B48" s="23" t="n">
        <x:v>2082</x:v>
      </x:c>
      <x:c r="C48" s="23" t="str">
        <x:v>monster_regenerating</x:v>
      </x:c>
      <x:c r="D48" s="23" t="str">
        <x:v>Monstre</x:v>
      </x:c>
      <x:c r="E48" s="23" t="n">
        <x:v>3</x:v>
      </x:c>
      <x:c r="F48" s="23" t="n">
        <x:v>0</x:v>
      </x:c>
      <x:c r="G48" s="23" t="n">
        <x:v>3</x:v>
      </x:c>
      <x:c r="H48" s="23" t="n">
        <x:v>-2</x:v>
      </x:c>
      <x:c r="I48" s="23" t="n">
        <x:v>0</x:v>
      </x:c>
      <x:c r="J48" s="23" t="n">
        <x:v>0</x:v>
      </x:c>
      <x:c r="K48" s="23" t="n">
        <x:v>1</x:v>
      </x:c>
      <x:c r="L48" s="23" t="n">
        <x:v>1.6</x:v>
      </x:c>
      <x:c r="M48" s="23" t="n">
        <x:v>0</x:v>
      </x:c>
      <x:c r="N48" s="23" t="n">
        <x:v>1</x:v>
      </x:c>
      <x:c r="O48" s="23" t="n">
        <x:v>1</x:v>
      </x:c>
      <x:c r="P48" s="23" t="n">
        <x:v>1</x:v>
      </x:c>
      <x:c r="Q48" s="23" t="n">
        <x:v>1</x:v>
      </x:c>
      <x:c r="R48" s="23" t="n">
        <x:v>0</x:v>
      </x:c>
      <x:c r="S48" s="23" t="n">
        <x:v>0</x:v>
      </x:c>
      <x:c r="T48" s="23" t="n">
        <x:v>0</x:v>
      </x:c>
      <x:c r="U48" s="23" t="n">
        <x:v>0</x:v>
      </x:c>
      <x:c r="V48" s="23" t="n">
        <x:v>0</x:v>
      </x:c>
      <x:c r="W48" s="23" t="n">
        <x:v>0</x:v>
      </x:c>
      <x:c r="X48" s="23" t="n">
        <x:v>0</x:v>
      </x:c>
      <x:c r="Y48" s="23" t="n">
        <x:v>0</x:v>
      </x:c>
      <x:c r="Z48" s="23"/>
      <x:c r="AA48" s="23"/>
      <x:c r="AB48" s="23"/>
      <x:c r="AC48" s="23"/>
      <x:c r="AD48" s="23"/>
      <x:c r="AE48" s="23"/>
      <x:c r="AF48" s="23"/>
      <x:c r="AG48" s="23"/>
      <x:c r="AH48" s="23"/>
      <x:c r="AI48" s="23"/>
      <x:c r="AJ48" s="23"/>
      <x:c r="AK48" s="23" t="str">
        <x:v>trophées monstrueux, griffes, crocs, cuir étrange, organes rares ou composants mutés</x:v>
      </x:c>
      <x:c r="AL48" s="23" t="str">
        <x:v>La créature n’appartient pas au monde naturel ordinaire : ses griffes, crocs, organes ou mutations peuvent devenir des composants rares. Sous-famille : Sous-famille créée car la régénération change la difficulté réelle du combat.</x:v>
      </x:c>
      <x:c r="AM48" s="23" t="n">
        <x:v>11</x:v>
      </x:c>
      <x:c r="AN48" s="23" t="str">
        <x:v>Dangereux</x:v>
      </x:c>
      <x:c r="AO48" s="23" t="str">
        <x:v>Rencontre marquante</x:v>
      </x:c>
      <x:c r="AP48" s="23" t="str">
        <x:v>Sous-famille</x:v>
      </x:c>
      <x:c r="AQ48" s="23" t="str">
        <x:v>Monstre</x:v>
      </x:c>
      <x:c r="AR48" s="23" t="str">
        <x:v>Régénérant</x:v>
      </x:c>
      <x:c r="AS48" s="23" t="str">
        <x:v>Monstre difficile à achever : troll ou horreur régénérante.</x:v>
      </x:c>
      <x:c r="AT48" s="69" t="str">
        <x:v>Vulnérable</x:v>
      </x:c>
      <x:c r="AU48" s="69" t="str">
        <x:v>Neutre</x:v>
      </x:c>
      <x:c r="AV48" s="69" t="str">
        <x:v>Neutre</x:v>
      </x:c>
      <x:c r="AW48" s="69" t="str">
        <x:v>Neutre</x:v>
      </x:c>
      <x:c r="AX48" s="69" t="str">
        <x:v>Neutre</x:v>
      </x:c>
      <x:c r="AY48" s="69" t="str">
        <x:v>Neutre</x:v>
      </x:c>
      <x:c r="AZ48" s="69" t="str">
        <x:v>Neutre</x:v>
      </x:c>
      <x:c r="BA48" s="69" t="str">
        <x:v>Résistant</x:v>
      </x:c>
      <x:c r="BB48" s="23" t="str">
        <x:f t="shared" si="1"/>
        <x:v>vulnerableA_feu</x:v>
      </x:c>
      <x:c r="BC48" s="75" t="str">
        <x:v>Oui</x:v>
      </x:c>
      <x:c r="BD48" s="75" t="str">
        <x:v>Non</x:v>
      </x:c>
      <x:c r="BE48" s="75" t="str">
        <x:v>Non</x:v>
      </x:c>
      <x:c r="BF48" s="75" t="str">
        <x:v>Non</x:v>
      </x:c>
      <x:c r="BG48" s="23" t="str">
        <x:v>Monstre difficile à achever : troll ou horreur régénérante. Vulnérable à Feu, qui perturbe directement sa nature. Sa morphologie réduit les dégâts tranchants.</x:v>
      </x:c>
      <x:c r="BH48" s="23" t="str">
        <x:f t="shared" si="2"/>
        <x:v>vulnerableA_feu resistanceA_tranchant</x:v>
      </x:c>
    </x:row>
    <x:row r="49" ht="14.25" customHeight="1">
      <x:c r="A49" s="23" t="str">
        <x:v>Messager divin</x:v>
      </x:c>
      <x:c r="B49" s="23" t="n">
        <x:v>2130</x:v>
      </x:c>
      <x:c r="C49" s="23" t="str">
        <x:v>celestial_messenger</x:v>
      </x:c>
      <x:c r="D49" s="23" t="str">
        <x:v>Céleste</x:v>
      </x:c>
      <x:c r="E49" s="23" t="n">
        <x:v>0</x:v>
      </x:c>
      <x:c r="F49" s="23" t="n">
        <x:v>2</x:v>
      </x:c>
      <x:c r="G49" s="23" t="n">
        <x:v>0</x:v>
      </x:c>
      <x:c r="H49" s="23" t="n">
        <x:v>1</x:v>
      </x:c>
      <x:c r="I49" s="23" t="n">
        <x:v>2</x:v>
      </x:c>
      <x:c r="J49" s="23" t="n">
        <x:v>2</x:v>
      </x:c>
      <x:c r="K49" s="23" t="n">
        <x:v>1</x:v>
      </x:c>
      <x:c r="L49" s="23" t="n">
        <x:v>0.9</x:v>
      </x:c>
      <x:c r="M49" s="23" t="n">
        <x:v>2</x:v>
      </x:c>
      <x:c r="N49" s="23" t="n">
        <x:v>1.25</x:v>
      </x:c>
      <x:c r="O49" s="23" t="n">
        <x:v>0</x:v>
      </x:c>
      <x:c r="P49" s="23" t="n">
        <x:v>0</x:v>
      </x:c>
      <x:c r="Q49" s="23" t="n">
        <x:v>0</x:v>
      </x:c>
      <x:c r="R49" s="23" t="n">
        <x:v>0</x:v>
      </x:c>
      <x:c r="S49" s="23" t="n">
        <x:v>0</x:v>
      </x:c>
      <x:c r="T49" s="23" t="n">
        <x:v>0</x:v>
      </x:c>
      <x:c r="U49" s="23" t="n">
        <x:v>0</x:v>
      </x:c>
      <x:c r="V49" s="23" t="n">
        <x:v>0</x:v>
      </x:c>
      <x:c r="W49" s="23" t="n">
        <x:v>0</x:v>
      </x:c>
      <x:c r="X49" s="23" t="n">
        <x:v>0</x:v>
      </x:c>
      <x:c r="Y49" s="23" t="n">
        <x:v>1</x:v>
      </x:c>
      <x:c r="Z49" s="23"/>
      <x:c r="AA49" s="23"/>
      <x:c r="AB49" s="23"/>
      <x:c r="AC49" s="23"/>
      <x:c r="AD49" s="23"/>
      <x:c r="AE49" s="23"/>
      <x:c r="AF49" s="23"/>
      <x:c r="AG49" s="23"/>
      <x:c r="AH49" s="23"/>
      <x:c r="AI49" s="23"/>
      <x:c r="AJ49" s="23"/>
      <x:c r="AK49" s="23" t="str">
        <x:v>plumes sacrées, fragments lumineux, larmes cristallisées, reliques bénies ou essence radieuse</x:v>
      </x:c>
      <x:c r="AL49" s="23" t="str">
        <x:v>La créature sacrée laisse peu de chair exploitable, mais ses fragments lumineux et reliques bénies ont une valeur spirituelle élevée. Sous-famille : Sous-famille créée pour les célestes rapides ou porteurs de message.</x:v>
      </x:c>
      <x:c r="AM49" s="23" t="n">
        <x:v>11.5</x:v>
      </x:c>
      <x:c r="AN49" s="23" t="str">
        <x:v>Dangereux</x:v>
      </x:c>
      <x:c r="AO49" s="23" t="str">
        <x:v>Rencontre marquante</x:v>
      </x:c>
      <x:c r="AP49" s="23" t="str">
        <x:v>Sous-famille</x:v>
      </x:c>
      <x:c r="AQ49" s="23" t="str">
        <x:v>Céleste</x:v>
      </x:c>
      <x:c r="AR49" s="23" t="str">
        <x:v>Messager divin</x:v>
      </x:c>
      <x:c r="AS49" s="23" t="str">
        <x:v>Céleste léger, rapide ou porteur de magie sacrée.</x:v>
      </x:c>
      <x:c r="AT49" s="69" t="str">
        <x:v>Neutre</x:v>
      </x:c>
      <x:c r="AU49" s="69" t="str">
        <x:v>Résistant</x:v>
      </x:c>
      <x:c r="AV49" s="69" t="str">
        <x:v>Neutre</x:v>
      </x:c>
      <x:c r="AW49" s="69" t="str">
        <x:v>Neutre</x:v>
      </x:c>
      <x:c r="AX49" s="69" t="str">
        <x:v>Vulnérable</x:v>
      </x:c>
      <x:c r="AY49" s="69" t="str">
        <x:v>Résistant</x:v>
      </x:c>
      <x:c r="AZ49" s="69" t="str">
        <x:v>Neutre</x:v>
      </x:c>
      <x:c r="BA49" s="69" t="str">
        <x:v>Neutre</x:v>
      </x:c>
      <x:c r="BB49" s="23" t="str">
        <x:f t="shared" si="1"/>
        <x:v>resistanceA_air vulnerableA_ombre resistanceA_lumiere</x:v>
      </x:c>
      <x:c r="BC49" s="75" t="str">
        <x:v>Non</x:v>
      </x:c>
      <x:c r="BD49" s="75" t="str">
        <x:v>Non</x:v>
      </x:c>
      <x:c r="BE49" s="75" t="str">
        <x:v>Non</x:v>
      </x:c>
      <x:c r="BF49" s="75" t="str">
        <x:v>Non</x:v>
      </x:c>
      <x:c r="BG49" s="23" t="str">
        <x:v>Céleste léger, rapide ou porteur de magie sacrée. Résiste à Air, Lumière par affinité ou constitution. Vulnérable à Ombre, qui perturbe directement sa nature.</x:v>
      </x:c>
      <x:c r="BH49" s="23" t="str">
        <x:f t="shared" si="2"/>
        <x:v>resistanceA_air vulnerableA_ombre resistanceA_lumiere</x:v>
      </x:c>
    </x:row>
    <x:row r="50" ht="14.25" customHeight="1">
      <x:c r="A50" s="23" t="str">
        <x:v>Corrupteur</x:v>
      </x:c>
      <x:c r="B50" s="23" t="n">
        <x:v>2092</x:v>
      </x:c>
      <x:c r="C50" s="23" t="str">
        <x:v>fiend_corrupter</x:v>
      </x:c>
      <x:c r="D50" s="23" t="str">
        <x:v>Démon</x:v>
      </x:c>
      <x:c r="E50" s="23" t="n">
        <x:v>0</x:v>
      </x:c>
      <x:c r="F50" s="23" t="n">
        <x:v>0</x:v>
      </x:c>
      <x:c r="G50" s="23" t="n">
        <x:v>1</x:v>
      </x:c>
      <x:c r="H50" s="23" t="n">
        <x:v>1</x:v>
      </x:c>
      <x:c r="I50" s="23" t="n">
        <x:v>1</x:v>
      </x:c>
      <x:c r="J50" s="23" t="n">
        <x:v>3</x:v>
      </x:c>
      <x:c r="K50" s="23" t="n">
        <x:v>1</x:v>
      </x:c>
      <x:c r="L50" s="23" t="n">
        <x:v>1.1</x:v>
      </x:c>
      <x:c r="M50" s="23" t="n">
        <x:v>0</x:v>
      </x:c>
      <x:c r="N50" s="23" t="n">
        <x:v>1.75</x:v>
      </x:c>
      <x:c r="O50" s="23" t="n">
        <x:v>0</x:v>
      </x:c>
      <x:c r="P50" s="23" t="n">
        <x:v>0</x:v>
      </x:c>
      <x:c r="Q50" s="23" t="n">
        <x:v>0</x:v>
      </x:c>
      <x:c r="R50" s="23" t="n">
        <x:v>2</x:v>
      </x:c>
      <x:c r="S50" s="23" t="n">
        <x:v>0</x:v>
      </x:c>
      <x:c r="T50" s="23" t="n">
        <x:v>0</x:v>
      </x:c>
      <x:c r="U50" s="23" t="n">
        <x:v>0</x:v>
      </x:c>
      <x:c r="V50" s="23" t="n">
        <x:v>0</x:v>
      </x:c>
      <x:c r="W50" s="23" t="n">
        <x:v>0</x:v>
      </x:c>
      <x:c r="X50" s="23" t="n">
        <x:v>1</x:v>
      </x:c>
      <x:c r="Y50" s="23" t="n">
        <x:v>2</x:v>
      </x:c>
      <x:c r="Z50" s="23"/>
      <x:c r="AA50" s="23"/>
      <x:c r="AB50" s="23"/>
      <x:c r="AC50" s="23"/>
      <x:c r="AD50" s="23"/>
      <x:c r="AE50" s="23"/>
      <x:c r="AF50" s="23"/>
      <x:c r="AG50" s="23"/>
      <x:c r="AH50" s="23" t="str">
        <x:v>Oui</x:v>
      </x:c>
      <x:c r="AI50" s="23" t="str">
        <x:v>Oui</x:v>
      </x:c>
      <x:c r="AJ50" s="23"/>
      <x:c r="AK50" s="23" t="str">
        <x:v>ichor, cornes, griffes noires, cendres infernales ou fragments corrompus</x:v>
      </x:c>
      <x:c r="AL50" s="23" t="str">
        <x:v>Les restes sont dangereux à manipuler, mais précieux : ichor, cornes, cendres infernales ou fragments corrompus peuvent intéresser des occultistes. Sous-famille : Sous-famille créée pour pactes, manipulation, magie noire ou possession.</x:v>
      </x:c>
      <x:c r="AM50" s="23" t="n">
        <x:v>12</x:v>
      </x:c>
      <x:c r="AN50" s="23" t="str">
        <x:v>Dangereux</x:v>
      </x:c>
      <x:c r="AO50" s="23" t="str">
        <x:v>Rencontre marquante</x:v>
      </x:c>
      <x:c r="AP50" s="23" t="str">
        <x:v>Sous-famille</x:v>
      </x:c>
      <x:c r="AQ50" s="23" t="str">
        <x:v>Démon</x:v>
      </x:c>
      <x:c r="AR50" s="23" t="str">
        <x:v>Corrupteur</x:v>
      </x:c>
      <x:c r="AS50" s="23" t="str">
        <x:v>Démon de manipulation, possession, pacte ou magie noire.</x:v>
      </x:c>
      <x:c r="AT50" s="69" t="str">
        <x:v>Neutre</x:v>
      </x:c>
      <x:c r="AU50" s="69" t="str">
        <x:v>Neutre</x:v>
      </x:c>
      <x:c r="AV50" s="69" t="str">
        <x:v>Neutre</x:v>
      </x:c>
      <x:c r="AW50" s="69" t="str">
        <x:v>Neutre</x:v>
      </x:c>
      <x:c r="AX50" s="69" t="str">
        <x:v>Résistant</x:v>
      </x:c>
      <x:c r="AY50" s="69" t="str">
        <x:v>Vulnérable</x:v>
      </x:c>
      <x:c r="AZ50" s="69" t="str">
        <x:v>Résistant</x:v>
      </x:c>
      <x:c r="BA50" s="69" t="str">
        <x:v>Neutre</x:v>
      </x:c>
      <x:c r="BB50" s="23" t="str">
        <x:f t="shared" si="1"/>
        <x:v>resistanceA_ombre vulnerableA_lumiere resistanceA_force</x:v>
      </x:c>
      <x:c r="BC50" s="75" t="str">
        <x:v>Non</x:v>
      </x:c>
      <x:c r="BD50" s="75" t="str">
        <x:v>Non</x:v>
      </x:c>
      <x:c r="BE50" s="75" t="str">
        <x:v>Non</x:v>
      </x:c>
      <x:c r="BF50" s="75" t="str">
        <x:v>Non</x:v>
      </x:c>
      <x:c r="BG50" s="23" t="str">
        <x:v>Démon de manipulation, possession, pacte ou magie noire. Résiste à Ombre, Force par affinité ou constitution. Vulnérable à Lumière, qui perturbe directement sa nature.</x:v>
      </x:c>
      <x:c r="BH50" s="23" t="str">
        <x:f t="shared" si="2"/>
        <x:v>resistanceA_ombre vulnerableA_lumiere resistanceA_force</x:v>
      </x:c>
    </x:row>
    <x:row r="51" ht="14.25" customHeight="1">
      <x:c r="A51" s="23" t="str">
        <x:v>Noble féerique</x:v>
      </x:c>
      <x:c r="B51" s="23" t="n">
        <x:v>2072</x:v>
      </x:c>
      <x:c r="C51" s="23" t="str">
        <x:v>fey_noble</x:v>
      </x:c>
      <x:c r="D51" s="23" t="str">
        <x:v>Fée</x:v>
      </x:c>
      <x:c r="E51" s="23" t="n">
        <x:v>0</x:v>
      </x:c>
      <x:c r="F51" s="23" t="n">
        <x:v>2</x:v>
      </x:c>
      <x:c r="G51" s="23" t="n">
        <x:v>1</x:v>
      </x:c>
      <x:c r="H51" s="23" t="n">
        <x:v>2</x:v>
      </x:c>
      <x:c r="I51" s="23" t="n">
        <x:v>2</x:v>
      </x:c>
      <x:c r="J51" s="23" t="n">
        <x:v>3</x:v>
      </x:c>
      <x:c r="K51" s="23" t="n">
        <x:v>2</x:v>
      </x:c>
      <x:c r="L51" s="23" t="n">
        <x:v>1</x:v>
      </x:c>
      <x:c r="M51" s="23" t="n">
        <x:v>2</x:v>
      </x:c>
      <x:c r="N51" s="23" t="n">
        <x:v>2</x:v>
      </x:c>
      <x:c r="O51" s="23" t="n">
        <x:v>0</x:v>
      </x:c>
      <x:c r="P51" s="23" t="n">
        <x:v>0</x:v>
      </x:c>
      <x:c r="Q51" s="23" t="n">
        <x:v>0</x:v>
      </x:c>
      <x:c r="R51" s="23" t="n">
        <x:v>0</x:v>
      </x:c>
      <x:c r="S51" s="23" t="n">
        <x:v>0</x:v>
      </x:c>
      <x:c r="T51" s="23" t="n">
        <x:v>0</x:v>
      </x:c>
      <x:c r="U51" s="23" t="n">
        <x:v>0</x:v>
      </x:c>
      <x:c r="V51" s="23" t="n">
        <x:v>0</x:v>
      </x:c>
      <x:c r="W51" s="23" t="n">
        <x:v>0</x:v>
      </x:c>
      <x:c r="X51" s="23" t="n">
        <x:v>0</x:v>
      </x:c>
      <x:c r="Y51" s="23" t="n">
        <x:v>2</x:v>
      </x:c>
      <x:c r="Z51" s="23"/>
      <x:c r="AA51" s="23"/>
      <x:c r="AB51" s="23"/>
      <x:c r="AC51" s="23"/>
      <x:c r="AD51" s="23"/>
      <x:c r="AE51" s="23"/>
      <x:c r="AF51" s="23"/>
      <x:c r="AG51" s="23"/>
      <x:c r="AH51" s="23"/>
      <x:c r="AI51" s="23"/>
      <x:c r="AJ51" s="23"/>
      <x:c r="AK51" s="23" t="str">
        <x:v>poudre féerique, essence subtile, fleurs étranges, bijoux minuscules ou ornements curieux</x:v>
      </x:c>
      <x:c r="AL51" s="23" t="str">
        <x:v>Les restes matériels sont rares et fragiles, mais chargés d'une magie subtile : poudre, essence, fleurs étranges ou petits ornements. Sous-famille : Sous-famille créée pour les fées anciennes, sociales et boss-like.</x:v>
      </x:c>
      <x:c r="AM51" s="23" t="n">
        <x:v>12</x:v>
      </x:c>
      <x:c r="AN51" s="23" t="str">
        <x:v>Dangereux</x:v>
      </x:c>
      <x:c r="AO51" s="23" t="str">
        <x:v>Rencontre marquante</x:v>
      </x:c>
      <x:c r="AP51" s="23" t="str">
        <x:v>Sous-famille</x:v>
      </x:c>
      <x:c r="AQ51" s="23" t="str">
        <x:v>Fée</x:v>
      </x:c>
      <x:c r="AR51" s="23" t="str">
        <x:v>Noble féerique</x:v>
      </x:c>
      <x:c r="AS51" s="23" t="str">
        <x:v>Fée ancienne, sociale, magique ou boss mineur.</x:v>
      </x:c>
      <x:c r="AT51" s="69" t="str">
        <x:v>Neutre</x:v>
      </x:c>
      <x:c r="AU51" s="69" t="str">
        <x:v>Neutre</x:v>
      </x:c>
      <x:c r="AV51" s="69" t="str">
        <x:v>Neutre</x:v>
      </x:c>
      <x:c r="AW51" s="69" t="str">
        <x:v>Neutre</x:v>
      </x:c>
      <x:c r="AX51" s="69" t="str">
        <x:v>Vulnérable</x:v>
      </x:c>
      <x:c r="AY51" s="69" t="str">
        <x:v>Neutre</x:v>
      </x:c>
      <x:c r="AZ51" s="69" t="str">
        <x:v>Résistant</x:v>
      </x:c>
      <x:c r="BA51" s="69" t="str">
        <x:v>Résistant</x:v>
      </x:c>
      <x:c r="BB51" s="23" t="str">
        <x:f t="shared" si="1"/>
        <x:v>vulnerableA_ombre resistanceA_force</x:v>
      </x:c>
      <x:c r="BC51" s="75" t="str">
        <x:v>Non</x:v>
      </x:c>
      <x:c r="BD51" s="75" t="str">
        <x:v>Non</x:v>
      </x:c>
      <x:c r="BE51" s="75" t="str">
        <x:v>Non</x:v>
      </x:c>
      <x:c r="BF51" s="75" t="str">
        <x:v>Non</x:v>
      </x:c>
      <x:c r="BG51" s="23" t="str">
        <x:v>Fée ancienne, sociale, magique ou boss mineur. Résiste à Force par affinité ou constitution. Vulnérable à Ombre, qui perturbe directement sa nature.</x:v>
      </x:c>
      <x:c r="BH51" s="23" t="str">
        <x:f t="shared" si="2"/>
        <x:v>vulnerableA_ombre resistanceA_force</x:v>
      </x:c>
    </x:row>
    <x:row r="52" ht="14.25" customHeight="1">
      <x:c r="A52" s="23" t="str">
        <x:v>Air</x:v>
      </x:c>
      <x:c r="B52" s="23" t="n">
        <x:v>2110</x:v>
      </x:c>
      <x:c r="C52" s="23" t="str">
        <x:v>elemental_air</x:v>
      </x:c>
      <x:c r="D52" s="23" t="str">
        <x:v>Élémentaire</x:v>
      </x:c>
      <x:c r="E52" s="23" t="n">
        <x:v>-1</x:v>
      </x:c>
      <x:c r="F52" s="23" t="n">
        <x:v>3</x:v>
      </x:c>
      <x:c r="G52" s="23" t="n">
        <x:v>0</x:v>
      </x:c>
      <x:c r="H52" s="23" t="n">
        <x:v>0</x:v>
      </x:c>
      <x:c r="I52" s="23" t="n">
        <x:v>0</x:v>
      </x:c>
      <x:c r="J52" s="23" t="n">
        <x:v>0</x:v>
      </x:c>
      <x:c r="K52" s="23" t="n">
        <x:v>1</x:v>
      </x:c>
      <x:c r="L52" s="23" t="n">
        <x:v>0.9</x:v>
      </x:c>
      <x:c r="M52" s="23" t="n">
        <x:v>3</x:v>
      </x:c>
      <x:c r="N52" s="23" t="n">
        <x:v>1.1</x:v>
      </x:c>
      <x:c r="O52" s="23" t="n">
        <x:v>1</x:v>
      </x:c>
      <x:c r="P52" s="23" t="n">
        <x:v>1</x:v>
      </x:c>
      <x:c r="Q52" s="23" t="n">
        <x:v>1</x:v>
      </x:c>
      <x:c r="R52" s="23" t="n">
        <x:v>0</x:v>
      </x:c>
      <x:c r="S52" s="23" t="n">
        <x:v>0</x:v>
      </x:c>
      <x:c r="T52" s="23" t="n">
        <x:v>0</x:v>
      </x:c>
      <x:c r="U52" s="23" t="n">
        <x:v>0</x:v>
      </x:c>
      <x:c r="V52" s="23" t="n">
        <x:v>0</x:v>
      </x:c>
      <x:c r="W52" s="23" t="n">
        <x:v>0</x:v>
      </x:c>
      <x:c r="X52" s="23" t="n">
        <x:v>0</x:v>
      </x:c>
      <x:c r="Y52" s="23" t="n">
        <x:v>0</x:v>
      </x:c>
      <x:c r="Z52" s="23"/>
      <x:c r="AA52" s="23"/>
      <x:c r="AB52" s="23"/>
      <x:c r="AC52" s="23"/>
      <x:c r="AD52" s="23"/>
      <x:c r="AE52" s="23"/>
      <x:c r="AF52" s="23"/>
      <x:c r="AG52" s="23"/>
      <x:c r="AH52" s="23" t="str">
        <x:v>Oui</x:v>
      </x:c>
      <x:c r="AI52" s="23" t="str">
        <x:v>Oui</x:v>
      </x:c>
      <x:c r="AJ52" s="23"/>
      <x:c r="AK52" s="23" t="str">
        <x:v>cristaux élémentaires, éclats imprégnés, poussières chargées ou essence instable</x:v>
      </x:c>
      <x:c r="AL52" s="23" t="str">
        <x:v>Une fois dissipée, la créature laisse des éclats imprégnés de sa nature : cristaux, poussières chargées ou essence élémentaire. Sous-famille : Sous-famille créée pour mobilité, esquive et vitesse.</x:v>
      </x:c>
      <x:c r="AM52" s="23" t="n">
        <x:v>13</x:v>
      </x:c>
      <x:c r="AN52" s="23" t="str">
        <x:v>Élite</x:v>
      </x:c>
      <x:c r="AO52" s="23" t="str">
        <x:v>Élite / mini-boss</x:v>
      </x:c>
      <x:c r="AP52" s="23" t="str">
        <x:v>Sous-famille</x:v>
      </x:c>
      <x:c r="AQ52" s="23" t="str">
        <x:v>Élémentaire</x:v>
      </x:c>
      <x:c r="AR52" s="23" t="str">
        <x:v>Air</x:v>
      </x:c>
      <x:c r="AS52" s="23" t="str">
        <x:v>Élémentaire mobile, rapide, peu matériel.</x:v>
      </x:c>
      <x:c r="AT52" s="69" t="str">
        <x:v>Neutre</x:v>
      </x:c>
      <x:c r="AU52" s="69" t="str">
        <x:v>Résistant</x:v>
      </x:c>
      <x:c r="AV52" s="69" t="str">
        <x:v>Neutre</x:v>
      </x:c>
      <x:c r="AW52" s="69" t="str">
        <x:v>Vulnérable</x:v>
      </x:c>
      <x:c r="AX52" s="69" t="str">
        <x:v>Neutre</x:v>
      </x:c>
      <x:c r="AY52" s="69" t="str">
        <x:v>Neutre</x:v>
      </x:c>
      <x:c r="AZ52" s="69" t="str">
        <x:v>Résistant</x:v>
      </x:c>
      <x:c r="BA52" s="69" t="str">
        <x:v>Neutre</x:v>
      </x:c>
      <x:c r="BB52" s="23" t="str">
        <x:f t="shared" si="1"/>
        <x:v>resistanceA_air vulnerableA_terre resistanceA_force</x:v>
      </x:c>
      <x:c r="BC52" s="75" t="str">
        <x:v>Oui</x:v>
      </x:c>
      <x:c r="BD52" s="75" t="str">
        <x:v>Oui</x:v>
      </x:c>
      <x:c r="BE52" s="75" t="str">
        <x:v>Non</x:v>
      </x:c>
      <x:c r="BF52" s="75" t="str">
        <x:v>Non</x:v>
      </x:c>
      <x:c r="BG52" s="23" t="str">
        <x:v>Élémentaire mobile, rapide, peu matériel. Résiste à Air, Force par affinité ou constitution. Vulnérable à Terre, qui perturbe directement sa nature. Sa morphologie réduit les dégâts tranchants, perçants.</x:v>
      </x:c>
      <x:c r="BH52" s="23" t="str">
        <x:f t="shared" si="2"/>
        <x:v>resistanceA_air vulnerableA_terre resistanceA_force resistanceA_tranchant resistanceA_percant</x:v>
      </x:c>
    </x:row>
    <x:row r="53" ht="14.25" customHeight="1">
      <x:c r="A53" s="23" t="str">
        <x:v>Eau</x:v>
      </x:c>
      <x:c r="B53" s="23" t="n">
        <x:v>2111</x:v>
      </x:c>
      <x:c r="C53" s="23" t="str">
        <x:v>elemental_water</x:v>
      </x:c>
      <x:c r="D53" s="23" t="str">
        <x:v>Élémentaire</x:v>
      </x:c>
      <x:c r="E53" s="23" t="n">
        <x:v>0</x:v>
      </x:c>
      <x:c r="F53" s="23" t="n">
        <x:v>1</x:v>
      </x:c>
      <x:c r="G53" s="23" t="n">
        <x:v>2</x:v>
      </x:c>
      <x:c r="H53" s="23" t="n">
        <x:v>0</x:v>
      </x:c>
      <x:c r="I53" s="23" t="n">
        <x:v>0</x:v>
      </x:c>
      <x:c r="J53" s="23" t="n">
        <x:v>0</x:v>
      </x:c>
      <x:c r="K53" s="23" t="n">
        <x:v>0</x:v>
      </x:c>
      <x:c r="L53" s="23" t="n">
        <x:v>1.2</x:v>
      </x:c>
      <x:c r="M53" s="23" t="n">
        <x:v>1</x:v>
      </x:c>
      <x:c r="N53" s="23" t="n">
        <x:v>1.1</x:v>
      </x:c>
      <x:c r="O53" s="23" t="n">
        <x:v>1</x:v>
      </x:c>
      <x:c r="P53" s="23" t="n">
        <x:v>1</x:v>
      </x:c>
      <x:c r="Q53" s="23" t="n">
        <x:v>1</x:v>
      </x:c>
      <x:c r="R53" s="23" t="n">
        <x:v>0</x:v>
      </x:c>
      <x:c r="S53" s="23" t="n">
        <x:v>1</x:v>
      </x:c>
      <x:c r="T53" s="23" t="n">
        <x:v>0</x:v>
      </x:c>
      <x:c r="U53" s="23" t="n">
        <x:v>0</x:v>
      </x:c>
      <x:c r="V53" s="23" t="n">
        <x:v>0</x:v>
      </x:c>
      <x:c r="W53" s="23" t="n">
        <x:v>0</x:v>
      </x:c>
      <x:c r="X53" s="23" t="n">
        <x:v>0</x:v>
      </x:c>
      <x:c r="Y53" s="23" t="n">
        <x:v>0</x:v>
      </x:c>
      <x:c r="Z53" s="23"/>
      <x:c r="AA53" s="23"/>
      <x:c r="AB53" s="23"/>
      <x:c r="AC53" s="23"/>
      <x:c r="AD53" s="23"/>
      <x:c r="AE53" s="23"/>
      <x:c r="AF53" s="23"/>
      <x:c r="AG53" s="23"/>
      <x:c r="AH53" s="23" t="str">
        <x:v>Oui</x:v>
      </x:c>
      <x:c r="AI53" s="23" t="str">
        <x:v>Oui</x:v>
      </x:c>
      <x:c r="AJ53" s="23"/>
      <x:c r="AK53" s="23" t="str">
        <x:v>cristaux élémentaires, éclats imprégnés, poussières chargées ou essence instable</x:v>
      </x:c>
      <x:c r="AL53" s="23" t="str">
        <x:v>Une fois dissipée, la créature laisse des éclats imprégnés de sa nature : cristaux, poussières chargées ou essence élémentaire. Sous-famille : Sous-famille créée pour fluidité, noyade, entrave et milieu aquatique.</x:v>
      </x:c>
      <x:c r="AM53" s="23" t="n">
        <x:v>13.25</x:v>
      </x:c>
      <x:c r="AN53" s="23" t="str">
        <x:v>Élite</x:v>
      </x:c>
      <x:c r="AO53" s="23" t="str">
        <x:v>Élite / mini-boss</x:v>
      </x:c>
      <x:c r="AP53" s="23" t="str">
        <x:v>Sous-famille</x:v>
      </x:c>
      <x:c r="AQ53" s="23" t="str">
        <x:v>Élémentaire</x:v>
      </x:c>
      <x:c r="AR53" s="23" t="str">
        <x:v>Eau</x:v>
      </x:c>
      <x:c r="AS53" s="23" t="str">
        <x:v>Élémentaire fluide : adaptation, entrave, noyade.</x:v>
      </x:c>
      <x:c r="AT53" s="69" t="str">
        <x:v>Vulnérable</x:v>
      </x:c>
      <x:c r="AU53" s="69" t="str">
        <x:v>Neutre</x:v>
      </x:c>
      <x:c r="AV53" s="69" t="str">
        <x:v>Résistant</x:v>
      </x:c>
      <x:c r="AW53" s="69" t="str">
        <x:v>Neutre</x:v>
      </x:c>
      <x:c r="AX53" s="69" t="str">
        <x:v>Neutre</x:v>
      </x:c>
      <x:c r="AY53" s="69" t="str">
        <x:v>Neutre</x:v>
      </x:c>
      <x:c r="AZ53" s="69" t="str">
        <x:v>Résistant</x:v>
      </x:c>
      <x:c r="BA53" s="69" t="str">
        <x:v>Neutre</x:v>
      </x:c>
      <x:c r="BB53" s="23" t="str">
        <x:f t="shared" si="1"/>
        <x:v>vulnerableA_feu resistanceA_eau resistanceA_force</x:v>
      </x:c>
      <x:c r="BC53" s="75" t="str">
        <x:v>Oui</x:v>
      </x:c>
      <x:c r="BD53" s="75" t="str">
        <x:v>Oui</x:v>
      </x:c>
      <x:c r="BE53" s="75" t="str">
        <x:v>Non</x:v>
      </x:c>
      <x:c r="BF53" s="75" t="str">
        <x:v>Non</x:v>
      </x:c>
      <x:c r="BG53" s="23" t="str">
        <x:v>Élémentaire fluide : adaptation, entrave, noyade. Résiste à Eau, Force par affinité ou constitution. Vulnérable à Feu, qui perturbe directement sa nature. Sa morphologie réduit les dégâts tranchants, perçants.</x:v>
      </x:c>
      <x:c r="BH53" s="23" t="str">
        <x:f t="shared" si="2"/>
        <x:v>vulnerableA_feu resistanceA_eau resistanceA_force resistanceA_tranchant resistanceA_percant</x:v>
      </x:c>
    </x:row>
    <x:row r="54" ht="14.25" customHeight="1">
      <x:c r="A54" s="23" t="str">
        <x:v>Froid / Glace</x:v>
      </x:c>
      <x:c r="B54" s="23" t="n">
        <x:v>2112</x:v>
      </x:c>
      <x:c r="C54" s="23" t="str">
        <x:v>elemental_ice</x:v>
      </x:c>
      <x:c r="D54" s="23" t="str">
        <x:v>Élémentaire</x:v>
      </x:c>
      <x:c r="E54" s="23" t="n">
        <x:v>0</x:v>
      </x:c>
      <x:c r="F54" s="23" t="n">
        <x:v>0</x:v>
      </x:c>
      <x:c r="G54" s="23" t="n">
        <x:v>2</x:v>
      </x:c>
      <x:c r="H54" s="23" t="n">
        <x:v>0</x:v>
      </x:c>
      <x:c r="I54" s="23" t="n">
        <x:v>0</x:v>
      </x:c>
      <x:c r="J54" s="23" t="n">
        <x:v>0</x:v>
      </x:c>
      <x:c r="K54" s="23" t="n">
        <x:v>1</x:v>
      </x:c>
      <x:c r="L54" s="23" t="n">
        <x:v>1.2</x:v>
      </x:c>
      <x:c r="M54" s="23" t="n">
        <x:v>0</x:v>
      </x:c>
      <x:c r="N54" s="23" t="n">
        <x:v>1.25</x:v>
      </x:c>
      <x:c r="O54" s="23" t="n">
        <x:v>1</x:v>
      </x:c>
      <x:c r="P54" s="23" t="n">
        <x:v>1</x:v>
      </x:c>
      <x:c r="Q54" s="23" t="n">
        <x:v>1</x:v>
      </x:c>
      <x:c r="R54" s="23" t="n">
        <x:v>0</x:v>
      </x:c>
      <x:c r="S54" s="23" t="n">
        <x:v>2</x:v>
      </x:c>
      <x:c r="T54" s="23" t="n">
        <x:v>0</x:v>
      </x:c>
      <x:c r="U54" s="23" t="n">
        <x:v>0</x:v>
      </x:c>
      <x:c r="V54" s="23" t="n">
        <x:v>0</x:v>
      </x:c>
      <x:c r="W54" s="23" t="n">
        <x:v>0</x:v>
      </x:c>
      <x:c r="X54" s="23" t="n">
        <x:v>0</x:v>
      </x:c>
      <x:c r="Y54" s="23" t="n">
        <x:v>0</x:v>
      </x:c>
      <x:c r="Z54" s="23"/>
      <x:c r="AA54" s="23"/>
      <x:c r="AB54" s="23"/>
      <x:c r="AC54" s="23"/>
      <x:c r="AD54" s="23" t="str">
        <x:v>Oui</x:v>
      </x:c>
      <x:c r="AE54" s="23"/>
      <x:c r="AF54" s="23"/>
      <x:c r="AG54" s="23"/>
      <x:c r="AH54" s="23" t="str">
        <x:v>Oui</x:v>
      </x:c>
      <x:c r="AI54" s="23" t="str">
        <x:v>Oui</x:v>
      </x:c>
      <x:c r="AJ54" s="23"/>
      <x:c r="AK54" s="23" t="str">
        <x:v>cristaux élémentaires, éclats imprégnés, poussières chargées ou essence instable</x:v>
      </x:c>
      <x:c r="AL54" s="23" t="str">
        <x:v>Une fois dissipée, la créature laisse des éclats imprégnés de sa nature : cristaux, poussières chargées ou essence élémentaire. Sous-famille : Sous-famille créée pour froid, ralentissement et cristaux.</x:v>
      </x:c>
      <x:c r="AM54" s="23" t="n">
        <x:v>13.75</x:v>
      </x:c>
      <x:c r="AN54" s="23" t="str">
        <x:v>Élite</x:v>
      </x:c>
      <x:c r="AO54" s="23" t="str">
        <x:v>Élite / mini-boss</x:v>
      </x:c>
      <x:c r="AP54" s="23" t="str">
        <x:v>Sous-famille</x:v>
      </x:c>
      <x:c r="AQ54" s="23" t="str">
        <x:v>Élémentaire</x:v>
      </x:c>
      <x:c r="AR54" s="23" t="str">
        <x:v>Froid / Glace</x:v>
      </x:c>
      <x:c r="AS54" s="23" t="str">
        <x:v>Élémentaire de ralentissement, gel et cristaux.</x:v>
      </x:c>
      <x:c r="AT54" s="69" t="str">
        <x:v>Vulnérable</x:v>
      </x:c>
      <x:c r="AU54" s="69" t="str">
        <x:v>Neutre</x:v>
      </x:c>
      <x:c r="AV54" s="69" t="str">
        <x:v>Résistant</x:v>
      </x:c>
      <x:c r="AW54" s="69" t="str">
        <x:v>Neutre</x:v>
      </x:c>
      <x:c r="AX54" s="69" t="str">
        <x:v>Neutre</x:v>
      </x:c>
      <x:c r="AY54" s="69" t="str">
        <x:v>Neutre</x:v>
      </x:c>
      <x:c r="AZ54" s="69" t="str">
        <x:v>Résistant</x:v>
      </x:c>
      <x:c r="BA54" s="69" t="str">
        <x:v>Neutre</x:v>
      </x:c>
      <x:c r="BB54" s="23" t="str">
        <x:f t="shared" si="1"/>
        <x:v>vulnerableA_feu resistanceA_eau resistanceA_force</x:v>
      </x:c>
      <x:c r="BC54" s="75" t="str">
        <x:v>Non</x:v>
      </x:c>
      <x:c r="BD54" s="75" t="str">
        <x:v>Oui</x:v>
      </x:c>
      <x:c r="BE54" s="75" t="str">
        <x:v>Non</x:v>
      </x:c>
      <x:c r="BF54" s="75" t="str">
        <x:v>Non</x:v>
      </x:c>
      <x:c r="BG54" s="23" t="str">
        <x:v>Élémentaire de ralentissement, gel et cristaux. Résiste à Eau, Force par affinité ou constitution. Vulnérable à Feu, qui perturbe directement sa nature. Sa morphologie réduit les dégâts perçants.</x:v>
      </x:c>
      <x:c r="BH54" s="23" t="str">
        <x:f t="shared" si="2"/>
        <x:v>vulnerableA_feu resistanceA_eau resistanceA_force resistanceA_percant</x:v>
      </x:c>
    </x:row>
    <x:row r="55" ht="14.25" customHeight="1">
      <x:c r="A55" s="23" t="str">
        <x:v>Objet animé</x:v>
      </x:c>
      <x:c r="B55" s="23" t="n">
        <x:v>2120</x:v>
      </x:c>
      <x:c r="C55" s="23" t="str">
        <x:v>construct_animated_object</x:v>
      </x:c>
      <x:c r="D55" s="23" t="str">
        <x:v>Artificiel</x:v>
      </x:c>
      <x:c r="E55" s="23" t="n">
        <x:v>0</x:v>
      </x:c>
      <x:c r="F55" s="23" t="n">
        <x:v>0</x:v>
      </x:c>
      <x:c r="G55" s="23" t="n">
        <x:v>2</x:v>
      </x:c>
      <x:c r="H55" s="23" t="n">
        <x:v>-3</x:v>
      </x:c>
      <x:c r="I55" s="23" t="n">
        <x:v>-1</x:v>
      </x:c>
      <x:c r="J55" s="23" t="n">
        <x:v>-2</x:v>
      </x:c>
      <x:c r="K55" s="23" t="n">
        <x:v>1</x:v>
      </x:c>
      <x:c r="L55" s="23" t="n">
        <x:v>1.2</x:v>
      </x:c>
      <x:c r="M55" s="23" t="n">
        <x:v>0</x:v>
      </x:c>
      <x:c r="N55" s="23" t="n">
        <x:v>1</x:v>
      </x:c>
      <x:c r="O55" s="23" t="n">
        <x:v>1</x:v>
      </x:c>
      <x:c r="P55" s="23" t="n">
        <x:v>1</x:v>
      </x:c>
      <x:c r="Q55" s="23" t="n">
        <x:v>1</x:v>
      </x:c>
      <x:c r="R55" s="23" t="n">
        <x:v>0</x:v>
      </x:c>
      <x:c r="S55" s="23" t="n">
        <x:v>0</x:v>
      </x:c>
      <x:c r="T55" s="23" t="n">
        <x:v>0</x:v>
      </x:c>
      <x:c r="U55" s="23" t="n">
        <x:v>0</x:v>
      </x:c>
      <x:c r="V55" s="23" t="n">
        <x:v>0</x:v>
      </x:c>
      <x:c r="W55" s="23" t="n">
        <x:v>0</x:v>
      </x:c>
      <x:c r="X55" s="23" t="n">
        <x:v>0</x:v>
      </x:c>
      <x:c r="Y55" s="23" t="n">
        <x:v>0</x:v>
      </x:c>
      <x:c r="Z55" s="23"/>
      <x:c r="AA55" s="23"/>
      <x:c r="AB55" s="23"/>
      <x:c r="AC55" s="23"/>
      <x:c r="AD55" s="23"/>
      <x:c r="AE55" s="23"/>
      <x:c r="AF55" s="23"/>
      <x:c r="AG55" s="23"/>
      <x:c r="AH55" s="23" t="str">
        <x:v>Oui</x:v>
      </x:c>
      <x:c r="AI55" s="23" t="str">
        <x:v>Oui</x:v>
      </x:c>
      <x:c r="AJ55" s="23"/>
      <x:c r="AK55" s="23" t="str">
        <x:v>rouages, plaques métalliques, cristaux, noyau brisé ou composants mécaniques</x:v>
      </x:c>
      <x:c r="AL55" s="23" t="str">
        <x:v>Le corps mécanique ou animé peut être démonté : rouages, plaques, cristaux, noyaux brisés ou fragments enchantés gardent une valeur élevée. Sous-famille : Sous-famille créée pour les objets simples animés, moins complets qu’un automate.</x:v>
      </x:c>
      <x:c r="AM55" s="23" t="n">
        <x:v>14</x:v>
      </x:c>
      <x:c r="AN55" s="23" t="str">
        <x:v>Élite</x:v>
      </x:c>
      <x:c r="AO55" s="23" t="str">
        <x:v>Élite / mini-boss</x:v>
      </x:c>
      <x:c r="AP55" s="23" t="str">
        <x:v>Sous-famille</x:v>
      </x:c>
      <x:c r="AQ55" s="23" t="str">
        <x:v>Artificiel</x:v>
      </x:c>
      <x:c r="AR55" s="23" t="str">
        <x:v>Objet animé</x:v>
      </x:c>
      <x:c r="AS55" s="23" t="str">
        <x:v>Objet ou armure animée : artificiel simple.</x:v>
      </x:c>
      <x:c r="AT55" s="69" t="str">
        <x:v>Neutre</x:v>
      </x:c>
      <x:c r="AU55" s="69" t="str">
        <x:v>Neutre</x:v>
      </x:c>
      <x:c r="AV55" s="69" t="str">
        <x:v>Neutre</x:v>
      </x:c>
      <x:c r="AW55" s="69" t="str">
        <x:v>Neutre</x:v>
      </x:c>
      <x:c r="AX55" s="69" t="str">
        <x:v>Résistant</x:v>
      </x:c>
      <x:c r="AY55" s="69" t="str">
        <x:v>Neutre</x:v>
      </x:c>
      <x:c r="AZ55" s="69" t="str">
        <x:v>Neutre</x:v>
      </x:c>
      <x:c r="BA55" s="69" t="str">
        <x:v>Résistant</x:v>
      </x:c>
      <x:c r="BB55" s="23" t="str">
        <x:f t="shared" si="1"/>
        <x:v>resistanceA_ombre</x:v>
      </x:c>
      <x:c r="BC55" s="75" t="str">
        <x:v>Non</x:v>
      </x:c>
      <x:c r="BD55" s="75" t="str">
        <x:v>Oui</x:v>
      </x:c>
      <x:c r="BE55" s="75" t="str">
        <x:v>Non</x:v>
      </x:c>
      <x:c r="BF55" s="75" t="str">
        <x:v>Non</x:v>
      </x:c>
      <x:c r="BG55" s="23" t="str">
        <x:v>Objet ou armure animée : artificiel simple. Résiste à Ombre par affinité ou constitution. Sa morphologie réduit les dégâts perçants.</x:v>
      </x:c>
      <x:c r="BH55" s="23" t="str">
        <x:f t="shared" si="2"/>
        <x:v>resistanceA_ombre resistanceA_percant</x:v>
      </x:c>
    </x:row>
    <x:row r="56" ht="14.25" customHeight="1">
      <x:c r="A56" s="23" t="str">
        <x:v>Titanide</x:v>
      </x:c>
      <x:c r="B56" s="23" t="n">
        <x:v>2102</x:v>
      </x:c>
      <x:c r="C56" s="23" t="str">
        <x:v>giant_titanide</x:v>
      </x:c>
      <x:c r="D56" s="23" t="str">
        <x:v>Géant</x:v>
      </x:c>
      <x:c r="E56" s="23" t="n">
        <x:v>4</x:v>
      </x:c>
      <x:c r="F56" s="23" t="n">
        <x:v>-1</x:v>
      </x:c>
      <x:c r="G56" s="23" t="n">
        <x:v>3</x:v>
      </x:c>
      <x:c r="H56" s="23" t="n">
        <x:v>0</x:v>
      </x:c>
      <x:c r="I56" s="23" t="n">
        <x:v>1</x:v>
      </x:c>
      <x:c r="J56" s="23" t="n">
        <x:v>1</x:v>
      </x:c>
      <x:c r="K56" s="23" t="n">
        <x:v>0</x:v>
      </x:c>
      <x:c r="L56" s="23" t="n">
        <x:v>2</x:v>
      </x:c>
      <x:c r="M56" s="23" t="n">
        <x:v>-1</x:v>
      </x:c>
      <x:c r="N56" s="23" t="n">
        <x:v>1.5</x:v>
      </x:c>
      <x:c r="O56" s="23" t="n">
        <x:v>2</x:v>
      </x:c>
      <x:c r="P56" s="23" t="n">
        <x:v>2</x:v>
      </x:c>
      <x:c r="Q56" s="23" t="n">
        <x:v>2</x:v>
      </x:c>
      <x:c r="R56" s="23" t="n">
        <x:v>0</x:v>
      </x:c>
      <x:c r="S56" s="23" t="n">
        <x:v>0</x:v>
      </x:c>
      <x:c r="T56" s="23" t="n">
        <x:v>0</x:v>
      </x:c>
      <x:c r="U56" s="23" t="n">
        <x:v>0</x:v>
      </x:c>
      <x:c r="V56" s="23" t="n">
        <x:v>0</x:v>
      </x:c>
      <x:c r="W56" s="23" t="n">
        <x:v>0</x:v>
      </x:c>
      <x:c r="X56" s="23" t="n">
        <x:v>0</x:v>
      </x:c>
      <x:c r="Y56" s="23" t="n">
        <x:v>1</x:v>
      </x:c>
      <x:c r="Z56" s="23"/>
      <x:c r="AA56" s="23"/>
      <x:c r="AB56" s="23"/>
      <x:c r="AC56" s="23"/>
      <x:c r="AD56" s="23"/>
      <x:c r="AE56" s="23"/>
      <x:c r="AF56" s="23"/>
      <x:c r="AG56" s="23"/>
      <x:c r="AH56" s="23"/>
      <x:c r="AI56" s="23"/>
      <x:c r="AJ56" s="23"/>
      <x:c r="AK56" s="23" t="str">
        <x:v>cuir épais, dents massives, os lourds, équipement surdimensionné ou objets pillés</x:v>
      </x:c>
      <x:c r="AL56" s="23" t="str">
        <x:v>La créature laisse des ressources massives et encombrantes : cuir épais, os lourds, dents, équipement surdimensionné ou objets pillés. Sous-famille : Sous-famille créée pour les géants mythiques ou semi-divins.</x:v>
      </x:c>
      <x:c r="AM56" s="23" t="n">
        <x:v>14</x:v>
      </x:c>
      <x:c r="AN56" s="23" t="str">
        <x:v>Élite</x:v>
      </x:c>
      <x:c r="AO56" s="23" t="str">
        <x:v>Élite / mini-boss</x:v>
      </x:c>
      <x:c r="AP56" s="23" t="str">
        <x:v>Sous-famille</x:v>
      </x:c>
      <x:c r="AQ56" s="23" t="str">
        <x:v>Géant</x:v>
      </x:c>
      <x:c r="AR56" s="23" t="str">
        <x:v>Titanide</x:v>
      </x:c>
      <x:c r="AS56" s="23" t="str">
        <x:v>Géant mythique, cyclope majeur ou titan mineur.</x:v>
      </x:c>
      <x:c r="AT56" s="69" t="str">
        <x:v>Neutre</x:v>
      </x:c>
      <x:c r="AU56" s="69" t="str">
        <x:v>Neutre</x:v>
      </x:c>
      <x:c r="AV56" s="69" t="str">
        <x:v>Neutre</x:v>
      </x:c>
      <x:c r="AW56" s="69" t="str">
        <x:v>Résistant</x:v>
      </x:c>
      <x:c r="AX56" s="69" t="str">
        <x:v>Neutre</x:v>
      </x:c>
      <x:c r="AY56" s="69" t="str">
        <x:v>Neutre</x:v>
      </x:c>
      <x:c r="AZ56" s="69" t="str">
        <x:v>Résistant</x:v>
      </x:c>
      <x:c r="BA56" s="69" t="str">
        <x:v>Neutre</x:v>
      </x:c>
      <x:c r="BB56" s="23" t="str">
        <x:f t="shared" si="1"/>
        <x:v>resistanceA_terre resistanceA_force</x:v>
      </x:c>
      <x:c r="BC56" s="75" t="str">
        <x:v>Oui</x:v>
      </x:c>
      <x:c r="BD56" s="75" t="str">
        <x:v>Non</x:v>
      </x:c>
      <x:c r="BE56" s="75" t="str">
        <x:v>Oui</x:v>
      </x:c>
      <x:c r="BF56" s="75" t="str">
        <x:v>Non</x:v>
      </x:c>
      <x:c r="BG56" s="23" t="str">
        <x:v>Géant mythique, cyclope majeur ou titan mineur. Résiste à Terre, Force par affinité ou constitution. Sa morphologie réduit les dégâts tranchants, contondants.</x:v>
      </x:c>
      <x:c r="BH56" s="23" t="str">
        <x:f t="shared" si="2"/>
        <x:v>resistanceA_terre resistanceA_force resistanceA_tranchant resistanceA_contondant</x:v>
      </x:c>
    </x:row>
    <x:row r="57" ht="14.25" customHeight="1">
      <x:c r="A57" s="23" t="str">
        <x:v>Feu</x:v>
      </x:c>
      <x:c r="B57" s="23" t="n">
        <x:v>2113</x:v>
      </x:c>
      <x:c r="C57" s="23" t="str">
        <x:v>elemental_fire</x:v>
      </x:c>
      <x:c r="D57" s="23" t="str">
        <x:v>Élémentaire</x:v>
      </x:c>
      <x:c r="E57" s="23" t="n">
        <x:v>0</x:v>
      </x:c>
      <x:c r="F57" s="23" t="n">
        <x:v>2</x:v>
      </x:c>
      <x:c r="G57" s="23" t="n">
        <x:v>1</x:v>
      </x:c>
      <x:c r="H57" s="23" t="n">
        <x:v>0</x:v>
      </x:c>
      <x:c r="I57" s="23" t="n">
        <x:v>0</x:v>
      </x:c>
      <x:c r="J57" s="23" t="n">
        <x:v>1</x:v>
      </x:c>
      <x:c r="K57" s="23" t="n">
        <x:v>0</x:v>
      </x:c>
      <x:c r="L57" s="23" t="n">
        <x:v>1.1</x:v>
      </x:c>
      <x:c r="M57" s="23" t="n">
        <x:v>2</x:v>
      </x:c>
      <x:c r="N57" s="23" t="n">
        <x:v>1.25</x:v>
      </x:c>
      <x:c r="O57" s="23" t="n">
        <x:v>0</x:v>
      </x:c>
      <x:c r="P57" s="23" t="n">
        <x:v>0</x:v>
      </x:c>
      <x:c r="Q57" s="23" t="n">
        <x:v>0</x:v>
      </x:c>
      <x:c r="R57" s="23" t="n">
        <x:v>2</x:v>
      </x:c>
      <x:c r="S57" s="23" t="n">
        <x:v>0</x:v>
      </x:c>
      <x:c r="T57" s="23" t="n">
        <x:v>0</x:v>
      </x:c>
      <x:c r="U57" s="23" t="n">
        <x:v>0</x:v>
      </x:c>
      <x:c r="V57" s="23" t="n">
        <x:v>0</x:v>
      </x:c>
      <x:c r="W57" s="23" t="n">
        <x:v>0</x:v>
      </x:c>
      <x:c r="X57" s="23" t="n">
        <x:v>0</x:v>
      </x:c>
      <x:c r="Y57" s="23" t="n">
        <x:v>0</x:v>
      </x:c>
      <x:c r="Z57" s="23"/>
      <x:c r="AA57" s="23"/>
      <x:c r="AB57" s="23"/>
      <x:c r="AC57" s="23" t="str">
        <x:v>Oui</x:v>
      </x:c>
      <x:c r="AD57" s="23"/>
      <x:c r="AE57" s="23"/>
      <x:c r="AF57" s="23"/>
      <x:c r="AG57" s="23"/>
      <x:c r="AH57" s="23" t="str">
        <x:v>Oui</x:v>
      </x:c>
      <x:c r="AI57" s="23" t="str">
        <x:v>Oui</x:v>
      </x:c>
      <x:c r="AJ57" s="23"/>
      <x:c r="AK57" s="23" t="str">
        <x:v>cristaux élémentaires, éclats imprégnés, poussières chargées ou essence instable</x:v>
      </x:c>
      <x:c r="AL57" s="23" t="str">
        <x:v>Une fois dissipée, la créature laisse des éclats imprégnés de sa nature : cristaux, poussières chargées ou essence élémentaire. Sous-famille : Sous-famille créée pour brûlure, aura et dégâts directs.</x:v>
      </x:c>
      <x:c r="AM57" s="23" t="n">
        <x:v>14.25</x:v>
      </x:c>
      <x:c r="AN57" s="23" t="str">
        <x:v>Élite</x:v>
      </x:c>
      <x:c r="AO57" s="23" t="str">
        <x:v>Élite / mini-boss</x:v>
      </x:c>
      <x:c r="AP57" s="23" t="str">
        <x:v>Sous-famille</x:v>
      </x:c>
      <x:c r="AQ57" s="23" t="str">
        <x:v>Élémentaire</x:v>
      </x:c>
      <x:c r="AR57" s="23" t="str">
        <x:v>Feu</x:v>
      </x:c>
      <x:c r="AS57" s="23" t="str">
        <x:v>Élémentaire offensif : brûlure, aura, dégâts directs.</x:v>
      </x:c>
      <x:c r="AT57" s="69" t="str">
        <x:v>Résistant</x:v>
      </x:c>
      <x:c r="AU57" s="69" t="str">
        <x:v>Neutre</x:v>
      </x:c>
      <x:c r="AV57" s="69" t="str">
        <x:v>Vulnérable</x:v>
      </x:c>
      <x:c r="AW57" s="69" t="str">
        <x:v>Neutre</x:v>
      </x:c>
      <x:c r="AX57" s="69" t="str">
        <x:v>Neutre</x:v>
      </x:c>
      <x:c r="AY57" s="69" t="str">
        <x:v>Neutre</x:v>
      </x:c>
      <x:c r="AZ57" s="69" t="str">
        <x:v>Résistant</x:v>
      </x:c>
      <x:c r="BA57" s="69" t="str">
        <x:v>Neutre</x:v>
      </x:c>
      <x:c r="BB57" s="23" t="str">
        <x:f t="shared" si="1"/>
        <x:v>resistanceA_feu vulnerableA_eau resistanceA_force</x:v>
      </x:c>
      <x:c r="BC57" s="75" t="str">
        <x:v>Oui</x:v>
      </x:c>
      <x:c r="BD57" s="75" t="str">
        <x:v>Oui</x:v>
      </x:c>
      <x:c r="BE57" s="75" t="str">
        <x:v>Non</x:v>
      </x:c>
      <x:c r="BF57" s="75" t="str">
        <x:v>Non</x:v>
      </x:c>
      <x:c r="BG57" s="23" t="str">
        <x:v>Élémentaire offensif : brûlure, aura, dégâts directs. Résiste à Feu, Force par affinité ou constitution. Vulnérable à Eau, qui perturbe directement sa nature. Sa morphologie réduit les dégâts tranchants, perçants.</x:v>
      </x:c>
      <x:c r="BH57" s="23" t="str">
        <x:f t="shared" si="2"/>
        <x:v>resistanceA_feu vulnerableA_eau resistanceA_force resistanceA_tranchant resistanceA_percant</x:v>
      </x:c>
    </x:row>
    <x:row r="58" ht="14.25" customHeight="1">
      <x:c r="A58" s="23" t="str">
        <x:v>Gardien sacré</x:v>
      </x:c>
      <x:c r="B58" s="23" t="n">
        <x:v>2131</x:v>
      </x:c>
      <x:c r="C58" s="23" t="str">
        <x:v>celestial_guardian</x:v>
      </x:c>
      <x:c r="D58" s="23" t="str">
        <x:v>Céleste</x:v>
      </x:c>
      <x:c r="E58" s="23" t="n">
        <x:v>1</x:v>
      </x:c>
      <x:c r="F58" s="23" t="n">
        <x:v>1</x:v>
      </x:c>
      <x:c r="G58" s="23" t="n">
        <x:v>2</x:v>
      </x:c>
      <x:c r="H58" s="23" t="n">
        <x:v>1</x:v>
      </x:c>
      <x:c r="I58" s="23" t="n">
        <x:v>2</x:v>
      </x:c>
      <x:c r="J58" s="23" t="n">
        <x:v>2</x:v>
      </x:c>
      <x:c r="K58" s="23" t="n">
        <x:v>2</x:v>
      </x:c>
      <x:c r="L58" s="23" t="n">
        <x:v>1.25</x:v>
      </x:c>
      <x:c r="M58" s="23" t="n">
        <x:v>1</x:v>
      </x:c>
      <x:c r="N58" s="23" t="n">
        <x:v>1.5</x:v>
      </x:c>
      <x:c r="O58" s="23" t="n">
        <x:v>1</x:v>
      </x:c>
      <x:c r="P58" s="23" t="n">
        <x:v>1</x:v>
      </x:c>
      <x:c r="Q58" s="23" t="n">
        <x:v>1</x:v>
      </x:c>
      <x:c r="R58" s="23" t="n">
        <x:v>0</x:v>
      </x:c>
      <x:c r="S58" s="23" t="n">
        <x:v>0</x:v>
      </x:c>
      <x:c r="T58" s="23" t="n">
        <x:v>0</x:v>
      </x:c>
      <x:c r="U58" s="23" t="n">
        <x:v>0</x:v>
      </x:c>
      <x:c r="V58" s="23" t="n">
        <x:v>0</x:v>
      </x:c>
      <x:c r="W58" s="23" t="n">
        <x:v>0</x:v>
      </x:c>
      <x:c r="X58" s="23" t="n">
        <x:v>0</x:v>
      </x:c>
      <x:c r="Y58" s="23" t="n">
        <x:v>1</x:v>
      </x:c>
      <x:c r="Z58" s="23"/>
      <x:c r="AA58" s="23"/>
      <x:c r="AB58" s="23"/>
      <x:c r="AC58" s="23"/>
      <x:c r="AD58" s="23"/>
      <x:c r="AE58" s="23"/>
      <x:c r="AF58" s="23"/>
      <x:c r="AG58" s="23"/>
      <x:c r="AH58" s="23"/>
      <x:c r="AI58" s="23"/>
      <x:c r="AJ58" s="23"/>
      <x:c r="AK58" s="23" t="str">
        <x:v>plumes sacrées, fragments lumineux, larmes cristallisées, reliques bénies ou essence radieuse</x:v>
      </x:c>
      <x:c r="AL58" s="23" t="str">
        <x:v>La créature sacrée laisse peu de chair exploitable, mais ses fragments lumineux et reliques bénies ont une valeur spirituelle élevée. Sous-famille : Sous-famille créée pour défense, protection et résistance sacrée.</x:v>
      </x:c>
      <x:c r="AM58" s="23" t="n">
        <x:v>14.5</x:v>
      </x:c>
      <x:c r="AN58" s="23" t="str">
        <x:v>Élite</x:v>
      </x:c>
      <x:c r="AO58" s="23" t="str">
        <x:v>Élite / mini-boss</x:v>
      </x:c>
      <x:c r="AP58" s="23" t="str">
        <x:v>Sous-famille</x:v>
      </x:c>
      <x:c r="AQ58" s="23" t="str">
        <x:v>Céleste</x:v>
      </x:c>
      <x:c r="AR58" s="23" t="str">
        <x:v>Gardien sacré</x:v>
      </x:c>
      <x:c r="AS58" s="23" t="str">
        <x:v>Défenseur céleste avec meilleure défense et résistances.</x:v>
      </x:c>
      <x:c r="AT58" s="69" t="str">
        <x:v>Neutre</x:v>
      </x:c>
      <x:c r="AU58" s="69" t="str">
        <x:v>Neutre</x:v>
      </x:c>
      <x:c r="AV58" s="69" t="str">
        <x:v>Neutre</x:v>
      </x:c>
      <x:c r="AW58" s="69" t="str">
        <x:v>Neutre</x:v>
      </x:c>
      <x:c r="AX58" s="69" t="str">
        <x:v>Vulnérable</x:v>
      </x:c>
      <x:c r="AY58" s="69" t="str">
        <x:v>Résistant</x:v>
      </x:c>
      <x:c r="AZ58" s="69" t="str">
        <x:v>Résistant</x:v>
      </x:c>
      <x:c r="BA58" s="69" t="str">
        <x:v>Neutre</x:v>
      </x:c>
      <x:c r="BB58" s="23" t="str">
        <x:f t="shared" si="1"/>
        <x:v>vulnerableA_ombre resistanceA_lumiere resistanceA_force</x:v>
      </x:c>
      <x:c r="BC58" s="75" t="str">
        <x:v>Oui</x:v>
      </x:c>
      <x:c r="BD58" s="75" t="str">
        <x:v>Non</x:v>
      </x:c>
      <x:c r="BE58" s="75" t="str">
        <x:v>Non</x:v>
      </x:c>
      <x:c r="BF58" s="75" t="str">
        <x:v>Non</x:v>
      </x:c>
      <x:c r="BG58" s="23" t="str">
        <x:v>Défenseur céleste avec meilleure défense et résistances. Résiste à Lumière, Force par affinité ou constitution. Vulnérable à Ombre, qui perturbe directement sa nature. Sa morphologie réduit les dégâts tranchants.</x:v>
      </x:c>
      <x:c r="BH58" s="23" t="str">
        <x:f t="shared" si="2"/>
        <x:v>vulnerableA_ombre resistanceA_lumiere resistanceA_force resistanceA_tranchant</x:v>
      </x:c>
    </x:row>
    <x:row r="59" ht="14.25" customHeight="1">
      <x:c r="A59" s="23" t="str">
        <x:v>Foudre</x:v>
      </x:c>
      <x:c r="B59" s="23" t="n">
        <x:v>2114</x:v>
      </x:c>
      <x:c r="C59" s="23" t="str">
        <x:v>elemental_lightning</x:v>
      </x:c>
      <x:c r="D59" s="23" t="str">
        <x:v>Élémentaire</x:v>
      </x:c>
      <x:c r="E59" s="23" t="n">
        <x:v>0</x:v>
      </x:c>
      <x:c r="F59" s="23" t="n">
        <x:v>3</x:v>
      </x:c>
      <x:c r="G59" s="23" t="n">
        <x:v>1</x:v>
      </x:c>
      <x:c r="H59" s="23" t="n">
        <x:v>0</x:v>
      </x:c>
      <x:c r="I59" s="23" t="n">
        <x:v>0</x:v>
      </x:c>
      <x:c r="J59" s="23" t="n">
        <x:v>1</x:v>
      </x:c>
      <x:c r="K59" s="23" t="n">
        <x:v>0</x:v>
      </x:c>
      <x:c r="L59" s="23" t="n">
        <x:v>1</x:v>
      </x:c>
      <x:c r="M59" s="23" t="n">
        <x:v>3</x:v>
      </x:c>
      <x:c r="N59" s="23" t="n">
        <x:v>1.35</x:v>
      </x:c>
      <x:c r="O59" s="23" t="n">
        <x:v>0</x:v>
      </x:c>
      <x:c r="P59" s="23" t="n">
        <x:v>0</x:v>
      </x:c>
      <x:c r="Q59" s="23" t="n">
        <x:v>0</x:v>
      </x:c>
      <x:c r="R59" s="23" t="n">
        <x:v>0</x:v>
      </x:c>
      <x:c r="S59" s="23" t="n">
        <x:v>0</x:v>
      </x:c>
      <x:c r="T59" s="23" t="n">
        <x:v>2</x:v>
      </x:c>
      <x:c r="U59" s="23" t="n">
        <x:v>0</x:v>
      </x:c>
      <x:c r="V59" s="23" t="n">
        <x:v>0</x:v>
      </x:c>
      <x:c r="W59" s="23" t="n">
        <x:v>0</x:v>
      </x:c>
      <x:c r="X59" s="23" t="n">
        <x:v>0</x:v>
      </x:c>
      <x:c r="Y59" s="23" t="n">
        <x:v>0</x:v>
      </x:c>
      <x:c r="Z59" s="23"/>
      <x:c r="AA59" s="23"/>
      <x:c r="AB59" s="23"/>
      <x:c r="AC59" s="23"/>
      <x:c r="AD59" s="23"/>
      <x:c r="AE59" s="23" t="str">
        <x:v>Oui</x:v>
      </x:c>
      <x:c r="AF59" s="23"/>
      <x:c r="AG59" s="23"/>
      <x:c r="AH59" s="23" t="str">
        <x:v>Oui</x:v>
      </x:c>
      <x:c r="AI59" s="23" t="str">
        <x:v>Oui</x:v>
      </x:c>
      <x:c r="AJ59" s="23"/>
      <x:c r="AK59" s="23" t="str">
        <x:v>cristaux élémentaires, éclats imprégnés, poussières chargées ou essence instable</x:v>
      </x:c>
      <x:c r="AL59" s="23" t="str">
        <x:v>Une fois dissipée, la créature laisse des éclats imprégnés de sa nature : cristaux, poussières chargées ou essence élémentaire. Sous-famille : Sous-famille créée pour initiative élevée et dégâts explosifs.</x:v>
      </x:c>
      <x:c r="AM59" s="23" t="n">
        <x:v>15</x:v>
      </x:c>
      <x:c r="AN59" s="23" t="str">
        <x:v>Élite</x:v>
      </x:c>
      <x:c r="AO59" s="23" t="str">
        <x:v>Élite / mini-boss</x:v>
      </x:c>
      <x:c r="AP59" s="23" t="str">
        <x:v>Sous-famille</x:v>
      </x:c>
      <x:c r="AQ59" s="23" t="str">
        <x:v>Élémentaire</x:v>
      </x:c>
      <x:c r="AR59" s="23" t="str">
        <x:v>Foudre</x:v>
      </x:c>
      <x:c r="AS59" s="23" t="str">
        <x:v>Élémentaire explosif et rapide, danger d’initiative.</x:v>
      </x:c>
      <x:c r="AT59" s="69" t="str">
        <x:v>Neutre</x:v>
      </x:c>
      <x:c r="AU59" s="69" t="str">
        <x:v>Résistant</x:v>
      </x:c>
      <x:c r="AV59" s="69" t="str">
        <x:v>Neutre</x:v>
      </x:c>
      <x:c r="AW59" s="69" t="str">
        <x:v>Vulnérable</x:v>
      </x:c>
      <x:c r="AX59" s="69" t="str">
        <x:v>Neutre</x:v>
      </x:c>
      <x:c r="AY59" s="69" t="str">
        <x:v>Neutre</x:v>
      </x:c>
      <x:c r="AZ59" s="69" t="str">
        <x:v>Résistant</x:v>
      </x:c>
      <x:c r="BA59" s="69" t="str">
        <x:v>Neutre</x:v>
      </x:c>
      <x:c r="BB59" s="23" t="str">
        <x:f t="shared" si="1"/>
        <x:v>resistanceA_air vulnerableA_terre resistanceA_force</x:v>
      </x:c>
      <x:c r="BC59" s="75" t="str">
        <x:v>Oui</x:v>
      </x:c>
      <x:c r="BD59" s="75" t="str">
        <x:v>Oui</x:v>
      </x:c>
      <x:c r="BE59" s="75" t="str">
        <x:v>Non</x:v>
      </x:c>
      <x:c r="BF59" s="75" t="str">
        <x:v>Non</x:v>
      </x:c>
      <x:c r="BG59" s="23" t="str">
        <x:v>Élémentaire explosif et rapide, danger d’initiative. Résiste à Air, Force par affinité ou constitution. Vulnérable à Terre, qui perturbe directement sa nature. Sa morphologie réduit les dégâts tranchants, perçants.</x:v>
      </x:c>
      <x:c r="BH59" s="23" t="str">
        <x:f t="shared" si="2"/>
        <x:v>resistanceA_air vulnerableA_terre resistanceA_force resistanceA_tranchant resistanceA_percant</x:v>
      </x:c>
    </x:row>
    <x:row r="60" ht="14.25" customHeight="1">
      <x:c r="A60" s="23" t="str">
        <x:v>Acide</x:v>
      </x:c>
      <x:c r="B60" s="23" t="n">
        <x:v>2116</x:v>
      </x:c>
      <x:c r="C60" s="23" t="str">
        <x:v>elemental_acid</x:v>
      </x:c>
      <x:c r="D60" s="23" t="str">
        <x:v>Élémentaire</x:v>
      </x:c>
      <x:c r="E60" s="23" t="n">
        <x:v>0</x:v>
      </x:c>
      <x:c r="F60" s="23" t="n">
        <x:v>1</x:v>
      </x:c>
      <x:c r="G60" s="23" t="n">
        <x:v>2</x:v>
      </x:c>
      <x:c r="H60" s="23" t="n">
        <x:v>0</x:v>
      </x:c>
      <x:c r="I60" s="23" t="n">
        <x:v>0</x:v>
      </x:c>
      <x:c r="J60" s="23" t="n">
        <x:v>0</x:v>
      </x:c>
      <x:c r="K60" s="23" t="n">
        <x:v>0</x:v>
      </x:c>
      <x:c r="L60" s="23" t="n">
        <x:v>1.2</x:v>
      </x:c>
      <x:c r="M60" s="23" t="n">
        <x:v>1</x:v>
      </x:c>
      <x:c r="N60" s="23" t="n">
        <x:v>1.5</x:v>
      </x:c>
      <x:c r="O60" s="23" t="n">
        <x:v>0</x:v>
      </x:c>
      <x:c r="P60" s="23" t="n">
        <x:v>0</x:v>
      </x:c>
      <x:c r="Q60" s="23" t="n">
        <x:v>0</x:v>
      </x:c>
      <x:c r="R60" s="23" t="n">
        <x:v>0</x:v>
      </x:c>
      <x:c r="S60" s="23" t="n">
        <x:v>0</x:v>
      </x:c>
      <x:c r="T60" s="23" t="n">
        <x:v>0</x:v>
      </x:c>
      <x:c r="U60" s="23" t="n">
        <x:v>2</x:v>
      </x:c>
      <x:c r="V60" s="23" t="n">
        <x:v>0</x:v>
      </x:c>
      <x:c r="W60" s="23" t="n">
        <x:v>0</x:v>
      </x:c>
      <x:c r="X60" s="23" t="n">
        <x:v>0</x:v>
      </x:c>
      <x:c r="Y60" s="23" t="n">
        <x:v>0</x:v>
      </x:c>
      <x:c r="Z60" s="23"/>
      <x:c r="AA60" s="23"/>
      <x:c r="AB60" s="23"/>
      <x:c r="AC60" s="23"/>
      <x:c r="AD60" s="23"/>
      <x:c r="AE60" s="23"/>
      <x:c r="AF60" s="23" t="str">
        <x:v>Oui</x:v>
      </x:c>
      <x:c r="AG60" s="23"/>
      <x:c r="AH60" s="23" t="str">
        <x:v>Oui</x:v>
      </x:c>
      <x:c r="AI60" s="23" t="str">
        <x:v>Oui</x:v>
      </x:c>
      <x:c r="AJ60" s="23"/>
      <x:c r="AK60" s="23" t="str">
        <x:v>cristaux élémentaires, éclats imprégnés, poussières chargées ou essence instable</x:v>
      </x:c>
      <x:c r="AL60" s="23" t="str">
        <x:v>Une fois dissipée, la créature laisse des éclats imprégnés de sa nature : cristaux, poussières chargées ou essence élémentaire. Sous-famille : Sous-famille créée pour corrosion et danger matériel sur l’équipement.</x:v>
      </x:c>
      <x:c r="AM60" s="23" t="n">
        <x:v>15.5</x:v>
      </x:c>
      <x:c r="AN60" s="23" t="str">
        <x:v>Élite</x:v>
      </x:c>
      <x:c r="AO60" s="23" t="str">
        <x:v>Élite / mini-boss</x:v>
      </x:c>
      <x:c r="AP60" s="23" t="str">
        <x:v>Sous-famille</x:v>
      </x:c>
      <x:c r="AQ60" s="23" t="str">
        <x:v>Élémentaire</x:v>
      </x:c>
      <x:c r="AR60" s="23" t="str">
        <x:v>Acide</x:v>
      </x:c>
      <x:c r="AS60" s="23" t="str">
        <x:v>Élémentaire corrosif, dangereux pour armures et équipement.</x:v>
      </x:c>
      <x:c r="AT60" s="69" t="str">
        <x:v>Neutre</x:v>
      </x:c>
      <x:c r="AU60" s="69" t="str">
        <x:v>Neutre</x:v>
      </x:c>
      <x:c r="AV60" s="69" t="str">
        <x:v>Vulnérable</x:v>
      </x:c>
      <x:c r="AW60" s="69" t="str">
        <x:v>Résistant</x:v>
      </x:c>
      <x:c r="AX60" s="69" t="str">
        <x:v>Neutre</x:v>
      </x:c>
      <x:c r="AY60" s="69" t="str">
        <x:v>Neutre</x:v>
      </x:c>
      <x:c r="AZ60" s="69" t="str">
        <x:v>Résistant</x:v>
      </x:c>
      <x:c r="BA60" s="69" t="str">
        <x:v>Neutre</x:v>
      </x:c>
      <x:c r="BB60" s="23" t="str">
        <x:f t="shared" si="1"/>
        <x:v>vulnerableA_eau resistanceA_terre resistanceA_force</x:v>
      </x:c>
      <x:c r="BC60" s="75" t="str">
        <x:v>Oui</x:v>
      </x:c>
      <x:c r="BD60" s="75" t="str">
        <x:v>Oui</x:v>
      </x:c>
      <x:c r="BE60" s="75" t="str">
        <x:v>Non</x:v>
      </x:c>
      <x:c r="BF60" s="75" t="str">
        <x:v>Non</x:v>
      </x:c>
      <x:c r="BG60" s="23" t="str">
        <x:v>Élémentaire corrosif, dangereux pour armures et équipement. Résiste à Terre, Force par affinité ou constitution. Vulnérable à Eau, qui perturbe directement sa nature. Sa morphologie réduit les dégâts tranchants, perçants.</x:v>
      </x:c>
      <x:c r="BH60" s="23" t="str">
        <x:f t="shared" si="2"/>
        <x:v>vulnerableA_eau resistanceA_terre resistanceA_force resistanceA_tranchant resistanceA_percant</x:v>
      </x:c>
    </x:row>
    <x:row r="61" ht="14.25" customHeight="1">
      <x:c r="A61" s="23" t="str">
        <x:v>Terre</x:v>
      </x:c>
      <x:c r="B61" s="23" t="n">
        <x:v>2115</x:v>
      </x:c>
      <x:c r="C61" s="23" t="str">
        <x:v>elemental_earth</x:v>
      </x:c>
      <x:c r="D61" s="23" t="str">
        <x:v>Élémentaire</x:v>
      </x:c>
      <x:c r="E61" s="23" t="n">
        <x:v>3</x:v>
      </x:c>
      <x:c r="F61" s="23" t="n">
        <x:v>-2</x:v>
      </x:c>
      <x:c r="G61" s="23" t="n">
        <x:v>3</x:v>
      </x:c>
      <x:c r="H61" s="23" t="n">
        <x:v>0</x:v>
      </x:c>
      <x:c r="I61" s="23" t="n">
        <x:v>0</x:v>
      </x:c>
      <x:c r="J61" s="23" t="n">
        <x:v>0</x:v>
      </x:c>
      <x:c r="K61" s="23" t="n">
        <x:v>2</x:v>
      </x:c>
      <x:c r="L61" s="23" t="n">
        <x:v>1.5</x:v>
      </x:c>
      <x:c r="M61" s="23" t="n">
        <x:v>-2</x:v>
      </x:c>
      <x:c r="N61" s="23" t="n">
        <x:v>1.35</x:v>
      </x:c>
      <x:c r="O61" s="23" t="n">
        <x:v>2</x:v>
      </x:c>
      <x:c r="P61" s="23" t="n">
        <x:v>2</x:v>
      </x:c>
      <x:c r="Q61" s="23" t="n">
        <x:v>2</x:v>
      </x:c>
      <x:c r="R61" s="23" t="n">
        <x:v>0</x:v>
      </x:c>
      <x:c r="S61" s="23" t="n">
        <x:v>0</x:v>
      </x:c>
      <x:c r="T61" s="23" t="n">
        <x:v>0</x:v>
      </x:c>
      <x:c r="U61" s="23" t="n">
        <x:v>0</x:v>
      </x:c>
      <x:c r="V61" s="23" t="n">
        <x:v>0</x:v>
      </x:c>
      <x:c r="W61" s="23" t="n">
        <x:v>0</x:v>
      </x:c>
      <x:c r="X61" s="23" t="n">
        <x:v>0</x:v>
      </x:c>
      <x:c r="Y61" s="23" t="n">
        <x:v>0</x:v>
      </x:c>
      <x:c r="Z61" s="23"/>
      <x:c r="AA61" s="23"/>
      <x:c r="AB61" s="23"/>
      <x:c r="AC61" s="23"/>
      <x:c r="AD61" s="23"/>
      <x:c r="AE61" s="23"/>
      <x:c r="AF61" s="23"/>
      <x:c r="AG61" s="23"/>
      <x:c r="AH61" s="23" t="str">
        <x:v>Oui</x:v>
      </x:c>
      <x:c r="AI61" s="23" t="str">
        <x:v>Oui</x:v>
      </x:c>
      <x:c r="AJ61" s="23"/>
      <x:c r="AK61" s="23" t="str">
        <x:v>cristaux élémentaires, éclats imprégnés, poussières chargées ou essence instable</x:v>
      </x:c>
      <x:c r="AL61" s="23" t="str">
        <x:v>Une fois dissipée, la créature laisse des éclats imprégnés de sa nature : cristaux, poussières chargées ou essence élémentaire. Sous-famille : Sous-famille créée pour solidité, défense et masse.</x:v>
      </x:c>
      <x:c r="AM61" s="23" t="n">
        <x:v>15.5</x:v>
      </x:c>
      <x:c r="AN61" s="23" t="str">
        <x:v>Élite</x:v>
      </x:c>
      <x:c r="AO61" s="23" t="str">
        <x:v>Élite / mini-boss</x:v>
      </x:c>
      <x:c r="AP61" s="23" t="str">
        <x:v>Sous-famille</x:v>
      </x:c>
      <x:c r="AQ61" s="23" t="str">
        <x:v>Élémentaire</x:v>
      </x:c>
      <x:c r="AR61" s="23" t="str">
        <x:v>Terre</x:v>
      </x:c>
      <x:c r="AS61" s="23" t="str">
        <x:v>Élémentaire solide : DEF, CON et PV élevés.</x:v>
      </x:c>
      <x:c r="AT61" s="69" t="str">
        <x:v>Neutre</x:v>
      </x:c>
      <x:c r="AU61" s="69" t="str">
        <x:v>Vulnérable</x:v>
      </x:c>
      <x:c r="AV61" s="69" t="str">
        <x:v>Neutre</x:v>
      </x:c>
      <x:c r="AW61" s="69" t="str">
        <x:v>Résistant</x:v>
      </x:c>
      <x:c r="AX61" s="69" t="str">
        <x:v>Neutre</x:v>
      </x:c>
      <x:c r="AY61" s="69" t="str">
        <x:v>Neutre</x:v>
      </x:c>
      <x:c r="AZ61" s="69" t="str">
        <x:v>Résistant</x:v>
      </x:c>
      <x:c r="BA61" s="69" t="str">
        <x:v>Neutre</x:v>
      </x:c>
      <x:c r="BB61" s="23" t="str">
        <x:f t="shared" si="1"/>
        <x:v>vulnerableA_air resistanceA_terre resistanceA_force</x:v>
      </x:c>
      <x:c r="BC61" s="75" t="str">
        <x:v>Oui</x:v>
      </x:c>
      <x:c r="BD61" s="75" t="str">
        <x:v>Oui</x:v>
      </x:c>
      <x:c r="BE61" s="75" t="str">
        <x:v>Non</x:v>
      </x:c>
      <x:c r="BF61" s="75" t="str">
        <x:v>Non</x:v>
      </x:c>
      <x:c r="BG61" s="23" t="str">
        <x:v>Élémentaire solide : DEF, CON et PV élevés. Résiste à Terre, Force par affinité ou constitution. Vulnérable à Air, qui perturbe directement sa nature. Sa morphologie réduit les dégâts tranchants, perçants.</x:v>
      </x:c>
      <x:c r="BH61" s="23" t="str">
        <x:f t="shared" si="2"/>
        <x:v>vulnerableA_air resistanceA_terre resistanceA_force resistanceA_tranchant resistanceA_percant</x:v>
      </x:c>
    </x:row>
    <x:row r="62" ht="14.25" customHeight="1">
      <x:c r="A62" s="23" t="str">
        <x:v>Automate</x:v>
      </x:c>
      <x:c r="B62" s="23" t="n">
        <x:v>2121</x:v>
      </x:c>
      <x:c r="C62" s="23" t="str">
        <x:v>construct_automaton</x:v>
      </x:c>
      <x:c r="D62" s="23" t="str">
        <x:v>Artificiel</x:v>
      </x:c>
      <x:c r="E62" s="23" t="n">
        <x:v>1</x:v>
      </x:c>
      <x:c r="F62" s="23" t="n">
        <x:v>-1</x:v>
      </x:c>
      <x:c r="G62" s="23" t="n">
        <x:v>3</x:v>
      </x:c>
      <x:c r="H62" s="23" t="n">
        <x:v>0</x:v>
      </x:c>
      <x:c r="I62" s="23" t="n">
        <x:v>-1</x:v>
      </x:c>
      <x:c r="J62" s="23" t="n">
        <x:v>0</x:v>
      </x:c>
      <x:c r="K62" s="23" t="n">
        <x:v>1</x:v>
      </x:c>
      <x:c r="L62" s="23" t="n">
        <x:v>1.5</x:v>
      </x:c>
      <x:c r="M62" s="23" t="n">
        <x:v>-2</x:v>
      </x:c>
      <x:c r="N62" s="23" t="n">
        <x:v>1.5</x:v>
      </x:c>
      <x:c r="O62" s="23" t="n">
        <x:v>2</x:v>
      </x:c>
      <x:c r="P62" s="23" t="n">
        <x:v>2</x:v>
      </x:c>
      <x:c r="Q62" s="23" t="n">
        <x:v>2</x:v>
      </x:c>
      <x:c r="R62" s="23" t="n">
        <x:v>0</x:v>
      </x:c>
      <x:c r="S62" s="23" t="n">
        <x:v>0</x:v>
      </x:c>
      <x:c r="T62" s="23" t="n">
        <x:v>0</x:v>
      </x:c>
      <x:c r="U62" s="23" t="n">
        <x:v>0</x:v>
      </x:c>
      <x:c r="V62" s="23" t="n">
        <x:v>0</x:v>
      </x:c>
      <x:c r="W62" s="23" t="n">
        <x:v>0</x:v>
      </x:c>
      <x:c r="X62" s="23" t="n">
        <x:v>0</x:v>
      </x:c>
      <x:c r="Y62" s="23" t="n">
        <x:v>0</x:v>
      </x:c>
      <x:c r="Z62" s="23"/>
      <x:c r="AA62" s="23"/>
      <x:c r="AB62" s="23"/>
      <x:c r="AC62" s="23"/>
      <x:c r="AD62" s="23"/>
      <x:c r="AE62" s="23"/>
      <x:c r="AF62" s="23"/>
      <x:c r="AG62" s="23"/>
      <x:c r="AH62" s="23" t="str">
        <x:v>Oui</x:v>
      </x:c>
      <x:c r="AI62" s="23" t="str">
        <x:v>Oui</x:v>
      </x:c>
      <x:c r="AJ62" s="23"/>
      <x:c r="AK62" s="23" t="str">
        <x:v>rouages, plaques métalliques, cristaux, noyau brisé ou composants mécaniques</x:v>
      </x:c>
      <x:c r="AL62" s="23" t="str">
        <x:v>Le corps mécanique ou animé peut être démonté : rouages, plaques, cristaux, noyaux brisés ou fragments enchantés gardent une valeur élevée. Sous-famille : Sous-famille standard de l’artificiel construit.</x:v>
      </x:c>
      <x:c r="AM62" s="23" t="n">
        <x:v>17.5</x:v>
      </x:c>
      <x:c r="AN62" s="23" t="str">
        <x:v>Élite</x:v>
      </x:c>
      <x:c r="AO62" s="23" t="str">
        <x:v>Élite / mini-boss</x:v>
      </x:c>
      <x:c r="AP62" s="23" t="str">
        <x:v>Sous-famille</x:v>
      </x:c>
      <x:c r="AQ62" s="23" t="str">
        <x:v>Artificiel</x:v>
      </x:c>
      <x:c r="AR62" s="23" t="str">
        <x:v>Automate</x:v>
      </x:c>
      <x:c r="AS62" s="23" t="str">
        <x:v>Créature mécanique ou magique standard.</x:v>
      </x:c>
      <x:c r="AT62" s="69" t="str">
        <x:v>Neutre</x:v>
      </x:c>
      <x:c r="AU62" s="69" t="str">
        <x:v>Vulnérable</x:v>
      </x:c>
      <x:c r="AV62" s="69" t="str">
        <x:v>Neutre</x:v>
      </x:c>
      <x:c r="AW62" s="69" t="str">
        <x:v>Neutre</x:v>
      </x:c>
      <x:c r="AX62" s="69" t="str">
        <x:v>Résistant</x:v>
      </x:c>
      <x:c r="AY62" s="69" t="str">
        <x:v>Neutre</x:v>
      </x:c>
      <x:c r="AZ62" s="69" t="str">
        <x:v>Neutre</x:v>
      </x:c>
      <x:c r="BA62" s="69" t="str">
        <x:v>Résistant</x:v>
      </x:c>
      <x:c r="BB62" s="23" t="str">
        <x:f t="shared" si="1"/>
        <x:v>vulnerableA_air resistanceA_ombre</x:v>
      </x:c>
      <x:c r="BC62" s="75" t="str">
        <x:v>Oui</x:v>
      </x:c>
      <x:c r="BD62" s="75" t="str">
        <x:v>Oui</x:v>
      </x:c>
      <x:c r="BE62" s="75" t="str">
        <x:v>Non</x:v>
      </x:c>
      <x:c r="BF62" s="75" t="str">
        <x:v>Non</x:v>
      </x:c>
      <x:c r="BG62" s="23" t="str">
        <x:v>Créature mécanique ou magique standard. Résiste à Ombre par affinité ou constitution. Vulnérable à Air, qui perturbe directement sa nature. Sa morphologie réduit les dégâts tranchants, perçants.</x:v>
      </x:c>
      <x:c r="BH62" s="23" t="str">
        <x:f t="shared" si="2"/>
        <x:v>vulnerableA_air resistanceA_ombre resistanceA_tranchant resistanceA_percant</x:v>
      </x:c>
    </x:row>
    <x:row r="63" ht="14.25" customHeight="1">
      <x:c r="A63" s="23" t="str">
        <x:v>Dragon mineur</x:v>
      </x:c>
      <x:c r="B63" s="23" t="n">
        <x:v>2150</x:v>
      </x:c>
      <x:c r="C63" s="23" t="str">
        <x:v>dragon_minor</x:v>
      </x:c>
      <x:c r="D63" s="23" t="str">
        <x:v>Dragon</x:v>
      </x:c>
      <x:c r="E63" s="23" t="n">
        <x:v>1</x:v>
      </x:c>
      <x:c r="F63" s="23" t="n">
        <x:v>0</x:v>
      </x:c>
      <x:c r="G63" s="23" t="n">
        <x:v>1</x:v>
      </x:c>
      <x:c r="H63" s="23" t="n">
        <x:v>-1</x:v>
      </x:c>
      <x:c r="I63" s="23" t="n">
        <x:v>0</x:v>
      </x:c>
      <x:c r="J63" s="23" t="n">
        <x:v>0</x:v>
      </x:c>
      <x:c r="K63" s="23" t="n">
        <x:v>1</x:v>
      </x:c>
      <x:c r="L63" s="23" t="n">
        <x:v>1.25</x:v>
      </x:c>
      <x:c r="M63" s="23" t="n">
        <x:v>0</x:v>
      </x:c>
      <x:c r="N63" s="23" t="n">
        <x:v>1.25</x:v>
      </x:c>
      <x:c r="O63" s="23" t="n">
        <x:v>1</x:v>
      </x:c>
      <x:c r="P63" s="23" t="n">
        <x:v>0</x:v>
      </x:c>
      <x:c r="Q63" s="23" t="n">
        <x:v>1</x:v>
      </x:c>
      <x:c r="R63" s="23" t="n">
        <x:v>0</x:v>
      </x:c>
      <x:c r="S63" s="23" t="n">
        <x:v>0</x:v>
      </x:c>
      <x:c r="T63" s="23" t="n">
        <x:v>0</x:v>
      </x:c>
      <x:c r="U63" s="23" t="n">
        <x:v>0</x:v>
      </x:c>
      <x:c r="V63" s="23" t="n">
        <x:v>0</x:v>
      </x:c>
      <x:c r="W63" s="23" t="n">
        <x:v>0</x:v>
      </x:c>
      <x:c r="X63" s="23" t="n">
        <x:v>0</x:v>
      </x:c>
      <x:c r="Y63" s="23" t="n">
        <x:v>0</x:v>
      </x:c>
      <x:c r="Z63" s="23"/>
      <x:c r="AA63" s="23"/>
      <x:c r="AB63" s="23"/>
      <x:c r="AC63" s="23"/>
      <x:c r="AD63" s="23"/>
      <x:c r="AE63" s="23"/>
      <x:c r="AF63" s="23"/>
      <x:c r="AG63" s="23"/>
      <x:c r="AH63" s="23"/>
      <x:c r="AI63" s="23"/>
      <x:c r="AJ63" s="23"/>
      <x:c r="AK63" s="23" t="str">
        <x:v>écailles, sang draconique, crocs, griffes, os ou fragments de corne</x:v>
      </x:c>
      <x:c r="AL63" s="23" t="str">
        <x:v>Même abîmé, le corps draconique fournit des matériaux recherchés : écailles, sang, crocs, griffes, os ou fragments de corne. Sous-famille : Sous-famille créée pour utiliser du draconique sans poser un vrai boss dragon.</x:v>
      </x:c>
      <x:c r="AM63" s="23" t="n">
        <x:v>17.5</x:v>
      </x:c>
      <x:c r="AN63" s="23" t="str">
        <x:v>Élite</x:v>
      </x:c>
      <x:c r="AO63" s="23" t="str">
        <x:v>Élite / mini-boss</x:v>
      </x:c>
      <x:c r="AP63" s="23" t="str">
        <x:v>Sous-famille</x:v>
      </x:c>
      <x:c r="AQ63" s="23" t="str">
        <x:v>Dragon</x:v>
      </x:c>
      <x:c r="AR63" s="23" t="str">
        <x:v>Dragon mineur</x:v>
      </x:c>
      <x:c r="AS63" s="23" t="str">
        <x:v>Drake, wyverne, jeune dragon ou dragon incomplet.</x:v>
      </x:c>
      <x:c r="AT63" s="69" t="str">
        <x:v>Neutre</x:v>
      </x:c>
      <x:c r="AU63" s="69" t="str">
        <x:v>Neutre</x:v>
      </x:c>
      <x:c r="AV63" s="69" t="str">
        <x:v>Neutre</x:v>
      </x:c>
      <x:c r="AW63" s="69" t="str">
        <x:v>Neutre</x:v>
      </x:c>
      <x:c r="AX63" s="69" t="str">
        <x:v>Neutre</x:v>
      </x:c>
      <x:c r="AY63" s="69" t="str">
        <x:v>Neutre</x:v>
      </x:c>
      <x:c r="AZ63" s="69" t="str">
        <x:v>Résistant</x:v>
      </x:c>
      <x:c r="BA63" s="69" t="str">
        <x:v>Neutre</x:v>
      </x:c>
      <x:c r="BB63" s="23" t="str">
        <x:f t="shared" si="1"/>
        <x:v>resistanceA_force</x:v>
      </x:c>
      <x:c r="BC63" s="75" t="str">
        <x:v>Oui</x:v>
      </x:c>
      <x:c r="BD63" s="75" t="str">
        <x:v>Non</x:v>
      </x:c>
      <x:c r="BE63" s="75" t="str">
        <x:v>Non</x:v>
      </x:c>
      <x:c r="BF63" s="75" t="str">
        <x:v>Non</x:v>
      </x:c>
      <x:c r="BG63" s="23" t="str">
        <x:v>Drake, wyverne, jeune dragon ou dragon incomplet. Résiste à Force par affinité ou constitution. Sa morphologie réduit les dégâts tranchants.</x:v>
      </x:c>
      <x:c r="BH63" s="23" t="str">
        <x:f t="shared" si="2"/>
        <x:v>resistanceA_force resistanceA_tranchant</x:v>
      </x:c>
    </x:row>
    <x:row r="64" ht="14.25" customHeight="1">
      <x:c r="A64" s="23" t="str">
        <x:v>Esprit lié</x:v>
      </x:c>
      <x:c r="B64" s="23" t="n">
        <x:v>2140</x:v>
      </x:c>
      <x:c r="C64" s="23" t="str">
        <x:v>spirit_bound</x:v>
      </x:c>
      <x:c r="D64" s="23" t="str">
        <x:v>Esprit</x:v>
      </x:c>
      <x:c r="E64" s="23" t="n">
        <x:v>-2</x:v>
      </x:c>
      <x:c r="F64" s="23" t="n">
        <x:v>1</x:v>
      </x:c>
      <x:c r="G64" s="23" t="n">
        <x:v>-2</x:v>
      </x:c>
      <x:c r="H64" s="23" t="n">
        <x:v>0</x:v>
      </x:c>
      <x:c r="I64" s="23" t="n">
        <x:v>2</x:v>
      </x:c>
      <x:c r="J64" s="23" t="n">
        <x:v>1</x:v>
      </x:c>
      <x:c r="K64" s="23" t="n">
        <x:v>1</x:v>
      </x:c>
      <x:c r="L64" s="23" t="n">
        <x:v>0.75</x:v>
      </x:c>
      <x:c r="M64" s="23" t="n">
        <x:v>1</x:v>
      </x:c>
      <x:c r="N64" s="23" t="n">
        <x:v>1</x:v>
      </x:c>
      <x:c r="O64" s="23" t="n">
        <x:v>2</x:v>
      </x:c>
      <x:c r="P64" s="23" t="n">
        <x:v>2</x:v>
      </x:c>
      <x:c r="Q64" s="23" t="n">
        <x:v>2</x:v>
      </x:c>
      <x:c r="R64" s="23" t="n">
        <x:v>0</x:v>
      </x:c>
      <x:c r="S64" s="23" t="n">
        <x:v>0</x:v>
      </x:c>
      <x:c r="T64" s="23" t="n">
        <x:v>0</x:v>
      </x:c>
      <x:c r="U64" s="23" t="n">
        <x:v>0</x:v>
      </x:c>
      <x:c r="V64" s="23" t="n">
        <x:v>0</x:v>
      </x:c>
      <x:c r="W64" s="23" t="n">
        <x:v>0</x:v>
      </x:c>
      <x:c r="X64" s="23" t="n">
        <x:v>0</x:v>
      </x:c>
      <x:c r="Y64" s="23" t="n">
        <x:v>1</x:v>
      </x:c>
      <x:c r="Z64" s="23"/>
      <x:c r="AA64" s="23"/>
      <x:c r="AB64" s="23"/>
      <x:c r="AC64" s="23"/>
      <x:c r="AD64" s="23"/>
      <x:c r="AE64" s="23"/>
      <x:c r="AF64" s="23"/>
      <x:c r="AG64" s="23"/>
      <x:c r="AH64" s="23" t="str">
        <x:v>Oui</x:v>
      </x:c>
      <x:c r="AI64" s="23" t="str">
        <x:v>Oui</x:v>
      </x:c>
      <x:c r="AJ64" s="23"/>
      <x:c r="AK64" s="23" t="str">
        <x:v>résidus ectoplasmiques, poussière spectrale, fragments liés ou essence éthérée</x:v>
      </x:c>
      <x:c r="AL64" s="23" t="str">
        <x:v>La créature ne laisse presque rien de matériel, mais ses résidus éthérés peuvent être capturés ou valorisés par des spécialistes. Sous-famille : Sous-famille créée pour les esprits ancrés à un lieu ou objet.</x:v>
      </x:c>
      <x:c r="AM64" s="23" t="n">
        <x:v>17.5</x:v>
      </x:c>
      <x:c r="AN64" s="23" t="str">
        <x:v>Élite</x:v>
      </x:c>
      <x:c r="AO64" s="23" t="str">
        <x:v>Élite / mini-boss</x:v>
      </x:c>
      <x:c r="AP64" s="23" t="str">
        <x:v>Sous-famille</x:v>
      </x:c>
      <x:c r="AQ64" s="23" t="str">
        <x:v>Esprit</x:v>
      </x:c>
      <x:c r="AR64" s="23" t="str">
        <x:v>Esprit lié</x:v>
      </x:c>
      <x:c r="AS64" s="23" t="str">
        <x:v>Esprit attaché à un lieu, objet ou tombe.</x:v>
      </x:c>
      <x:c r="AT64" s="69" t="str">
        <x:v>Neutre</x:v>
      </x:c>
      <x:c r="AU64" s="69" t="str">
        <x:v>Neutre</x:v>
      </x:c>
      <x:c r="AV64" s="69" t="str">
        <x:v>Neutre</x:v>
      </x:c>
      <x:c r="AW64" s="69" t="str">
        <x:v>Neutre</x:v>
      </x:c>
      <x:c r="AX64" s="69" t="str">
        <x:v>Résistant</x:v>
      </x:c>
      <x:c r="AY64" s="69" t="str">
        <x:v>Vulnérable</x:v>
      </x:c>
      <x:c r="AZ64" s="69" t="str">
        <x:v>Résistant</x:v>
      </x:c>
      <x:c r="BA64" s="69" t="str">
        <x:v>Neutre</x:v>
      </x:c>
      <x:c r="BB64" s="23" t="str">
        <x:f t="shared" si="1"/>
        <x:v>resistanceA_ombre vulnerableA_lumiere resistanceA_force</x:v>
      </x:c>
      <x:c r="BC64" s="75" t="str">
        <x:v>Non</x:v>
      </x:c>
      <x:c r="BD64" s="75" t="str">
        <x:v>Non</x:v>
      </x:c>
      <x:c r="BE64" s="75" t="str">
        <x:v>Non</x:v>
      </x:c>
      <x:c r="BF64" s="75" t="str">
        <x:v>Non</x:v>
      </x:c>
      <x:c r="BG64" s="23" t="str">
        <x:v>Esprit attaché à un lieu, objet ou tombe. Résiste à Ombre, Force par affinité ou constitution. Vulnérable à Lumière, qui perturbe directement sa nature.</x:v>
      </x:c>
      <x:c r="BH64" s="23" t="str">
        <x:f t="shared" si="2"/>
        <x:v>resistanceA_ombre vulnerableA_lumiere resistanceA_force</x:v>
      </x:c>
    </x:row>
    <x:row r="65" ht="14.25" customHeight="1">
      <x:c r="A65" s="23" t="str">
        <x:v>Spectre</x:v>
      </x:c>
      <x:c r="B65" s="23" t="n">
        <x:v>2141</x:v>
      </x:c>
      <x:c r="C65" s="23" t="str">
        <x:v>spirit_specter</x:v>
      </x:c>
      <x:c r="D65" s="23" t="str">
        <x:v>Esprit</x:v>
      </x:c>
      <x:c r="E65" s="23" t="n">
        <x:v>-2</x:v>
      </x:c>
      <x:c r="F65" s="23" t="n">
        <x:v>2</x:v>
      </x:c>
      <x:c r="G65" s="23" t="n">
        <x:v>-2</x:v>
      </x:c>
      <x:c r="H65" s="23" t="n">
        <x:v>0</x:v>
      </x:c>
      <x:c r="I65" s="23" t="n">
        <x:v>2</x:v>
      </x:c>
      <x:c r="J65" s="23" t="n">
        <x:v>1</x:v>
      </x:c>
      <x:c r="K65" s="23" t="n">
        <x:v>2</x:v>
      </x:c>
      <x:c r="L65" s="23" t="n">
        <x:v>0.8</x:v>
      </x:c>
      <x:c r="M65" s="23" t="n">
        <x:v>2</x:v>
      </x:c>
      <x:c r="N65" s="23" t="n">
        <x:v>1.25</x:v>
      </x:c>
      <x:c r="O65" s="23" t="n">
        <x:v>2</x:v>
      </x:c>
      <x:c r="P65" s="23" t="n">
        <x:v>2</x:v>
      </x:c>
      <x:c r="Q65" s="23" t="n">
        <x:v>2</x:v>
      </x:c>
      <x:c r="R65" s="23" t="n">
        <x:v>0</x:v>
      </x:c>
      <x:c r="S65" s="23" t="n">
        <x:v>0</x:v>
      </x:c>
      <x:c r="T65" s="23" t="n">
        <x:v>0</x:v>
      </x:c>
      <x:c r="U65" s="23" t="n">
        <x:v>0</x:v>
      </x:c>
      <x:c r="V65" s="23" t="n">
        <x:v>1</x:v>
      </x:c>
      <x:c r="W65" s="23" t="n">
        <x:v>0</x:v>
      </x:c>
      <x:c r="X65" s="23" t="n">
        <x:v>0</x:v>
      </x:c>
      <x:c r="Y65" s="23" t="n">
        <x:v>1</x:v>
      </x:c>
      <x:c r="Z65" s="23"/>
      <x:c r="AA65" s="23"/>
      <x:c r="AB65" s="23"/>
      <x:c r="AC65" s="23"/>
      <x:c r="AD65" s="23"/>
      <x:c r="AE65" s="23"/>
      <x:c r="AF65" s="23"/>
      <x:c r="AG65" s="23"/>
      <x:c r="AH65" s="23" t="str">
        <x:v>Oui</x:v>
      </x:c>
      <x:c r="AI65" s="23" t="str">
        <x:v>Oui</x:v>
      </x:c>
      <x:c r="AJ65" s="23"/>
      <x:c r="AK65" s="23" t="str">
        <x:v>résidus ectoplasmiques, poussière spectrale, fragments liés ou essence éthérée</x:v>
      </x:c>
      <x:c r="AL65" s="23" t="str">
        <x:v>La créature ne laisse presque rien de matériel, mais ses résidus éthérés peuvent être capturés ou valorisés par des spécialistes. Sous-famille : Sous-famille standard des esprits intangibles offensifs.</x:v>
      </x:c>
      <x:c r="AM65" s="23" t="n">
        <x:v>19</x:v>
      </x:c>
      <x:c r="AN65" s="23" t="str">
        <x:v>Boss-like / rare</x:v>
      </x:c>
      <x:c r="AO65" s="23" t="str">
        <x:v>Rare / boss</x:v>
      </x:c>
      <x:c r="AP65" s="23" t="str">
        <x:v>Sous-famille</x:v>
      </x:c>
      <x:c r="AQ65" s="23" t="str">
        <x:v>Esprit</x:v>
      </x:c>
      <x:c r="AR65" s="23" t="str">
        <x:v>Spectre</x:v>
      </x:c>
      <x:c r="AS65" s="23" t="str">
        <x:v>Esprit plus libre, offensif et intangible.</x:v>
      </x:c>
      <x:c r="AT65" s="69" t="str">
        <x:v>Neutre</x:v>
      </x:c>
      <x:c r="AU65" s="69" t="str">
        <x:v>Neutre</x:v>
      </x:c>
      <x:c r="AV65" s="69" t="str">
        <x:v>Neutre</x:v>
      </x:c>
      <x:c r="AW65" s="69" t="str">
        <x:v>Neutre</x:v>
      </x:c>
      <x:c r="AX65" s="69" t="str">
        <x:v>Résistant</x:v>
      </x:c>
      <x:c r="AY65" s="69" t="str">
        <x:v>Vulnérable</x:v>
      </x:c>
      <x:c r="AZ65" s="69" t="str">
        <x:v>Résistant</x:v>
      </x:c>
      <x:c r="BA65" s="69" t="str">
        <x:v>Neutre</x:v>
      </x:c>
      <x:c r="BB65" s="23" t="str">
        <x:f t="shared" si="1"/>
        <x:v>resistanceA_ombre vulnerableA_lumiere resistanceA_force</x:v>
      </x:c>
      <x:c r="BC65" s="75" t="str">
        <x:v>Non</x:v>
      </x:c>
      <x:c r="BD65" s="75" t="str">
        <x:v>Non</x:v>
      </x:c>
      <x:c r="BE65" s="75" t="str">
        <x:v>Non</x:v>
      </x:c>
      <x:c r="BF65" s="75" t="str">
        <x:v>Non</x:v>
      </x:c>
      <x:c r="BG65" s="23" t="str">
        <x:v>Esprit plus libre, offensif et intangible. Résiste à Ombre, Force par affinité ou constitution. Vulnérable à Lumière, qui perturbe directement sa nature.</x:v>
      </x:c>
      <x:c r="BH65" s="23" t="str">
        <x:f t="shared" si="2"/>
        <x:v>resistanceA_ombre vulnerableA_lumiere resistanceA_force</x:v>
      </x:c>
    </x:row>
    <x:row r="66" ht="14.25" customHeight="1">
      <x:c r="A66" s="23" t="str">
        <x:v>Avatar</x:v>
      </x:c>
      <x:c r="B66" s="23" t="n">
        <x:v>2132</x:v>
      </x:c>
      <x:c r="C66" s="23" t="str">
        <x:v>celestial_avatar</x:v>
      </x:c>
      <x:c r="D66" s="23" t="str">
        <x:v>Céleste</x:v>
      </x:c>
      <x:c r="E66" s="23" t="n">
        <x:v>2</x:v>
      </x:c>
      <x:c r="F66" s="23" t="n">
        <x:v>1</x:v>
      </x:c>
      <x:c r="G66" s="23" t="n">
        <x:v>2</x:v>
      </x:c>
      <x:c r="H66" s="23" t="n">
        <x:v>2</x:v>
      </x:c>
      <x:c r="I66" s="23" t="n">
        <x:v>3</x:v>
      </x:c>
      <x:c r="J66" s="23" t="n">
        <x:v>3</x:v>
      </x:c>
      <x:c r="K66" s="23" t="n">
        <x:v>3</x:v>
      </x:c>
      <x:c r="L66" s="23" t="n">
        <x:v>1.5</x:v>
      </x:c>
      <x:c r="M66" s="23" t="n">
        <x:v>1</x:v>
      </x:c>
      <x:c r="N66" s="23" t="n">
        <x:v>2</x:v>
      </x:c>
      <x:c r="O66" s="23" t="n">
        <x:v>2</x:v>
      </x:c>
      <x:c r="P66" s="23" t="n">
        <x:v>2</x:v>
      </x:c>
      <x:c r="Q66" s="23" t="n">
        <x:v>2</x:v>
      </x:c>
      <x:c r="R66" s="23" t="n">
        <x:v>1</x:v>
      </x:c>
      <x:c r="S66" s="23" t="n">
        <x:v>1</x:v>
      </x:c>
      <x:c r="T66" s="23" t="n">
        <x:v>1</x:v>
      </x:c>
      <x:c r="U66" s="23" t="n">
        <x:v>1</x:v>
      </x:c>
      <x:c r="V66" s="23" t="n">
        <x:v>0</x:v>
      </x:c>
      <x:c r="W66" s="23" t="n">
        <x:v>0</x:v>
      </x:c>
      <x:c r="X66" s="23" t="n">
        <x:v>0</x:v>
      </x:c>
      <x:c r="Y66" s="23" t="n">
        <x:v>2</x:v>
      </x:c>
      <x:c r="Z66" s="23"/>
      <x:c r="AA66" s="23"/>
      <x:c r="AB66" s="23"/>
      <x:c r="AC66" s="23"/>
      <x:c r="AD66" s="23"/>
      <x:c r="AE66" s="23"/>
      <x:c r="AF66" s="23"/>
      <x:c r="AG66" s="23"/>
      <x:c r="AH66" s="23" t="str">
        <x:v>Oui</x:v>
      </x:c>
      <x:c r="AI66" s="23" t="str">
        <x:v>Oui</x:v>
      </x:c>
      <x:c r="AJ66" s="23"/>
      <x:c r="AK66" s="23" t="str">
        <x:v>plumes sacrées, fragments lumineux, larmes cristallisées, reliques bénies ou essence radieuse</x:v>
      </x:c>
      <x:c r="AL66" s="23" t="str">
        <x:v>La créature sacrée laisse peu de chair exploitable, mais ses fragments lumineux et reliques bénies ont une valeur spirituelle élevée. Sous-famille : Sous-famille créée pour les manifestations quasi-divines ou boss sacrés.</x:v>
      </x:c>
      <x:c r="AM66" s="23" t="n">
        <x:v>19.5</x:v>
      </x:c>
      <x:c r="AN66" s="23" t="str">
        <x:v>Boss-like / rare</x:v>
      </x:c>
      <x:c r="AO66" s="23" t="str">
        <x:v>Rare / boss</x:v>
      </x:c>
      <x:c r="AP66" s="23" t="str">
        <x:v>Sous-famille</x:v>
      </x:c>
      <x:c r="AQ66" s="23" t="str">
        <x:v>Céleste</x:v>
      </x:c>
      <x:c r="AR66" s="23" t="str">
        <x:v>Avatar</x:v>
      </x:c>
      <x:c r="AS66" s="23" t="str">
        <x:v>Manifestation divine ou quasi-divine.</x:v>
      </x:c>
      <x:c r="AT66" s="69" t="str">
        <x:v>Neutre</x:v>
      </x:c>
      <x:c r="AU66" s="69" t="str">
        <x:v>Neutre</x:v>
      </x:c>
      <x:c r="AV66" s="69" t="str">
        <x:v>Neutre</x:v>
      </x:c>
      <x:c r="AW66" s="69" t="str">
        <x:v>Neutre</x:v>
      </x:c>
      <x:c r="AX66" s="69" t="str">
        <x:v>Vulnérable</x:v>
      </x:c>
      <x:c r="AY66" s="69" t="str">
        <x:v>Résistant</x:v>
      </x:c>
      <x:c r="AZ66" s="69" t="str">
        <x:v>Résistant</x:v>
      </x:c>
      <x:c r="BA66" s="69" t="str">
        <x:v>Neutre</x:v>
      </x:c>
      <x:c r="BB66" s="23" t="str">
        <x:f t="shared" si="1"/>
        <x:v>vulnerableA_ombre resistanceA_lumiere resistanceA_force</x:v>
      </x:c>
      <x:c r="BC66" s="75" t="str">
        <x:v>Oui</x:v>
      </x:c>
      <x:c r="BD66" s="75" t="str">
        <x:v>Non</x:v>
      </x:c>
      <x:c r="BE66" s="75" t="str">
        <x:v>Non</x:v>
      </x:c>
      <x:c r="BF66" s="75" t="str">
        <x:v>Non</x:v>
      </x:c>
      <x:c r="BG66" s="23" t="str">
        <x:v>Manifestation divine ou quasi-divine. Résiste à Lumière, Force par affinité ou constitution. Vulnérable à Ombre, qui perturbe directement sa nature. Sa morphologie réduit les dégâts tranchants.</x:v>
      </x:c>
      <x:c r="BH66" s="23" t="str">
        <x:f t="shared" si="2"/>
        <x:v>vulnerableA_ombre resistanceA_lumiere resistanceA_force resistanceA_tranchant</x:v>
      </x:c>
    </x:row>
    <x:row r="67" ht="14.25" customHeight="1">
      <x:c r="A67" s="23" t="str">
        <x:v>Poltergeist</x:v>
      </x:c>
      <x:c r="B67" s="23" t="n">
        <x:v>2142</x:v>
      </x:c>
      <x:c r="C67" s="23" t="str">
        <x:v>spirit_poltergeist</x:v>
      </x:c>
      <x:c r="D67" s="23" t="str">
        <x:v>Esprit</x:v>
      </x:c>
      <x:c r="E67" s="23" t="n">
        <x:v>-2</x:v>
      </x:c>
      <x:c r="F67" s="23" t="n">
        <x:v>3</x:v>
      </x:c>
      <x:c r="G67" s="23" t="n">
        <x:v>-2</x:v>
      </x:c>
      <x:c r="H67" s="23" t="n">
        <x:v>0</x:v>
      </x:c>
      <x:c r="I67" s="23" t="n">
        <x:v>2</x:v>
      </x:c>
      <x:c r="J67" s="23" t="n">
        <x:v>2</x:v>
      </x:c>
      <x:c r="K67" s="23" t="n">
        <x:v>2</x:v>
      </x:c>
      <x:c r="L67" s="23" t="n">
        <x:v>0.85</x:v>
      </x:c>
      <x:c r="M67" s="23" t="n">
        <x:v>3</x:v>
      </x:c>
      <x:c r="N67" s="23" t="n">
        <x:v>1.3</x:v>
      </x:c>
      <x:c r="O67" s="23" t="n">
        <x:v>2</x:v>
      </x:c>
      <x:c r="P67" s="23" t="n">
        <x:v>2</x:v>
      </x:c>
      <x:c r="Q67" s="23" t="n">
        <x:v>2</x:v>
      </x:c>
      <x:c r="R67" s="23" t="n">
        <x:v>0</x:v>
      </x:c>
      <x:c r="S67" s="23" t="n">
        <x:v>0</x:v>
      </x:c>
      <x:c r="T67" s="23" t="n">
        <x:v>0</x:v>
      </x:c>
      <x:c r="U67" s="23" t="n">
        <x:v>0</x:v>
      </x:c>
      <x:c r="V67" s="23" t="n">
        <x:v>1</x:v>
      </x:c>
      <x:c r="W67" s="23" t="n">
        <x:v>0</x:v>
      </x:c>
      <x:c r="X67" s="23" t="n">
        <x:v>0</x:v>
      </x:c>
      <x:c r="Y67" s="23" t="n">
        <x:v>2</x:v>
      </x:c>
      <x:c r="Z67" s="23"/>
      <x:c r="AA67" s="23"/>
      <x:c r="AB67" s="23"/>
      <x:c r="AC67" s="23"/>
      <x:c r="AD67" s="23"/>
      <x:c r="AE67" s="23"/>
      <x:c r="AF67" s="23"/>
      <x:c r="AG67" s="23"/>
      <x:c r="AH67" s="23" t="str">
        <x:v>Oui</x:v>
      </x:c>
      <x:c r="AI67" s="23" t="str">
        <x:v>Oui</x:v>
      </x:c>
      <x:c r="AJ67" s="23"/>
      <x:c r="AK67" s="23" t="str">
        <x:v>résidus ectoplasmiques, poussière spectrale, fragments liés ou essence éthérée</x:v>
      </x:c>
      <x:c r="AL67" s="23" t="str">
        <x:v>La créature ne laisse presque rien de matériel, mais ses résidus éthérés peuvent être capturés ou valorisés par des spécialistes. Sous-famille : Sous-famille créée pour manipulation d’objets et contrôle de l’environnement.</x:v>
      </x:c>
      <x:c r="AM67" s="23" t="n">
        <x:v>20.5</x:v>
      </x:c>
      <x:c r="AN67" s="23" t="str">
        <x:v>Boss-like / rare</x:v>
      </x:c>
      <x:c r="AO67" s="23" t="str">
        <x:v>Rare / boss</x:v>
      </x:c>
      <x:c r="AP67" s="23" t="str">
        <x:v>Sous-famille</x:v>
      </x:c>
      <x:c r="AQ67" s="23" t="str">
        <x:v>Esprit</x:v>
      </x:c>
      <x:c r="AR67" s="23" t="str">
        <x:v>Poltergeist</x:v>
      </x:c>
      <x:c r="AS67" s="23" t="str">
        <x:v>Esprit qui manipule l’environnement et projette des objets.</x:v>
      </x:c>
      <x:c r="AT67" s="69" t="str">
        <x:v>Neutre</x:v>
      </x:c>
      <x:c r="AU67" s="69" t="str">
        <x:v>Neutre</x:v>
      </x:c>
      <x:c r="AV67" s="69" t="str">
        <x:v>Neutre</x:v>
      </x:c>
      <x:c r="AW67" s="69" t="str">
        <x:v>Neutre</x:v>
      </x:c>
      <x:c r="AX67" s="69" t="str">
        <x:v>Résistant</x:v>
      </x:c>
      <x:c r="AY67" s="69" t="str">
        <x:v>Vulnérable</x:v>
      </x:c>
      <x:c r="AZ67" s="69" t="str">
        <x:v>Résistant</x:v>
      </x:c>
      <x:c r="BA67" s="69" t="str">
        <x:v>Neutre</x:v>
      </x:c>
      <x:c r="BB67" s="23" t="str">
        <x:f t="shared" si="1"/>
        <x:v>resistanceA_ombre vulnerableA_lumiere resistanceA_force</x:v>
      </x:c>
      <x:c r="BC67" s="75" t="str">
        <x:v>Non</x:v>
      </x:c>
      <x:c r="BD67" s="75" t="str">
        <x:v>Non</x:v>
      </x:c>
      <x:c r="BE67" s="75" t="str">
        <x:v>Non</x:v>
      </x:c>
      <x:c r="BF67" s="75" t="str">
        <x:v>Non</x:v>
      </x:c>
      <x:c r="BG67" s="23" t="str">
        <x:v>Esprit qui manipule l’environnement et projette des objets. Résiste à Ombre, Force par affinité ou constitution. Vulnérable à Lumière, qui perturbe directement sa nature.</x:v>
      </x:c>
      <x:c r="BH67" s="23" t="str">
        <x:f t="shared" si="2"/>
        <x:v>resistanceA_ombre vulnerableA_lumiere resistanceA_force</x:v>
      </x:c>
    </x:row>
    <x:row r="68" ht="14.25" customHeight="1">
      <x:c r="A68" s="23" t="str">
        <x:v>Golem</x:v>
      </x:c>
      <x:c r="B68" s="23" t="n">
        <x:v>2122</x:v>
      </x:c>
      <x:c r="C68" s="23" t="str">
        <x:v>construct_golem</x:v>
      </x:c>
      <x:c r="D68" s="23" t="str">
        <x:v>Artificiel</x:v>
      </x:c>
      <x:c r="E68" s="23" t="n">
        <x:v>3</x:v>
      </x:c>
      <x:c r="F68" s="23" t="n">
        <x:v>-2</x:v>
      </x:c>
      <x:c r="G68" s="23" t="n">
        <x:v>4</x:v>
      </x:c>
      <x:c r="H68" s="23" t="n">
        <x:v>-3</x:v>
      </x:c>
      <x:c r="I68" s="23" t="n">
        <x:v>-1</x:v>
      </x:c>
      <x:c r="J68" s="23" t="n">
        <x:v>-2</x:v>
      </x:c>
      <x:c r="K68" s="23" t="n">
        <x:v>2</x:v>
      </x:c>
      <x:c r="L68" s="23" t="n">
        <x:v>1.8</x:v>
      </x:c>
      <x:c r="M68" s="23" t="n">
        <x:v>-2</x:v>
      </x:c>
      <x:c r="N68" s="23" t="n">
        <x:v>1.75</x:v>
      </x:c>
      <x:c r="O68" s="23" t="n">
        <x:v>3</x:v>
      </x:c>
      <x:c r="P68" s="23" t="n">
        <x:v>3</x:v>
      </x:c>
      <x:c r="Q68" s="23" t="n">
        <x:v>3</x:v>
      </x:c>
      <x:c r="R68" s="23" t="n">
        <x:v>0</x:v>
      </x:c>
      <x:c r="S68" s="23" t="n">
        <x:v>0</x:v>
      </x:c>
      <x:c r="T68" s="23" t="n">
        <x:v>0</x:v>
      </x:c>
      <x:c r="U68" s="23" t="n">
        <x:v>0</x:v>
      </x:c>
      <x:c r="V68" s="23" t="n">
        <x:v>0</x:v>
      </x:c>
      <x:c r="W68" s="23" t="n">
        <x:v>0</x:v>
      </x:c>
      <x:c r="X68" s="23" t="n">
        <x:v>0</x:v>
      </x:c>
      <x:c r="Y68" s="23" t="n">
        <x:v>1</x:v>
      </x:c>
      <x:c r="Z68" s="23"/>
      <x:c r="AA68" s="23"/>
      <x:c r="AB68" s="23"/>
      <x:c r="AC68" s="23"/>
      <x:c r="AD68" s="23"/>
      <x:c r="AE68" s="23"/>
      <x:c r="AF68" s="23"/>
      <x:c r="AG68" s="23"/>
      <x:c r="AH68" s="23" t="str">
        <x:v>Oui</x:v>
      </x:c>
      <x:c r="AI68" s="23" t="str">
        <x:v>Oui</x:v>
      </x:c>
      <x:c r="AJ68" s="23"/>
      <x:c r="AK68" s="23" t="str">
        <x:v>rouages, plaques métalliques, cristaux, noyau brisé ou composants mécaniques</x:v>
      </x:c>
      <x:c r="AL68" s="23" t="str">
        <x:v>Le corps mécanique ou animé peut être démonté : rouages, plaques, cristaux, noyaux brisés ou fragments enchantés gardent une valeur élevée. Sous-famille : Sous-famille créée pour les créations extrêmement résistantes.</x:v>
      </x:c>
      <x:c r="AM68" s="23" t="n">
        <x:v>21.75</x:v>
      </x:c>
      <x:c r="AN68" s="23" t="str">
        <x:v>Boss-like / rare</x:v>
      </x:c>
      <x:c r="AO68" s="23" t="str">
        <x:v>Rare / boss</x:v>
      </x:c>
      <x:c r="AP68" s="23" t="str">
        <x:v>Sous-famille</x:v>
      </x:c>
      <x:c r="AQ68" s="23" t="str">
        <x:v>Artificiel</x:v>
      </x:c>
      <x:c r="AR68" s="23" t="str">
        <x:v>Golem</x:v>
      </x:c>
      <x:c r="AS68" s="23" t="str">
        <x:v>Construct très robuste, lourd et défensif.</x:v>
      </x:c>
      <x:c r="AT68" s="69" t="str">
        <x:v>Neutre</x:v>
      </x:c>
      <x:c r="AU68" s="69" t="str">
        <x:v>Neutre</x:v>
      </x:c>
      <x:c r="AV68" s="69" t="str">
        <x:v>Neutre</x:v>
      </x:c>
      <x:c r="AW68" s="69" t="str">
        <x:v>Résistant</x:v>
      </x:c>
      <x:c r="AX68" s="69" t="str">
        <x:v>Résistant</x:v>
      </x:c>
      <x:c r="AY68" s="69" t="str">
        <x:v>Neutre</x:v>
      </x:c>
      <x:c r="AZ68" s="69" t="str">
        <x:v>Neutre</x:v>
      </x:c>
      <x:c r="BA68" s="69" t="str">
        <x:v>Résistant</x:v>
      </x:c>
      <x:c r="BB68" s="23" t="str">
        <x:f t="shared" si="1"/>
        <x:v>resistanceA_terre resistanceA_ombre</x:v>
      </x:c>
      <x:c r="BC68" s="75" t="str">
        <x:v>Oui</x:v>
      </x:c>
      <x:c r="BD68" s="75" t="str">
        <x:v>Oui</x:v>
      </x:c>
      <x:c r="BE68" s="75" t="str">
        <x:v>Non</x:v>
      </x:c>
      <x:c r="BF68" s="75" t="str">
        <x:v>Non</x:v>
      </x:c>
      <x:c r="BG68" s="23" t="str">
        <x:v>Construct très robuste, lourd et défensif. Résiste à Terre, Ombre par affinité ou constitution. Sa morphologie réduit les dégâts tranchants, perçants.</x:v>
      </x:c>
      <x:c r="BH68" s="23" t="str">
        <x:f t="shared" si="2"/>
        <x:v>resistanceA_terre resistanceA_ombre resistanceA_tranchant resistanceA_percant</x:v>
      </x:c>
    </x:row>
    <x:row r="69" ht="14.25" customHeight="1">
      <x:c r="A69" s="23" t="str">
        <x:v>Dragon élémentaire</x:v>
      </x:c>
      <x:c r="B69" s="23" t="n">
        <x:v>2151</x:v>
      </x:c>
      <x:c r="C69" s="23" t="str">
        <x:v>dragon_elemental</x:v>
      </x:c>
      <x:c r="D69" s="23" t="str">
        <x:v>Dragon</x:v>
      </x:c>
      <x:c r="E69" s="23" t="n">
        <x:v>2</x:v>
      </x:c>
      <x:c r="F69" s="23" t="n">
        <x:v>-1</x:v>
      </x:c>
      <x:c r="G69" s="23" t="n">
        <x:v>2</x:v>
      </x:c>
      <x:c r="H69" s="23" t="n">
        <x:v>0</x:v>
      </x:c>
      <x:c r="I69" s="23" t="n">
        <x:v>1</x:v>
      </x:c>
      <x:c r="J69" s="23" t="n">
        <x:v>1</x:v>
      </x:c>
      <x:c r="K69" s="23" t="n">
        <x:v>1</x:v>
      </x:c>
      <x:c r="L69" s="23" t="n">
        <x:v>1.5</x:v>
      </x:c>
      <x:c r="M69" s="23" t="n">
        <x:v>-1</x:v>
      </x:c>
      <x:c r="N69" s="23" t="n">
        <x:v>2</x:v>
      </x:c>
      <x:c r="O69" s="23" t="n">
        <x:v>2</x:v>
      </x:c>
      <x:c r="P69" s="23" t="n">
        <x:v>1</x:v>
      </x:c>
      <x:c r="Q69" s="23" t="n">
        <x:v>2</x:v>
      </x:c>
      <x:c r="R69" s="23" t="n">
        <x:v>1</x:v>
      </x:c>
      <x:c r="S69" s="23" t="n">
        <x:v>1</x:v>
      </x:c>
      <x:c r="T69" s="23" t="n">
        <x:v>1</x:v>
      </x:c>
      <x:c r="U69" s="23" t="n">
        <x:v>1</x:v>
      </x:c>
      <x:c r="V69" s="23" t="n">
        <x:v>0</x:v>
      </x:c>
      <x:c r="W69" s="23" t="n">
        <x:v>0</x:v>
      </x:c>
      <x:c r="X69" s="23" t="n">
        <x:v>0</x:v>
      </x:c>
      <x:c r="Y69" s="23" t="n">
        <x:v>1</x:v>
      </x:c>
      <x:c r="Z69" s="23"/>
      <x:c r="AA69" s="23"/>
      <x:c r="AB69" s="23"/>
      <x:c r="AC69" s="23"/>
      <x:c r="AD69" s="23"/>
      <x:c r="AE69" s="23"/>
      <x:c r="AF69" s="23"/>
      <x:c r="AG69" s="23"/>
      <x:c r="AH69" s="23"/>
      <x:c r="AI69" s="23"/>
      <x:c r="AJ69" s="23"/>
      <x:c r="AK69" s="23" t="str">
        <x:v>écailles, sang draconique, crocs, griffes, os ou fragments de corne</x:v>
      </x:c>
      <x:c r="AL69" s="23" t="str">
        <x:v>Même abîmé, le corps draconique fournit des matériaux recherchés : écailles, sang, crocs, griffes, os ou fragments de corne. Sous-famille : Sous-famille qui fusionne chromatique et élémentaire ; l’élément décide souffle, résistance et ressources.</x:v>
      </x:c>
      <x:c r="AM69" s="23" t="n">
        <x:v>23.25</x:v>
      </x:c>
      <x:c r="AN69" s="23" t="str">
        <x:v>Boss-like / rare</x:v>
      </x:c>
      <x:c r="AO69" s="23" t="str">
        <x:v>Rare / boss</x:v>
      </x:c>
      <x:c r="AP69" s="23" t="str">
        <x:v>Sous-famille</x:v>
      </x:c>
      <x:c r="AQ69" s="23" t="str">
        <x:v>Dragon</x:v>
      </x:c>
      <x:c r="AR69" s="23" t="str">
        <x:v>Dragon élémentaire</x:v>
      </x:c>
      <x:c r="AS69" s="23" t="str">
        <x:v>Dragon de souffle ou d’élément : chromatique/élémentaire fusionnés.</x:v>
      </x:c>
      <x:c r="AT69" s="69" t="str">
        <x:v>Neutre</x:v>
      </x:c>
      <x:c r="AU69" s="69" t="str">
        <x:v>Neutre</x:v>
      </x:c>
      <x:c r="AV69" s="69" t="str">
        <x:v>Neutre</x:v>
      </x:c>
      <x:c r="AW69" s="69" t="str">
        <x:v>Neutre</x:v>
      </x:c>
      <x:c r="AX69" s="69" t="str">
        <x:v>Neutre</x:v>
      </x:c>
      <x:c r="AY69" s="69" t="str">
        <x:v>Neutre</x:v>
      </x:c>
      <x:c r="AZ69" s="69" t="str">
        <x:v>Résistant</x:v>
      </x:c>
      <x:c r="BA69" s="69" t="str">
        <x:v>Neutre</x:v>
      </x:c>
      <x:c r="BB69" s="23" t="str">
        <x:f t="shared" si="1"/>
        <x:v>resistanceA_force</x:v>
      </x:c>
      <x:c r="BC69" s="75" t="str">
        <x:v>Oui</x:v>
      </x:c>
      <x:c r="BD69" s="75" t="str">
        <x:v>Non</x:v>
      </x:c>
      <x:c r="BE69" s="75" t="str">
        <x:v>Non</x:v>
      </x:c>
      <x:c r="BF69" s="75" t="str">
        <x:v>Non</x:v>
      </x:c>
      <x:c r="BG69" s="23" t="str">
        <x:v>Dragon de souffle ou d’élément : chromatique/élémentaire fusionnés. Résiste à Force par affinité ou constitution. Sa morphologie réduit les dégâts tranchants.</x:v>
      </x:c>
      <x:c r="BH69" s="23" t="str">
        <x:f t="shared" si="2"/>
        <x:v>resistanceA_force resistanceA_tranchant</x:v>
      </x:c>
    </x:row>
    <x:row r="70" ht="14.25" customHeight="1">
      <x:c r="A70" s="23" t="str">
        <x:v>Dragon de métal</x:v>
      </x:c>
      <x:c r="B70" s="23" t="n">
        <x:v>2152</x:v>
      </x:c>
      <x:c r="C70" s="23" t="str">
        <x:v>dragon_metallic</x:v>
      </x:c>
      <x:c r="D70" s="23" t="str">
        <x:v>Dragon</x:v>
      </x:c>
      <x:c r="E70" s="23" t="n">
        <x:v>2</x:v>
      </x:c>
      <x:c r="F70" s="23" t="n">
        <x:v>-1</x:v>
      </x:c>
      <x:c r="G70" s="23" t="n">
        <x:v>3</x:v>
      </x:c>
      <x:c r="H70" s="23" t="n">
        <x:v>1</x:v>
      </x:c>
      <x:c r="I70" s="23" t="n">
        <x:v>1</x:v>
      </x:c>
      <x:c r="J70" s="23" t="n">
        <x:v>2</x:v>
      </x:c>
      <x:c r="K70" s="23" t="n">
        <x:v>2</x:v>
      </x:c>
      <x:c r="L70" s="23" t="n">
        <x:v>1.6</x:v>
      </x:c>
      <x:c r="M70" s="23" t="n">
        <x:v>-1</x:v>
      </x:c>
      <x:c r="N70" s="23" t="n">
        <x:v>2.25</x:v>
      </x:c>
      <x:c r="O70" s="23" t="n">
        <x:v>2</x:v>
      </x:c>
      <x:c r="P70" s="23" t="n">
        <x:v>2</x:v>
      </x:c>
      <x:c r="Q70" s="23" t="n">
        <x:v>2</x:v>
      </x:c>
      <x:c r="R70" s="23" t="n">
        <x:v>0</x:v>
      </x:c>
      <x:c r="S70" s="23" t="n">
        <x:v>0</x:v>
      </x:c>
      <x:c r="T70" s="23" t="n">
        <x:v>0</x:v>
      </x:c>
      <x:c r="U70" s="23" t="n">
        <x:v>0</x:v>
      </x:c>
      <x:c r="V70" s="23" t="n">
        <x:v>0</x:v>
      </x:c>
      <x:c r="W70" s="23" t="n">
        <x:v>0</x:v>
      </x:c>
      <x:c r="X70" s="23" t="n">
        <x:v>0</x:v>
      </x:c>
      <x:c r="Y70" s="23" t="n">
        <x:v>1</x:v>
      </x:c>
      <x:c r="Z70" s="23"/>
      <x:c r="AA70" s="23"/>
      <x:c r="AB70" s="23"/>
      <x:c r="AC70" s="23"/>
      <x:c r="AD70" s="23"/>
      <x:c r="AE70" s="23"/>
      <x:c r="AF70" s="23"/>
      <x:c r="AG70" s="23"/>
      <x:c r="AH70" s="23"/>
      <x:c r="AI70" s="23"/>
      <x:c r="AJ70" s="23"/>
      <x:c r="AK70" s="23" t="str">
        <x:v>écailles, sang draconique, crocs, griffes, os ou fragments de corne</x:v>
      </x:c>
      <x:c r="AL70" s="23" t="str">
        <x:v>Même abîmé, le corps draconique fournit des matériaux recherchés : écailles, sang, crocs, griffes, os ou fragments de corne. Sous-famille : Sous-famille créée pour les dragons nobles, défensifs et matériellement précieux.</x:v>
      </x:c>
      <x:c r="AM70" s="23" t="n">
        <x:v>26.75</x:v>
      </x:c>
      <x:c r="AN70" s="23" t="str">
        <x:v>Boss-like / rare</x:v>
      </x:c>
      <x:c r="AO70" s="23" t="str">
        <x:v>Rare / boss</x:v>
      </x:c>
      <x:c r="AP70" s="23" t="str">
        <x:v>Sous-famille</x:v>
      </x:c>
      <x:c r="AQ70" s="23" t="str">
        <x:v>Dragon</x:v>
      </x:c>
      <x:c r="AR70" s="23" t="str">
        <x:v>Dragon de métal</x:v>
      </x:c>
      <x:c r="AS70" s="23" t="str">
        <x:v>Dragon plus noble, défensif, intelligent et matériellement précieux.</x:v>
      </x:c>
      <x:c r="AT70" s="69" t="str">
        <x:v>Neutre</x:v>
      </x:c>
      <x:c r="AU70" s="69" t="str">
        <x:v>Neutre</x:v>
      </x:c>
      <x:c r="AV70" s="69" t="str">
        <x:v>Neutre</x:v>
      </x:c>
      <x:c r="AW70" s="69" t="str">
        <x:v>Résistant</x:v>
      </x:c>
      <x:c r="AX70" s="69" t="str">
        <x:v>Neutre</x:v>
      </x:c>
      <x:c r="AY70" s="69" t="str">
        <x:v>Neutre</x:v>
      </x:c>
      <x:c r="AZ70" s="69" t="str">
        <x:v>Résistant</x:v>
      </x:c>
      <x:c r="BA70" s="69" t="str">
        <x:v>Neutre</x:v>
      </x:c>
      <x:c r="BB70" s="23" t="str">
        <x:f t="shared" si="1"/>
        <x:v>resistanceA_terre resistanceA_force</x:v>
      </x:c>
      <x:c r="BC70" s="75" t="str">
        <x:v>Oui</x:v>
      </x:c>
      <x:c r="BD70" s="75" t="str">
        <x:v>Oui</x:v>
      </x:c>
      <x:c r="BE70" s="75" t="str">
        <x:v>Non</x:v>
      </x:c>
      <x:c r="BF70" s="75" t="str">
        <x:v>Non</x:v>
      </x:c>
      <x:c r="BG70" s="23" t="str">
        <x:v>Dragon plus noble, défensif, intelligent et matériellement précieux. Résiste à Terre, Force par affinité ou constitution. Sa morphologie réduit les dégâts tranchants, perçants.</x:v>
      </x:c>
      <x:c r="BH70" s="23" t="str">
        <x:f t="shared" si="2"/>
        <x:v>resistanceA_terre resistanceA_force resistanceA_tranchant resistanceA_percant</x:v>
      </x:c>
    </x:row>
    <x:row r="71" ht="14.25" customHeight="1">
      <x:c r="A71" s="23" t="str">
        <x:v>Dragon de gemme</x:v>
      </x:c>
      <x:c r="B71" s="23" t="n">
        <x:v>2153</x:v>
      </x:c>
      <x:c r="C71" s="23" t="str">
        <x:v>dragon_gem</x:v>
      </x:c>
      <x:c r="D71" s="23" t="str">
        <x:v>Dragon</x:v>
      </x:c>
      <x:c r="E71" s="23" t="n">
        <x:v>1</x:v>
      </x:c>
      <x:c r="F71" s="23" t="n">
        <x:v>0</x:v>
      </x:c>
      <x:c r="G71" s="23" t="n">
        <x:v>2</x:v>
      </x:c>
      <x:c r="H71" s="23" t="n">
        <x:v>2</x:v>
      </x:c>
      <x:c r="I71" s="23" t="n">
        <x:v>2</x:v>
      </x:c>
      <x:c r="J71" s="23" t="n">
        <x:v>2</x:v>
      </x:c>
      <x:c r="K71" s="23" t="n">
        <x:v>1</x:v>
      </x:c>
      <x:c r="L71" s="23" t="n">
        <x:v>1.45</x:v>
      </x:c>
      <x:c r="M71" s="23" t="n">
        <x:v>0</x:v>
      </x:c>
      <x:c r="N71" s="23" t="n">
        <x:v>2.5</x:v>
      </x:c>
      <x:c r="O71" s="23" t="n">
        <x:v>2</x:v>
      </x:c>
      <x:c r="P71" s="23" t="n">
        <x:v>0</x:v>
      </x:c>
      <x:c r="Q71" s="23" t="n">
        <x:v>2</x:v>
      </x:c>
      <x:c r="R71" s="23" t="n">
        <x:v>0</x:v>
      </x:c>
      <x:c r="S71" s="23" t="n">
        <x:v>0</x:v>
      </x:c>
      <x:c r="T71" s="23" t="n">
        <x:v>0</x:v>
      </x:c>
      <x:c r="U71" s="23" t="n">
        <x:v>0</x:v>
      </x:c>
      <x:c r="V71" s="23" t="n">
        <x:v>0</x:v>
      </x:c>
      <x:c r="W71" s="23" t="n">
        <x:v>0</x:v>
      </x:c>
      <x:c r="X71" s="23" t="n">
        <x:v>0</x:v>
      </x:c>
      <x:c r="Y71" s="23" t="n">
        <x:v>2</x:v>
      </x:c>
      <x:c r="Z71" s="23"/>
      <x:c r="AA71" s="23"/>
      <x:c r="AB71" s="23"/>
      <x:c r="AC71" s="23"/>
      <x:c r="AD71" s="23"/>
      <x:c r="AE71" s="23"/>
      <x:c r="AF71" s="23"/>
      <x:c r="AG71" s="23"/>
      <x:c r="AH71" s="23"/>
      <x:c r="AI71" s="23"/>
      <x:c r="AJ71" s="23"/>
      <x:c r="AK71" s="23" t="str">
        <x:v>écailles, sang draconique, crocs, griffes, os ou fragments de corne</x:v>
      </x:c>
      <x:c r="AL71" s="23" t="str">
        <x:v>Même abîmé, le corps draconique fournit des matériaux recherchés : écailles, sang, crocs, griffes, os ou fragments de corne. Sous-famille : Sous-famille créée pour les dragons mentaux, mystiques, cristallins ou psioniques.</x:v>
      </x:c>
      <x:c r="AM71" s="23" t="n">
        <x:v>28</x:v>
      </x:c>
      <x:c r="AN71" s="23" t="str">
        <x:v>Boss-like / rare</x:v>
      </x:c>
      <x:c r="AO71" s="23" t="str">
        <x:v>Rare / boss</x:v>
      </x:c>
      <x:c r="AP71" s="23" t="str">
        <x:v>Sous-famille</x:v>
      </x:c>
      <x:c r="AQ71" s="23" t="str">
        <x:v>Dragon</x:v>
      </x:c>
      <x:c r="AR71" s="23" t="str">
        <x:v>Dragon de gemme</x:v>
      </x:c>
      <x:c r="AS71" s="23" t="str">
        <x:v>Dragon mental, mystique, cristallin ou psionique.</x:v>
      </x:c>
      <x:c r="AT71" s="69" t="str">
        <x:v>Neutre</x:v>
      </x:c>
      <x:c r="AU71" s="69" t="str">
        <x:v>Neutre</x:v>
      </x:c>
      <x:c r="AV71" s="69" t="str">
        <x:v>Neutre</x:v>
      </x:c>
      <x:c r="AW71" s="69" t="str">
        <x:v>Résistant</x:v>
      </x:c>
      <x:c r="AX71" s="69" t="str">
        <x:v>Neutre</x:v>
      </x:c>
      <x:c r="AY71" s="69" t="str">
        <x:v>Neutre</x:v>
      </x:c>
      <x:c r="AZ71" s="69" t="str">
        <x:v>Résistant</x:v>
      </x:c>
      <x:c r="BA71" s="69" t="str">
        <x:v>Neutre</x:v>
      </x:c>
      <x:c r="BB71" s="23" t="str">
        <x:f t="shared" si="1"/>
        <x:v>resistanceA_terre resistanceA_force</x:v>
      </x:c>
      <x:c r="BC71" s="75" t="str">
        <x:v>Oui</x:v>
      </x:c>
      <x:c r="BD71" s="75" t="str">
        <x:v>Non</x:v>
      </x:c>
      <x:c r="BE71" s="75" t="str">
        <x:v>Non</x:v>
      </x:c>
      <x:c r="BF71" s="75" t="str">
        <x:v>Non</x:v>
      </x:c>
      <x:c r="BG71" s="23" t="str">
        <x:v>Dragon mental, mystique, cristallin ou psionique. Résiste à Terre, Force par affinité ou constitution. Sa morphologie réduit les dégâts tranchants.</x:v>
      </x:c>
      <x:c r="BH71" s="23" t="str">
        <x:f t="shared" si="2"/>
        <x:v>resistanceA_terre resistanceA_force resistanceA_tranchant</x:v>
      </x:c>
    </x:row>
    <x:row r="72" ht="14.25" customHeight="1">
      <x:c r="A72" s="23" t="str">
        <x:v>Dragon nécrotique</x:v>
      </x:c>
      <x:c r="B72" s="23" t="n">
        <x:v>2154</x:v>
      </x:c>
      <x:c r="C72" s="23" t="str">
        <x:v>dragon_necrotic</x:v>
      </x:c>
      <x:c r="D72" s="23" t="str">
        <x:v>Dragon</x:v>
      </x:c>
      <x:c r="E72" s="23" t="n">
        <x:v>2</x:v>
      </x:c>
      <x:c r="F72" s="23" t="n">
        <x:v>-1</x:v>
      </x:c>
      <x:c r="G72" s="23" t="n">
        <x:v>2</x:v>
      </x:c>
      <x:c r="H72" s="23" t="n">
        <x:v>1</x:v>
      </x:c>
      <x:c r="I72" s="23" t="n">
        <x:v>1</x:v>
      </x:c>
      <x:c r="J72" s="23" t="n">
        <x:v>2</x:v>
      </x:c>
      <x:c r="K72" s="23" t="n">
        <x:v>2</x:v>
      </x:c>
      <x:c r="L72" s="23" t="n">
        <x:v>1.55</x:v>
      </x:c>
      <x:c r="M72" s="23" t="n">
        <x:v>-1</x:v>
      </x:c>
      <x:c r="N72" s="23" t="n">
        <x:v>2.25</x:v>
      </x:c>
      <x:c r="O72" s="23" t="n">
        <x:v>2</x:v>
      </x:c>
      <x:c r="P72" s="23" t="n">
        <x:v>1</x:v>
      </x:c>
      <x:c r="Q72" s="23" t="n">
        <x:v>2</x:v>
      </x:c>
      <x:c r="R72" s="23" t="n">
        <x:v>0</x:v>
      </x:c>
      <x:c r="S72" s="23" t="n">
        <x:v>0</x:v>
      </x:c>
      <x:c r="T72" s="23" t="n">
        <x:v>0</x:v>
      </x:c>
      <x:c r="U72" s="23" t="n">
        <x:v>0</x:v>
      </x:c>
      <x:c r="V72" s="23" t="n">
        <x:v>0</x:v>
      </x:c>
      <x:c r="W72" s="23" t="n">
        <x:v>0</x:v>
      </x:c>
      <x:c r="X72" s="23" t="n">
        <x:v>0</x:v>
      </x:c>
      <x:c r="Y72" s="23" t="n">
        <x:v>1</x:v>
      </x:c>
      <x:c r="Z72" s="23"/>
      <x:c r="AA72" s="23"/>
      <x:c r="AB72" s="23"/>
      <x:c r="AC72" s="23"/>
      <x:c r="AD72" s="23"/>
      <x:c r="AE72" s="23"/>
      <x:c r="AF72" s="23"/>
      <x:c r="AG72" s="23"/>
      <x:c r="AH72" s="23" t="str">
        <x:v>Oui</x:v>
      </x:c>
      <x:c r="AI72" s="23" t="str">
        <x:v>Oui</x:v>
      </x:c>
      <x:c r="AJ72" s="23"/>
      <x:c r="AK72" s="23" t="str">
        <x:v>écailles, sang draconique, crocs, griffes, os ou fragments de corne</x:v>
      </x:c>
      <x:c r="AL72" s="23" t="str">
        <x:v>Même abîmé, le corps draconique fournit des matériaux recherchés : écailles, sang, crocs, griffes, os ou fragments de corne. Sous-famille : Sous-famille créée car Dragon + Mort-vivant change beaucoup les résistances et immunités.</x:v>
      </x:c>
      <x:c r="AM72" s="23" t="n">
        <x:v>29</x:v>
      </x:c>
      <x:c r="AN72" s="23" t="str">
        <x:v>Boss-like / rare</x:v>
      </x:c>
      <x:c r="AO72" s="23" t="str">
        <x:v>Rare / boss</x:v>
      </x:c>
      <x:c r="AP72" s="23" t="str">
        <x:v>Sous-famille</x:v>
      </x:c>
      <x:c r="AQ72" s="23" t="str">
        <x:v>Dragon</x:v>
      </x:c>
      <x:c r="AR72" s="23" t="str">
        <x:v>Dragon nécrotique</x:v>
      </x:c>
      <x:c r="AS72" s="23" t="str">
        <x:v>Dragon combiné à la logique mort-vivante.</x:v>
      </x:c>
      <x:c r="AT72" s="69" t="str">
        <x:v>Neutre</x:v>
      </x:c>
      <x:c r="AU72" s="69" t="str">
        <x:v>Neutre</x:v>
      </x:c>
      <x:c r="AV72" s="69" t="str">
        <x:v>Neutre</x:v>
      </x:c>
      <x:c r="AW72" s="69" t="str">
        <x:v>Neutre</x:v>
      </x:c>
      <x:c r="AX72" s="69" t="str">
        <x:v>Résistant</x:v>
      </x:c>
      <x:c r="AY72" s="69" t="str">
        <x:v>Vulnérable</x:v>
      </x:c>
      <x:c r="AZ72" s="69" t="str">
        <x:v>Résistant</x:v>
      </x:c>
      <x:c r="BA72" s="69" t="str">
        <x:v>Neutre</x:v>
      </x:c>
      <x:c r="BB72" s="23" t="str">
        <x:f t="shared" si="1"/>
        <x:v>resistanceA_ombre vulnerableA_lumiere resistanceA_force</x:v>
      </x:c>
      <x:c r="BC72" s="75" t="str">
        <x:v>Non</x:v>
      </x:c>
      <x:c r="BD72" s="75" t="str">
        <x:v>Oui</x:v>
      </x:c>
      <x:c r="BE72" s="75" t="str">
        <x:v>Non</x:v>
      </x:c>
      <x:c r="BF72" s="75" t="str">
        <x:v>Non</x:v>
      </x:c>
      <x:c r="BG72" s="23" t="str">
        <x:v>Dragon combiné à la logique mort-vivante. Résiste à Ombre, Force par affinité ou constitution. Vulnérable à Lumière, qui perturbe directement sa nature. Sa morphologie réduit les dégâts perçants.</x:v>
      </x:c>
      <x:c r="BH72" s="23" t="str">
        <x:f t="shared" si="2"/>
        <x:v>resistanceA_ombre vulnerableA_lumiere resistanceA_force resistanceA_percant</x:v>
      </x:c>
    </x:row>
    <x:row r="73" ht="14.25" customHeight="1">
      <x:c r="A73" s="23" t="str">
        <x:v>Dragon primordial</x:v>
      </x:c>
      <x:c r="B73" s="23" t="n">
        <x:v>2155</x:v>
      </x:c>
      <x:c r="C73" s="23" t="str">
        <x:v>dragon_primordial</x:v>
      </x:c>
      <x:c r="D73" s="23" t="str">
        <x:v>Dragon</x:v>
      </x:c>
      <x:c r="E73" s="23" t="n">
        <x:v>3</x:v>
      </x:c>
      <x:c r="F73" s="23" t="n">
        <x:v>-1</x:v>
      </x:c>
      <x:c r="G73" s="23" t="n">
        <x:v>3</x:v>
      </x:c>
      <x:c r="H73" s="23" t="n">
        <x:v>2</x:v>
      </x:c>
      <x:c r="I73" s="23" t="n">
        <x:v>2</x:v>
      </x:c>
      <x:c r="J73" s="23" t="n">
        <x:v>3</x:v>
      </x:c>
      <x:c r="K73" s="23" t="n">
        <x:v>3</x:v>
      </x:c>
      <x:c r="L73" s="23" t="n">
        <x:v>1.8</x:v>
      </x:c>
      <x:c r="M73" s="23" t="n">
        <x:v>-1</x:v>
      </x:c>
      <x:c r="N73" s="23" t="n">
        <x:v>3</x:v>
      </x:c>
      <x:c r="O73" s="23" t="n">
        <x:v>2</x:v>
      </x:c>
      <x:c r="P73" s="23" t="n">
        <x:v>2</x:v>
      </x:c>
      <x:c r="Q73" s="23" t="n">
        <x:v>2</x:v>
      </x:c>
      <x:c r="R73" s="23" t="n">
        <x:v>1</x:v>
      </x:c>
      <x:c r="S73" s="23" t="n">
        <x:v>1</x:v>
      </x:c>
      <x:c r="T73" s="23" t="n">
        <x:v>1</x:v>
      </x:c>
      <x:c r="U73" s="23" t="n">
        <x:v>1</x:v>
      </x:c>
      <x:c r="V73" s="23" t="n">
        <x:v>0</x:v>
      </x:c>
      <x:c r="W73" s="23" t="n">
        <x:v>0</x:v>
      </x:c>
      <x:c r="X73" s="23" t="n">
        <x:v>0</x:v>
      </x:c>
      <x:c r="Y73" s="23" t="n">
        <x:v>2</x:v>
      </x:c>
      <x:c r="Z73" s="23"/>
      <x:c r="AA73" s="23"/>
      <x:c r="AB73" s="23"/>
      <x:c r="AC73" s="23"/>
      <x:c r="AD73" s="23"/>
      <x:c r="AE73" s="23"/>
      <x:c r="AF73" s="23"/>
      <x:c r="AG73" s="23"/>
      <x:c r="AH73" s="23" t="str">
        <x:v>Oui</x:v>
      </x:c>
      <x:c r="AI73" s="23" t="str">
        <x:v>Oui</x:v>
      </x:c>
      <x:c r="AJ73" s="23"/>
      <x:c r="AK73" s="23" t="str">
        <x:v>écailles, sang draconique, crocs, griffes, os ou fragments de corne</x:v>
      </x:c>
      <x:c r="AL73" s="23" t="str">
        <x:v>Même abîmé, le corps draconique fournit des matériaux recherchés : écailles, sang, crocs, griffes, os ou fragments de corne. Sous-famille : Sous-famille créée pour les boss mythologiques ou fins de campagne.</x:v>
      </x:c>
      <x:c r="AM73" s="23" t="n">
        <x:v>31.5</x:v>
      </x:c>
      <x:c r="AN73" s="23" t="str">
        <x:v>Boss-like / rare</x:v>
      </x:c>
      <x:c r="AO73" s="23" t="str">
        <x:v>Boss majeur</x:v>
      </x:c>
      <x:c r="AP73" s="23" t="str">
        <x:v>Sous-famille</x:v>
      </x:c>
      <x:c r="AQ73" s="23" t="str">
        <x:v>Dragon</x:v>
      </x:c>
      <x:c r="AR73" s="23" t="str">
        <x:v>Dragon primordial</x:v>
      </x:c>
      <x:c r="AS73" s="23" t="str">
        <x:v>Dragon mythique, ancien ou boss de campagne.</x:v>
      </x:c>
      <x:c r="AT73" s="69" t="str">
        <x:v>Résistant</x:v>
      </x:c>
      <x:c r="AU73" s="69" t="str">
        <x:v>Résistant</x:v>
      </x:c>
      <x:c r="AV73" s="69" t="str">
        <x:v>Résistant</x:v>
      </x:c>
      <x:c r="AW73" s="69" t="str">
        <x:v>Résistant</x:v>
      </x:c>
      <x:c r="AX73" s="69" t="str">
        <x:v>Neutre</x:v>
      </x:c>
      <x:c r="AY73" s="69" t="str">
        <x:v>Neutre</x:v>
      </x:c>
      <x:c r="AZ73" s="69" t="str">
        <x:v>Résistant</x:v>
      </x:c>
      <x:c r="BA73" s="69" t="str">
        <x:v>Résistant</x:v>
      </x:c>
      <x:c r="BB73" s="23" t="str">
        <x:f t="shared" si="1"/>
        <x:v>resistanceA_feu resistanceA_air resistanceA_eau resistanceA_terre resistanceA_force</x:v>
      </x:c>
      <x:c r="BC73" s="75" t="str">
        <x:v>Oui</x:v>
      </x:c>
      <x:c r="BD73" s="75" t="str">
        <x:v>Oui</x:v>
      </x:c>
      <x:c r="BE73" s="75" t="str">
        <x:v>Non</x:v>
      </x:c>
      <x:c r="BF73" s="75" t="str">
        <x:v>Non</x:v>
      </x:c>
      <x:c r="BG73" s="23" t="str">
        <x:v>Dragon mythique, ancien ou boss de campagne. Résiste à Feu, Air, Eau, Terre, Force par affinité ou constitution. Sa morphologie réduit les dégâts tranchants, perçants.</x:v>
      </x:c>
      <x:c r="BH73" s="23" t="str">
        <x:f t="shared" si="2"/>
        <x:v>resistanceA_feu resistanceA_air resistanceA_eau resistanceA_terre resistanceA_force resistanceA_tranchant resistanceA_percant</x:v>
      </x:c>
    </x:row>
    <x:row r="74" ht="14.25" customHeight="1">
      <x:c r="A74" s="93"/>
      <x:c r="B74" s="93"/>
      <x:c r="C74" s="93"/>
      <x:c r="D74" s="93"/>
      <x:c r="E74" s="93"/>
      <x:c r="F74" s="93"/>
      <x:c r="G74" s="93"/>
      <x:c r="H74" s="93"/>
      <x:c r="I74" s="93"/>
      <x:c r="J74" s="93"/>
      <x:c r="K74" s="93"/>
      <x:c r="L74" s="93"/>
      <x:c r="M74" s="93"/>
      <x:c r="N74" s="93"/>
      <x:c r="O74" s="93"/>
      <x:c r="P74" s="93"/>
      <x:c r="Q74" s="93"/>
      <x:c r="R74" s="93"/>
      <x:c r="S74" s="93"/>
      <x:c r="T74" s="93"/>
      <x:c r="U74" s="93"/>
      <x:c r="V74" s="93"/>
      <x:c r="W74" s="93"/>
      <x:c r="X74" s="93"/>
      <x:c r="Y74" s="93"/>
      <x:c r="Z74" s="93"/>
      <x:c r="AA74" s="93"/>
      <x:c r="AB74" s="93"/>
      <x:c r="AC74" s="93"/>
      <x:c r="AD74" s="93"/>
      <x:c r="AE74" s="93"/>
      <x:c r="AF74" s="93"/>
      <x:c r="AG74" s="93"/>
      <x:c r="AH74" s="93"/>
      <x:c r="AI74" s="93"/>
      <x:c r="AJ74" s="93"/>
      <x:c r="AK74" s="93"/>
      <x:c r="AL74" s="93"/>
      <x:c r="AM74" s="93"/>
      <x:c r="AN74" s="93"/>
      <x:c r="AO74" s="93"/>
    </x:row>
    <x:row r="75" ht="14.25" customHeight="1">
      <x:c r="A75" s="93"/>
      <x:c r="B75" s="93"/>
      <x:c r="C75" s="93"/>
      <x:c r="D75" s="93"/>
      <x:c r="E75" s="93"/>
      <x:c r="F75" s="93"/>
      <x:c r="G75" s="93"/>
      <x:c r="H75" s="93"/>
      <x:c r="I75" s="93"/>
      <x:c r="J75" s="93"/>
      <x:c r="K75" s="93"/>
      <x:c r="L75" s="93"/>
      <x:c r="M75" s="93"/>
      <x:c r="N75" s="93"/>
      <x:c r="O75" s="93"/>
      <x:c r="P75" s="93"/>
      <x:c r="Q75" s="93"/>
      <x:c r="R75" s="93"/>
      <x:c r="S75" s="93"/>
      <x:c r="T75" s="93"/>
      <x:c r="U75" s="93"/>
      <x:c r="V75" s="93"/>
      <x:c r="W75" s="93"/>
      <x:c r="X75" s="93"/>
      <x:c r="Y75" s="93"/>
      <x:c r="Z75" s="93"/>
      <x:c r="AA75" s="93"/>
      <x:c r="AB75" s="93"/>
      <x:c r="AC75" s="93"/>
      <x:c r="AD75" s="93"/>
      <x:c r="AE75" s="93"/>
      <x:c r="AF75" s="93"/>
      <x:c r="AG75" s="93"/>
      <x:c r="AH75" s="93"/>
      <x:c r="AI75" s="93"/>
      <x:c r="AJ75" s="93"/>
      <x:c r="AK75" s="93"/>
      <x:c r="AL75" s="93"/>
      <x:c r="AM75" s="93"/>
      <x:c r="AN75" s="93"/>
      <x:c r="AO75" s="93"/>
    </x:row>
    <x:row r="76" ht="14.25" customHeight="1">
      <x:c r="A76" s="93"/>
      <x:c r="B76" s="93"/>
      <x:c r="C76" s="93"/>
      <x:c r="D76" s="93"/>
      <x:c r="E76" s="93"/>
      <x:c r="F76" s="93"/>
      <x:c r="G76" s="93"/>
      <x:c r="H76" s="93"/>
      <x:c r="I76" s="93"/>
      <x:c r="J76" s="93"/>
      <x:c r="K76" s="93"/>
      <x:c r="L76" s="93"/>
      <x:c r="M76" s="93"/>
      <x:c r="N76" s="93"/>
      <x:c r="O76" s="93"/>
      <x:c r="P76" s="93"/>
      <x:c r="Q76" s="93"/>
      <x:c r="R76" s="93"/>
      <x:c r="S76" s="93"/>
      <x:c r="T76" s="93"/>
      <x:c r="U76" s="93"/>
      <x:c r="V76" s="93"/>
      <x:c r="W76" s="93"/>
      <x:c r="X76" s="93"/>
      <x:c r="Y76" s="93"/>
      <x:c r="Z76" s="93"/>
      <x:c r="AA76" s="93"/>
      <x:c r="AB76" s="93"/>
      <x:c r="AC76" s="93"/>
      <x:c r="AD76" s="93"/>
      <x:c r="AE76" s="93"/>
      <x:c r="AF76" s="93"/>
      <x:c r="AG76" s="93"/>
      <x:c r="AH76" s="93"/>
      <x:c r="AI76" s="93"/>
      <x:c r="AJ76" s="93"/>
      <x:c r="AK76" s="93"/>
      <x:c r="AL76" s="93"/>
      <x:c r="AM76" s="93"/>
      <x:c r="AN76" s="93"/>
      <x:c r="AO76" s="93"/>
    </x:row>
    <x:row r="77" ht="14.25" customHeight="1">
      <x:c r="A77" s="93"/>
      <x:c r="B77" s="93"/>
      <x:c r="C77" s="93"/>
      <x:c r="D77" s="93"/>
      <x:c r="E77" s="93"/>
      <x:c r="F77" s="93"/>
      <x:c r="G77" s="93"/>
      <x:c r="H77" s="93"/>
      <x:c r="I77" s="93"/>
      <x:c r="J77" s="93"/>
      <x:c r="K77" s="93"/>
      <x:c r="L77" s="93"/>
      <x:c r="M77" s="93"/>
      <x:c r="N77" s="93"/>
      <x:c r="O77" s="93"/>
      <x:c r="P77" s="93"/>
      <x:c r="Q77" s="93"/>
      <x:c r="R77" s="93"/>
      <x:c r="S77" s="93"/>
      <x:c r="T77" s="93"/>
      <x:c r="U77" s="93"/>
      <x:c r="V77" s="93"/>
      <x:c r="W77" s="93"/>
      <x:c r="X77" s="93"/>
      <x:c r="Y77" s="93"/>
      <x:c r="Z77" s="93"/>
      <x:c r="AA77" s="93"/>
      <x:c r="AB77" s="93"/>
      <x:c r="AC77" s="93"/>
      <x:c r="AD77" s="93"/>
      <x:c r="AE77" s="93"/>
      <x:c r="AF77" s="93"/>
      <x:c r="AG77" s="93"/>
      <x:c r="AH77" s="93"/>
      <x:c r="AI77" s="93"/>
      <x:c r="AJ77" s="93"/>
      <x:c r="AK77" s="93"/>
      <x:c r="AL77" s="93"/>
      <x:c r="AM77" s="93"/>
      <x:c r="AN77" s="93"/>
      <x:c r="AO77" s="93"/>
    </x:row>
    <x:row r="78" ht="14.25" customHeight="1">
      <x:c r="A78" s="93"/>
      <x:c r="B78" s="93"/>
      <x:c r="C78" s="93"/>
      <x:c r="D78" s="93"/>
      <x:c r="E78" s="93"/>
      <x:c r="F78" s="93"/>
      <x:c r="G78" s="93"/>
      <x:c r="H78" s="93"/>
      <x:c r="I78" s="93"/>
      <x:c r="J78" s="93"/>
      <x:c r="K78" s="93"/>
      <x:c r="L78" s="93"/>
      <x:c r="M78" s="93"/>
      <x:c r="N78" s="93"/>
      <x:c r="O78" s="93"/>
      <x:c r="P78" s="93"/>
      <x:c r="Q78" s="93"/>
      <x:c r="R78" s="93"/>
      <x:c r="S78" s="93"/>
      <x:c r="T78" s="93"/>
      <x:c r="U78" s="93"/>
      <x:c r="V78" s="93"/>
      <x:c r="W78" s="93"/>
      <x:c r="X78" s="93"/>
      <x:c r="Y78" s="93"/>
      <x:c r="Z78" s="93"/>
      <x:c r="AA78" s="93"/>
      <x:c r="AB78" s="93"/>
      <x:c r="AC78" s="93"/>
      <x:c r="AD78" s="93"/>
      <x:c r="AE78" s="93"/>
      <x:c r="AF78" s="93"/>
      <x:c r="AG78" s="93"/>
      <x:c r="AH78" s="93"/>
      <x:c r="AI78" s="93"/>
      <x:c r="AJ78" s="93"/>
      <x:c r="AK78" s="93"/>
      <x:c r="AL78" s="93"/>
      <x:c r="AM78" s="93"/>
      <x:c r="AN78" s="93"/>
      <x:c r="AO78" s="93"/>
    </x:row>
    <x:row r="79" ht="14.25" customHeight="1">
      <x:c r="A79" s="93"/>
      <x:c r="B79" s="93"/>
      <x:c r="C79" s="93"/>
      <x:c r="D79" s="93"/>
      <x:c r="E79" s="93"/>
      <x:c r="F79" s="93"/>
      <x:c r="G79" s="93"/>
      <x:c r="H79" s="93"/>
      <x:c r="I79" s="93"/>
      <x:c r="J79" s="93"/>
      <x:c r="K79" s="93"/>
      <x:c r="L79" s="93"/>
      <x:c r="M79" s="93"/>
      <x:c r="N79" s="93"/>
      <x:c r="O79" s="93"/>
      <x:c r="P79" s="93"/>
      <x:c r="Q79" s="93"/>
      <x:c r="R79" s="93"/>
      <x:c r="S79" s="93"/>
      <x:c r="T79" s="93"/>
      <x:c r="U79" s="93"/>
      <x:c r="V79" s="93"/>
      <x:c r="W79" s="93"/>
      <x:c r="X79" s="93"/>
      <x:c r="Y79" s="93"/>
      <x:c r="Z79" s="93"/>
      <x:c r="AA79" s="93"/>
      <x:c r="AB79" s="93"/>
      <x:c r="AC79" s="93"/>
      <x:c r="AD79" s="93"/>
      <x:c r="AE79" s="93"/>
      <x:c r="AF79" s="93"/>
      <x:c r="AG79" s="93"/>
      <x:c r="AH79" s="93"/>
      <x:c r="AI79" s="93"/>
      <x:c r="AJ79" s="93"/>
      <x:c r="AK79" s="93"/>
      <x:c r="AL79" s="93"/>
      <x:c r="AM79" s="93"/>
      <x:c r="AN79" s="93"/>
      <x:c r="AO79" s="93"/>
    </x:row>
    <x:row r="80" ht="14.25" customHeight="1">
      <x:c r="A80" s="93"/>
      <x:c r="B80" s="93"/>
      <x:c r="C80" s="93"/>
      <x:c r="D80" s="93"/>
      <x:c r="E80" s="93"/>
      <x:c r="F80" s="93"/>
      <x:c r="G80" s="93"/>
      <x:c r="H80" s="93"/>
      <x:c r="I80" s="93"/>
      <x:c r="J80" s="93"/>
      <x:c r="K80" s="93"/>
      <x:c r="L80" s="93"/>
      <x:c r="M80" s="93"/>
      <x:c r="N80" s="93"/>
      <x:c r="O80" s="93"/>
      <x:c r="P80" s="93"/>
      <x:c r="Q80" s="93"/>
      <x:c r="R80" s="93"/>
      <x:c r="S80" s="93"/>
      <x:c r="T80" s="93"/>
      <x:c r="U80" s="93"/>
      <x:c r="V80" s="93"/>
      <x:c r="W80" s="93"/>
      <x:c r="X80" s="93"/>
      <x:c r="Y80" s="93"/>
      <x:c r="Z80" s="93"/>
      <x:c r="AA80" s="93"/>
      <x:c r="AB80" s="93"/>
      <x:c r="AC80" s="93"/>
      <x:c r="AD80" s="93"/>
      <x:c r="AE80" s="93"/>
      <x:c r="AF80" s="93"/>
      <x:c r="AG80" s="93"/>
      <x:c r="AH80" s="93"/>
      <x:c r="AI80" s="93"/>
      <x:c r="AJ80" s="93"/>
      <x:c r="AK80" s="93"/>
      <x:c r="AL80" s="93"/>
      <x:c r="AM80" s="93"/>
      <x:c r="AN80" s="93"/>
      <x:c r="AO80" s="93"/>
    </x:row>
    <x:row r="81" ht="14.25" customHeight="1">
      <x:c r="A81" s="93"/>
      <x:c r="B81" s="93"/>
      <x:c r="C81" s="93"/>
      <x:c r="D81" s="93"/>
      <x:c r="E81" s="93"/>
      <x:c r="F81" s="93"/>
      <x:c r="G81" s="93"/>
      <x:c r="H81" s="93"/>
      <x:c r="I81" s="93"/>
      <x:c r="J81" s="93"/>
      <x:c r="K81" s="93"/>
      <x:c r="L81" s="93"/>
      <x:c r="M81" s="93"/>
      <x:c r="N81" s="93"/>
      <x:c r="O81" s="93"/>
      <x:c r="P81" s="93"/>
      <x:c r="Q81" s="93"/>
      <x:c r="R81" s="93"/>
      <x:c r="S81" s="93"/>
      <x:c r="T81" s="93"/>
      <x:c r="U81" s="93"/>
      <x:c r="V81" s="93"/>
      <x:c r="W81" s="93"/>
      <x:c r="X81" s="93"/>
      <x:c r="Y81" s="93"/>
      <x:c r="Z81" s="93"/>
      <x:c r="AA81" s="93"/>
      <x:c r="AB81" s="93"/>
      <x:c r="AC81" s="93"/>
      <x:c r="AD81" s="93"/>
      <x:c r="AE81" s="93"/>
      <x:c r="AF81" s="93"/>
      <x:c r="AG81" s="93"/>
      <x:c r="AH81" s="93"/>
      <x:c r="AI81" s="93"/>
      <x:c r="AJ81" s="93"/>
      <x:c r="AK81" s="93"/>
      <x:c r="AL81" s="93"/>
      <x:c r="AM81" s="93"/>
      <x:c r="AN81" s="93"/>
      <x:c r="AO81" s="93"/>
    </x:row>
    <x:row r="82" ht="14.25" customHeight="1">
      <x:c r="A82" s="93"/>
      <x:c r="B82" s="93"/>
      <x:c r="C82" s="93"/>
      <x:c r="D82" s="93"/>
      <x:c r="E82" s="93"/>
      <x:c r="F82" s="93"/>
      <x:c r="G82" s="93"/>
      <x:c r="H82" s="93"/>
      <x:c r="I82" s="93"/>
      <x:c r="J82" s="93"/>
      <x:c r="K82" s="93"/>
      <x:c r="L82" s="93"/>
      <x:c r="M82" s="93"/>
      <x:c r="N82" s="93"/>
      <x:c r="O82" s="93"/>
      <x:c r="P82" s="93"/>
      <x:c r="Q82" s="93"/>
      <x:c r="R82" s="93"/>
      <x:c r="S82" s="93"/>
      <x:c r="T82" s="93"/>
      <x:c r="U82" s="93"/>
      <x:c r="V82" s="93"/>
      <x:c r="W82" s="93"/>
      <x:c r="X82" s="93"/>
      <x:c r="Y82" s="93"/>
      <x:c r="Z82" s="93"/>
      <x:c r="AA82" s="93"/>
      <x:c r="AB82" s="93"/>
      <x:c r="AC82" s="93"/>
      <x:c r="AD82" s="93"/>
      <x:c r="AE82" s="93"/>
      <x:c r="AF82" s="93"/>
      <x:c r="AG82" s="93"/>
      <x:c r="AH82" s="93"/>
      <x:c r="AI82" s="93"/>
      <x:c r="AJ82" s="93"/>
      <x:c r="AK82" s="93"/>
      <x:c r="AL82" s="93"/>
      <x:c r="AM82" s="93"/>
      <x:c r="AN82" s="93"/>
      <x:c r="AO82" s="93"/>
    </x:row>
    <x:row r="83" ht="14.25" customHeight="1">
      <x:c r="A83" s="93"/>
      <x:c r="B83" s="93"/>
      <x:c r="C83" s="93"/>
      <x:c r="D83" s="93"/>
      <x:c r="E83" s="93"/>
      <x:c r="F83" s="93"/>
      <x:c r="G83" s="93"/>
      <x:c r="H83" s="93"/>
      <x:c r="I83" s="93"/>
      <x:c r="J83" s="93"/>
      <x:c r="K83" s="93"/>
      <x:c r="L83" s="93"/>
      <x:c r="M83" s="93"/>
      <x:c r="N83" s="93"/>
      <x:c r="O83" s="93"/>
      <x:c r="P83" s="93"/>
      <x:c r="Q83" s="93"/>
      <x:c r="R83" s="93"/>
      <x:c r="S83" s="93"/>
      <x:c r="T83" s="93"/>
      <x:c r="U83" s="93"/>
      <x:c r="V83" s="93"/>
      <x:c r="W83" s="93"/>
      <x:c r="X83" s="93"/>
      <x:c r="Y83" s="93"/>
      <x:c r="Z83" s="93"/>
      <x:c r="AA83" s="93"/>
      <x:c r="AB83" s="93"/>
      <x:c r="AC83" s="93"/>
      <x:c r="AD83" s="93"/>
      <x:c r="AE83" s="93"/>
      <x:c r="AF83" s="93"/>
      <x:c r="AG83" s="93"/>
      <x:c r="AH83" s="93"/>
      <x:c r="AI83" s="93"/>
      <x:c r="AJ83" s="93"/>
      <x:c r="AK83" s="93"/>
      <x:c r="AL83" s="93"/>
      <x:c r="AM83" s="93"/>
      <x:c r="AN83" s="93"/>
      <x:c r="AO83" s="93"/>
    </x:row>
    <x:row r="84" ht="14.25" customHeight="1">
      <x:c r="A84" s="93"/>
      <x:c r="B84" s="93"/>
      <x:c r="C84" s="93"/>
      <x:c r="D84" s="93"/>
      <x:c r="E84" s="93"/>
      <x:c r="F84" s="93"/>
      <x:c r="G84" s="93"/>
      <x:c r="H84" s="93"/>
      <x:c r="I84" s="93"/>
      <x:c r="J84" s="93"/>
      <x:c r="K84" s="93"/>
      <x:c r="L84" s="93"/>
      <x:c r="M84" s="93"/>
      <x:c r="N84" s="93"/>
      <x:c r="O84" s="93"/>
      <x:c r="P84" s="93"/>
      <x:c r="Q84" s="93"/>
      <x:c r="R84" s="93"/>
      <x:c r="S84" s="93"/>
      <x:c r="T84" s="93"/>
      <x:c r="U84" s="93"/>
      <x:c r="V84" s="93"/>
      <x:c r="W84" s="93"/>
      <x:c r="X84" s="93"/>
      <x:c r="Y84" s="93"/>
      <x:c r="Z84" s="93"/>
      <x:c r="AA84" s="93"/>
      <x:c r="AB84" s="93"/>
      <x:c r="AC84" s="93"/>
      <x:c r="AD84" s="93"/>
      <x:c r="AE84" s="93"/>
      <x:c r="AF84" s="93"/>
      <x:c r="AG84" s="93"/>
      <x:c r="AH84" s="93"/>
      <x:c r="AI84" s="93"/>
      <x:c r="AJ84" s="93"/>
      <x:c r="AK84" s="93"/>
      <x:c r="AL84" s="93"/>
      <x:c r="AM84" s="93"/>
      <x:c r="AN84" s="93"/>
      <x:c r="AO84" s="93"/>
    </x:row>
    <x:row r="85" ht="14.25" customHeight="1">
      <x:c r="A85" s="93"/>
      <x:c r="B85" s="93"/>
      <x:c r="C85" s="93"/>
      <x:c r="D85" s="93"/>
      <x:c r="E85" s="93"/>
      <x:c r="F85" s="93"/>
      <x:c r="G85" s="93"/>
      <x:c r="H85" s="93"/>
      <x:c r="I85" s="93"/>
      <x:c r="J85" s="93"/>
      <x:c r="K85" s="93"/>
      <x:c r="L85" s="93"/>
      <x:c r="M85" s="93"/>
      <x:c r="N85" s="93"/>
      <x:c r="O85" s="93"/>
      <x:c r="P85" s="93"/>
      <x:c r="Q85" s="93"/>
      <x:c r="R85" s="93"/>
      <x:c r="S85" s="93"/>
      <x:c r="T85" s="93"/>
      <x:c r="U85" s="93"/>
      <x:c r="V85" s="93"/>
      <x:c r="W85" s="93"/>
      <x:c r="X85" s="93"/>
      <x:c r="Y85" s="93"/>
      <x:c r="Z85" s="93"/>
      <x:c r="AA85" s="93"/>
      <x:c r="AB85" s="93"/>
      <x:c r="AC85" s="93"/>
      <x:c r="AD85" s="93"/>
      <x:c r="AE85" s="93"/>
      <x:c r="AF85" s="93"/>
      <x:c r="AG85" s="93"/>
      <x:c r="AH85" s="93"/>
      <x:c r="AI85" s="93"/>
      <x:c r="AJ85" s="93"/>
      <x:c r="AK85" s="93"/>
      <x:c r="AL85" s="93"/>
      <x:c r="AM85" s="93"/>
      <x:c r="AN85" s="93"/>
      <x:c r="AO85" s="93"/>
    </x:row>
    <x:row r="86" ht="14.25" customHeight="1">
      <x:c r="A86" s="93"/>
      <x:c r="B86" s="93"/>
      <x:c r="C86" s="93"/>
      <x:c r="D86" s="93"/>
      <x:c r="E86" s="93"/>
      <x:c r="F86" s="93"/>
      <x:c r="G86" s="93"/>
      <x:c r="H86" s="93"/>
      <x:c r="I86" s="93"/>
      <x:c r="J86" s="93"/>
      <x:c r="K86" s="93"/>
      <x:c r="L86" s="93"/>
      <x:c r="M86" s="93"/>
      <x:c r="N86" s="93"/>
      <x:c r="O86" s="93"/>
      <x:c r="P86" s="93"/>
      <x:c r="Q86" s="93"/>
      <x:c r="R86" s="93"/>
      <x:c r="S86" s="93"/>
      <x:c r="T86" s="93"/>
      <x:c r="U86" s="93"/>
      <x:c r="V86" s="93"/>
      <x:c r="W86" s="93"/>
      <x:c r="X86" s="93"/>
      <x:c r="Y86" s="93"/>
      <x:c r="Z86" s="93"/>
      <x:c r="AA86" s="93"/>
      <x:c r="AB86" s="93"/>
      <x:c r="AC86" s="93"/>
      <x:c r="AD86" s="93"/>
      <x:c r="AE86" s="93"/>
      <x:c r="AF86" s="93"/>
      <x:c r="AG86" s="93"/>
      <x:c r="AH86" s="93"/>
      <x:c r="AI86" s="93"/>
      <x:c r="AJ86" s="93"/>
      <x:c r="AK86" s="93"/>
      <x:c r="AL86" s="93"/>
      <x:c r="AM86" s="93"/>
      <x:c r="AN86" s="93"/>
      <x:c r="AO86" s="93"/>
    </x:row>
    <x:row r="87" ht="14.25" customHeight="1">
      <x:c r="A87" s="93"/>
      <x:c r="B87" s="93"/>
      <x:c r="C87" s="93"/>
      <x:c r="D87" s="93"/>
      <x:c r="E87" s="93"/>
      <x:c r="F87" s="93"/>
      <x:c r="G87" s="93"/>
      <x:c r="H87" s="93"/>
      <x:c r="I87" s="93"/>
      <x:c r="J87" s="93"/>
      <x:c r="K87" s="93"/>
      <x:c r="L87" s="93"/>
      <x:c r="M87" s="93"/>
      <x:c r="N87" s="93"/>
      <x:c r="O87" s="93"/>
      <x:c r="P87" s="93"/>
      <x:c r="Q87" s="93"/>
      <x:c r="R87" s="93"/>
      <x:c r="S87" s="93"/>
      <x:c r="T87" s="93"/>
      <x:c r="U87" s="93"/>
      <x:c r="V87" s="93"/>
      <x:c r="W87" s="93"/>
      <x:c r="X87" s="93"/>
      <x:c r="Y87" s="93"/>
      <x:c r="Z87" s="93"/>
      <x:c r="AA87" s="93"/>
      <x:c r="AB87" s="93"/>
      <x:c r="AC87" s="93"/>
      <x:c r="AD87" s="93"/>
      <x:c r="AE87" s="93"/>
      <x:c r="AF87" s="93"/>
      <x:c r="AG87" s="93"/>
      <x:c r="AH87" s="93"/>
      <x:c r="AI87" s="93"/>
      <x:c r="AJ87" s="93"/>
      <x:c r="AK87" s="93"/>
      <x:c r="AL87" s="93"/>
      <x:c r="AM87" s="93"/>
      <x:c r="AN87" s="93"/>
      <x:c r="AO87" s="93"/>
    </x:row>
    <x:row r="88" ht="14.25" customHeight="1">
      <x:c r="A88" s="93"/>
      <x:c r="B88" s="93"/>
      <x:c r="C88" s="93"/>
      <x:c r="D88" s="93"/>
      <x:c r="E88" s="93"/>
      <x:c r="F88" s="93"/>
      <x:c r="G88" s="93"/>
      <x:c r="H88" s="93"/>
      <x:c r="I88" s="93"/>
      <x:c r="J88" s="93"/>
      <x:c r="K88" s="93"/>
      <x:c r="L88" s="93"/>
      <x:c r="M88" s="93"/>
      <x:c r="N88" s="93"/>
      <x:c r="O88" s="93"/>
      <x:c r="P88" s="93"/>
      <x:c r="Q88" s="93"/>
      <x:c r="R88" s="93"/>
      <x:c r="S88" s="93"/>
      <x:c r="T88" s="93"/>
      <x:c r="U88" s="93"/>
      <x:c r="V88" s="93"/>
      <x:c r="W88" s="93"/>
      <x:c r="X88" s="93"/>
      <x:c r="Y88" s="93"/>
      <x:c r="Z88" s="93"/>
      <x:c r="AA88" s="93"/>
      <x:c r="AB88" s="93"/>
      <x:c r="AC88" s="93"/>
      <x:c r="AD88" s="93"/>
      <x:c r="AE88" s="93"/>
      <x:c r="AF88" s="93"/>
      <x:c r="AG88" s="93"/>
      <x:c r="AH88" s="93"/>
      <x:c r="AI88" s="93"/>
      <x:c r="AJ88" s="93"/>
      <x:c r="AK88" s="93"/>
      <x:c r="AL88" s="93"/>
      <x:c r="AM88" s="93"/>
      <x:c r="AN88" s="93"/>
      <x:c r="AO88" s="93"/>
    </x:row>
    <x:row r="89" ht="14.25" customHeight="1">
      <x:c r="A89" s="93"/>
      <x:c r="B89" s="93"/>
      <x:c r="C89" s="93"/>
      <x:c r="D89" s="93"/>
      <x:c r="E89" s="93"/>
      <x:c r="F89" s="93"/>
      <x:c r="G89" s="93"/>
      <x:c r="H89" s="93"/>
      <x:c r="I89" s="93"/>
      <x:c r="J89" s="93"/>
      <x:c r="K89" s="93"/>
      <x:c r="L89" s="93"/>
      <x:c r="M89" s="93"/>
      <x:c r="N89" s="93"/>
      <x:c r="O89" s="93"/>
      <x:c r="P89" s="93"/>
      <x:c r="Q89" s="93"/>
      <x:c r="R89" s="93"/>
      <x:c r="S89" s="93"/>
      <x:c r="T89" s="93"/>
      <x:c r="U89" s="93"/>
      <x:c r="V89" s="93"/>
      <x:c r="W89" s="93"/>
      <x:c r="X89" s="93"/>
      <x:c r="Y89" s="93"/>
      <x:c r="Z89" s="93"/>
      <x:c r="AA89" s="93"/>
      <x:c r="AB89" s="93"/>
      <x:c r="AC89" s="93"/>
      <x:c r="AD89" s="93"/>
      <x:c r="AE89" s="93"/>
      <x:c r="AF89" s="93"/>
      <x:c r="AG89" s="93"/>
      <x:c r="AH89" s="93"/>
      <x:c r="AI89" s="93"/>
      <x:c r="AJ89" s="93"/>
      <x:c r="AK89" s="93"/>
      <x:c r="AL89" s="93"/>
      <x:c r="AM89" s="93"/>
      <x:c r="AN89" s="93"/>
      <x:c r="AO89" s="93"/>
    </x:row>
    <x:row r="90" ht="14.25" customHeight="1">
      <x:c r="A90" s="93"/>
      <x:c r="B90" s="93"/>
      <x:c r="C90" s="93"/>
      <x:c r="D90" s="93"/>
      <x:c r="E90" s="93"/>
      <x:c r="F90" s="93"/>
      <x:c r="G90" s="93"/>
      <x:c r="H90" s="93"/>
      <x:c r="I90" s="93"/>
      <x:c r="J90" s="93"/>
      <x:c r="K90" s="93"/>
      <x:c r="L90" s="93"/>
      <x:c r="M90" s="93"/>
      <x:c r="N90" s="93"/>
      <x:c r="O90" s="93"/>
      <x:c r="P90" s="93"/>
      <x:c r="Q90" s="93"/>
      <x:c r="R90" s="93"/>
      <x:c r="S90" s="93"/>
      <x:c r="T90" s="93"/>
      <x:c r="U90" s="93"/>
      <x:c r="V90" s="93"/>
      <x:c r="W90" s="93"/>
      <x:c r="X90" s="93"/>
      <x:c r="Y90" s="93"/>
      <x:c r="Z90" s="93"/>
      <x:c r="AA90" s="93"/>
      <x:c r="AB90" s="93"/>
      <x:c r="AC90" s="93"/>
      <x:c r="AD90" s="93"/>
      <x:c r="AE90" s="93"/>
      <x:c r="AF90" s="93"/>
      <x:c r="AG90" s="93"/>
      <x:c r="AH90" s="93"/>
      <x:c r="AI90" s="93"/>
      <x:c r="AJ90" s="93"/>
      <x:c r="AK90" s="93"/>
      <x:c r="AL90" s="93"/>
      <x:c r="AM90" s="93"/>
      <x:c r="AN90" s="93"/>
      <x:c r="AO90" s="93"/>
    </x:row>
    <x:row r="91" ht="14.25" customHeight="1">
      <x:c r="A91" s="93"/>
      <x:c r="B91" s="93"/>
      <x:c r="C91" s="93"/>
      <x:c r="D91" s="93"/>
      <x:c r="E91" s="93"/>
      <x:c r="F91" s="93"/>
      <x:c r="G91" s="93"/>
      <x:c r="H91" s="93"/>
      <x:c r="I91" s="93"/>
      <x:c r="J91" s="93"/>
      <x:c r="K91" s="93"/>
      <x:c r="L91" s="93"/>
      <x:c r="M91" s="93"/>
      <x:c r="N91" s="93"/>
      <x:c r="O91" s="93"/>
      <x:c r="P91" s="93"/>
      <x:c r="Q91" s="93"/>
      <x:c r="R91" s="93"/>
      <x:c r="S91" s="93"/>
      <x:c r="T91" s="93"/>
      <x:c r="U91" s="93"/>
      <x:c r="V91" s="93"/>
      <x:c r="W91" s="93"/>
      <x:c r="X91" s="93"/>
      <x:c r="Y91" s="93"/>
      <x:c r="Z91" s="93"/>
      <x:c r="AA91" s="93"/>
      <x:c r="AB91" s="93"/>
      <x:c r="AC91" s="93"/>
      <x:c r="AD91" s="93"/>
      <x:c r="AE91" s="93"/>
      <x:c r="AF91" s="93"/>
      <x:c r="AG91" s="93"/>
      <x:c r="AH91" s="93"/>
      <x:c r="AI91" s="93"/>
      <x:c r="AJ91" s="93"/>
      <x:c r="AK91" s="93"/>
      <x:c r="AL91" s="93"/>
      <x:c r="AM91" s="93"/>
      <x:c r="AN91" s="93"/>
      <x:c r="AO91" s="93"/>
    </x:row>
    <x:row r="92" ht="14.25" customHeight="1">
      <x:c r="A92" s="93"/>
      <x:c r="B92" s="93"/>
      <x:c r="C92" s="93"/>
      <x:c r="D92" s="93"/>
      <x:c r="E92" s="93"/>
      <x:c r="F92" s="93"/>
      <x:c r="G92" s="93"/>
      <x:c r="H92" s="93"/>
      <x:c r="I92" s="93"/>
      <x:c r="J92" s="93"/>
      <x:c r="K92" s="93"/>
      <x:c r="L92" s="93"/>
      <x:c r="M92" s="93"/>
      <x:c r="N92" s="93"/>
      <x:c r="O92" s="93"/>
      <x:c r="P92" s="93"/>
      <x:c r="Q92" s="93"/>
      <x:c r="R92" s="93"/>
      <x:c r="S92" s="93"/>
      <x:c r="T92" s="93"/>
      <x:c r="U92" s="93"/>
      <x:c r="V92" s="93"/>
      <x:c r="W92" s="93"/>
      <x:c r="X92" s="93"/>
      <x:c r="Y92" s="93"/>
      <x:c r="Z92" s="93"/>
      <x:c r="AA92" s="93"/>
      <x:c r="AB92" s="93"/>
      <x:c r="AC92" s="93"/>
      <x:c r="AD92" s="93"/>
      <x:c r="AE92" s="93"/>
      <x:c r="AF92" s="93"/>
      <x:c r="AG92" s="93"/>
      <x:c r="AH92" s="93"/>
      <x:c r="AI92" s="93"/>
      <x:c r="AJ92" s="93"/>
      <x:c r="AK92" s="93"/>
      <x:c r="AL92" s="93"/>
      <x:c r="AM92" s="93"/>
      <x:c r="AN92" s="93"/>
      <x:c r="AO92" s="93"/>
    </x:row>
    <x:row r="93" ht="14.25" customHeight="1">
      <x:c r="A93" s="93"/>
      <x:c r="B93" s="93"/>
      <x:c r="C93" s="93"/>
      <x:c r="D93" s="93"/>
      <x:c r="E93" s="93"/>
      <x:c r="F93" s="93"/>
      <x:c r="G93" s="93"/>
      <x:c r="H93" s="93"/>
      <x:c r="I93" s="93"/>
      <x:c r="J93" s="93"/>
      <x:c r="K93" s="93"/>
      <x:c r="L93" s="93"/>
      <x:c r="M93" s="93"/>
      <x:c r="N93" s="93"/>
      <x:c r="O93" s="93"/>
      <x:c r="P93" s="93"/>
      <x:c r="Q93" s="93"/>
      <x:c r="R93" s="93"/>
      <x:c r="S93" s="93"/>
      <x:c r="T93" s="93"/>
      <x:c r="U93" s="93"/>
      <x:c r="V93" s="93"/>
      <x:c r="W93" s="93"/>
      <x:c r="X93" s="93"/>
      <x:c r="Y93" s="93"/>
      <x:c r="Z93" s="93"/>
      <x:c r="AA93" s="93"/>
      <x:c r="AB93" s="93"/>
      <x:c r="AC93" s="93"/>
      <x:c r="AD93" s="93"/>
      <x:c r="AE93" s="93"/>
      <x:c r="AF93" s="93"/>
      <x:c r="AG93" s="93"/>
      <x:c r="AH93" s="93"/>
      <x:c r="AI93" s="93"/>
      <x:c r="AJ93" s="93"/>
      <x:c r="AK93" s="93"/>
      <x:c r="AL93" s="93"/>
      <x:c r="AM93" s="93"/>
      <x:c r="AN93" s="93"/>
      <x:c r="AO93" s="93"/>
    </x:row>
    <x:row r="94" ht="14.25" customHeight="1">
      <x:c r="A94" s="93"/>
      <x:c r="B94" s="93"/>
      <x:c r="C94" s="93"/>
      <x:c r="D94" s="93"/>
      <x:c r="E94" s="93"/>
      <x:c r="F94" s="93"/>
      <x:c r="G94" s="93"/>
      <x:c r="H94" s="93"/>
      <x:c r="I94" s="93"/>
      <x:c r="J94" s="93"/>
      <x:c r="K94" s="93"/>
      <x:c r="L94" s="93"/>
      <x:c r="M94" s="93"/>
      <x:c r="N94" s="93"/>
      <x:c r="O94" s="93"/>
      <x:c r="P94" s="93"/>
      <x:c r="Q94" s="93"/>
      <x:c r="R94" s="93"/>
      <x:c r="S94" s="93"/>
      <x:c r="T94" s="93"/>
      <x:c r="U94" s="93"/>
      <x:c r="V94" s="93"/>
      <x:c r="W94" s="93"/>
      <x:c r="X94" s="93"/>
      <x:c r="Y94" s="93"/>
      <x:c r="Z94" s="93"/>
      <x:c r="AA94" s="93"/>
      <x:c r="AB94" s="93"/>
      <x:c r="AC94" s="93"/>
      <x:c r="AD94" s="93"/>
      <x:c r="AE94" s="93"/>
      <x:c r="AF94" s="93"/>
      <x:c r="AG94" s="93"/>
      <x:c r="AH94" s="93"/>
      <x:c r="AI94" s="93"/>
      <x:c r="AJ94" s="93"/>
      <x:c r="AK94" s="93"/>
      <x:c r="AL94" s="93"/>
      <x:c r="AM94" s="93"/>
      <x:c r="AN94" s="93"/>
      <x:c r="AO94" s="93"/>
    </x:row>
    <x:row r="95" ht="14.25" customHeight="1">
      <x:c r="A95" s="93"/>
      <x:c r="B95" s="93"/>
      <x:c r="C95" s="93"/>
      <x:c r="D95" s="93"/>
      <x:c r="E95" s="93"/>
      <x:c r="F95" s="93"/>
      <x:c r="G95" s="93"/>
      <x:c r="H95" s="93"/>
      <x:c r="I95" s="93"/>
      <x:c r="J95" s="93"/>
      <x:c r="K95" s="93"/>
      <x:c r="L95" s="93"/>
      <x:c r="M95" s="93"/>
      <x:c r="N95" s="93"/>
      <x:c r="O95" s="93"/>
      <x:c r="P95" s="93"/>
      <x:c r="Q95" s="93"/>
      <x:c r="R95" s="93"/>
      <x:c r="S95" s="93"/>
      <x:c r="T95" s="93"/>
      <x:c r="U95" s="93"/>
      <x:c r="V95" s="93"/>
      <x:c r="W95" s="93"/>
      <x:c r="X95" s="93"/>
      <x:c r="Y95" s="93"/>
      <x:c r="Z95" s="93"/>
      <x:c r="AA95" s="93"/>
      <x:c r="AB95" s="93"/>
      <x:c r="AC95" s="93"/>
      <x:c r="AD95" s="93"/>
      <x:c r="AE95" s="93"/>
      <x:c r="AF95" s="93"/>
      <x:c r="AG95" s="93"/>
      <x:c r="AH95" s="93"/>
      <x:c r="AI95" s="93"/>
      <x:c r="AJ95" s="93"/>
      <x:c r="AK95" s="93"/>
      <x:c r="AL95" s="93"/>
      <x:c r="AM95" s="93"/>
      <x:c r="AN95" s="93"/>
      <x:c r="AO95" s="93"/>
    </x:row>
    <x:row r="96" ht="14.25" customHeight="1">
      <x:c r="A96" s="93"/>
      <x:c r="B96" s="93"/>
      <x:c r="C96" s="93"/>
      <x:c r="D96" s="93"/>
      <x:c r="E96" s="93"/>
      <x:c r="F96" s="93"/>
      <x:c r="G96" s="93"/>
      <x:c r="H96" s="93"/>
      <x:c r="I96" s="93"/>
      <x:c r="J96" s="93"/>
      <x:c r="K96" s="93"/>
      <x:c r="L96" s="93"/>
      <x:c r="M96" s="93"/>
      <x:c r="N96" s="93"/>
      <x:c r="O96" s="93"/>
      <x:c r="P96" s="93"/>
      <x:c r="Q96" s="93"/>
      <x:c r="R96" s="93"/>
      <x:c r="S96" s="93"/>
      <x:c r="T96" s="93"/>
      <x:c r="U96" s="93"/>
      <x:c r="V96" s="93"/>
      <x:c r="W96" s="93"/>
      <x:c r="X96" s="93"/>
      <x:c r="Y96" s="93"/>
      <x:c r="Z96" s="93"/>
      <x:c r="AA96" s="93"/>
      <x:c r="AB96" s="93"/>
      <x:c r="AC96" s="93"/>
      <x:c r="AD96" s="93"/>
      <x:c r="AE96" s="93"/>
      <x:c r="AF96" s="93"/>
      <x:c r="AG96" s="93"/>
      <x:c r="AH96" s="93"/>
      <x:c r="AI96" s="93"/>
      <x:c r="AJ96" s="93"/>
      <x:c r="AK96" s="93"/>
      <x:c r="AL96" s="93"/>
      <x:c r="AM96" s="93"/>
      <x:c r="AN96" s="93"/>
      <x:c r="AO96" s="93"/>
    </x:row>
    <x:row r="97" ht="14.25" customHeight="1">
      <x:c r="A97" s="93"/>
      <x:c r="B97" s="93"/>
      <x:c r="C97" s="93"/>
      <x:c r="D97" s="93"/>
      <x:c r="E97" s="93"/>
      <x:c r="F97" s="93"/>
      <x:c r="G97" s="93"/>
      <x:c r="H97" s="93"/>
      <x:c r="I97" s="93"/>
      <x:c r="J97" s="93"/>
      <x:c r="K97" s="93"/>
      <x:c r="L97" s="93"/>
      <x:c r="M97" s="93"/>
      <x:c r="N97" s="93"/>
      <x:c r="O97" s="93"/>
      <x:c r="P97" s="93"/>
      <x:c r="Q97" s="93"/>
      <x:c r="R97" s="93"/>
      <x:c r="S97" s="93"/>
      <x:c r="T97" s="93"/>
      <x:c r="U97" s="93"/>
      <x:c r="V97" s="93"/>
      <x:c r="W97" s="93"/>
      <x:c r="X97" s="93"/>
      <x:c r="Y97" s="93"/>
      <x:c r="Z97" s="93"/>
      <x:c r="AA97" s="93"/>
      <x:c r="AB97" s="93"/>
      <x:c r="AC97" s="93"/>
      <x:c r="AD97" s="93"/>
      <x:c r="AE97" s="93"/>
      <x:c r="AF97" s="93"/>
      <x:c r="AG97" s="93"/>
      <x:c r="AH97" s="93"/>
      <x:c r="AI97" s="93"/>
      <x:c r="AJ97" s="93"/>
      <x:c r="AK97" s="93"/>
      <x:c r="AL97" s="93"/>
      <x:c r="AM97" s="93"/>
      <x:c r="AN97" s="93"/>
      <x:c r="AO97" s="93"/>
    </x:row>
    <x:row r="98" ht="14.25" customHeight="1">
      <x:c r="A98" s="93"/>
      <x:c r="B98" s="93"/>
      <x:c r="C98" s="93"/>
      <x:c r="D98" s="93"/>
      <x:c r="E98" s="93"/>
      <x:c r="F98" s="93"/>
      <x:c r="G98" s="93"/>
      <x:c r="H98" s="93"/>
      <x:c r="I98" s="93"/>
      <x:c r="J98" s="93"/>
      <x:c r="K98" s="93"/>
      <x:c r="L98" s="93"/>
      <x:c r="M98" s="93"/>
      <x:c r="N98" s="93"/>
      <x:c r="O98" s="93"/>
      <x:c r="P98" s="93"/>
      <x:c r="Q98" s="93"/>
      <x:c r="R98" s="93"/>
      <x:c r="S98" s="93"/>
      <x:c r="T98" s="93"/>
      <x:c r="U98" s="93"/>
      <x:c r="V98" s="93"/>
      <x:c r="W98" s="93"/>
      <x:c r="X98" s="93"/>
      <x:c r="Y98" s="93"/>
      <x:c r="Z98" s="93"/>
      <x:c r="AA98" s="93"/>
      <x:c r="AB98" s="93"/>
      <x:c r="AC98" s="93"/>
      <x:c r="AD98" s="93"/>
      <x:c r="AE98" s="93"/>
      <x:c r="AF98" s="93"/>
      <x:c r="AG98" s="93"/>
      <x:c r="AH98" s="93"/>
      <x:c r="AI98" s="93"/>
      <x:c r="AJ98" s="93"/>
      <x:c r="AK98" s="93"/>
      <x:c r="AL98" s="93"/>
      <x:c r="AM98" s="93"/>
      <x:c r="AN98" s="93"/>
      <x:c r="AO98" s="93"/>
    </x:row>
    <x:row r="99" ht="14.25" customHeight="1">
      <x:c r="A99" s="93"/>
      <x:c r="B99" s="93"/>
      <x:c r="C99" s="93"/>
      <x:c r="D99" s="93"/>
      <x:c r="E99" s="93"/>
      <x:c r="F99" s="93"/>
      <x:c r="G99" s="93"/>
      <x:c r="H99" s="93"/>
      <x:c r="I99" s="93"/>
      <x:c r="J99" s="93"/>
      <x:c r="K99" s="93"/>
      <x:c r="L99" s="93"/>
      <x:c r="M99" s="93"/>
      <x:c r="N99" s="93"/>
      <x:c r="O99" s="93"/>
      <x:c r="P99" s="93"/>
      <x:c r="Q99" s="93"/>
      <x:c r="R99" s="93"/>
      <x:c r="S99" s="93"/>
      <x:c r="T99" s="93"/>
      <x:c r="U99" s="93"/>
      <x:c r="V99" s="93"/>
      <x:c r="W99" s="93"/>
      <x:c r="X99" s="93"/>
      <x:c r="Y99" s="93"/>
      <x:c r="Z99" s="93"/>
      <x:c r="AA99" s="93"/>
      <x:c r="AB99" s="93"/>
      <x:c r="AC99" s="93"/>
      <x:c r="AD99" s="93"/>
      <x:c r="AE99" s="93"/>
      <x:c r="AF99" s="93"/>
      <x:c r="AG99" s="93"/>
      <x:c r="AH99" s="93"/>
      <x:c r="AI99" s="93"/>
      <x:c r="AJ99" s="93"/>
      <x:c r="AK99" s="93"/>
      <x:c r="AL99" s="93"/>
      <x:c r="AM99" s="93"/>
      <x:c r="AN99" s="93"/>
      <x:c r="AO99" s="93"/>
    </x:row>
    <x:row r="100" ht="14.25" customHeight="1">
      <x:c r="A100" s="93"/>
      <x:c r="B100" s="93"/>
      <x:c r="C100" s="93"/>
      <x:c r="D100" s="93"/>
      <x:c r="E100" s="93"/>
      <x:c r="F100" s="93"/>
      <x:c r="G100" s="93"/>
      <x:c r="H100" s="93"/>
      <x:c r="I100" s="93"/>
      <x:c r="J100" s="93"/>
      <x:c r="K100" s="93"/>
      <x:c r="L100" s="93"/>
      <x:c r="M100" s="93"/>
      <x:c r="N100" s="93"/>
      <x:c r="O100" s="93"/>
      <x:c r="P100" s="93"/>
      <x:c r="Q100" s="93"/>
      <x:c r="R100" s="93"/>
      <x:c r="S100" s="93"/>
      <x:c r="T100" s="93"/>
      <x:c r="U100" s="93"/>
      <x:c r="V100" s="93"/>
      <x:c r="W100" s="93"/>
      <x:c r="X100" s="93"/>
      <x:c r="Y100" s="93"/>
      <x:c r="Z100" s="93"/>
      <x:c r="AA100" s="93"/>
      <x:c r="AB100" s="93"/>
      <x:c r="AC100" s="93"/>
      <x:c r="AD100" s="93"/>
      <x:c r="AE100" s="93"/>
      <x:c r="AF100" s="93"/>
      <x:c r="AG100" s="93"/>
      <x:c r="AH100" s="93"/>
      <x:c r="AI100" s="93"/>
      <x:c r="AJ100" s="93"/>
      <x:c r="AK100" s="93"/>
      <x:c r="AL100" s="93"/>
      <x:c r="AM100" s="93"/>
      <x:c r="AN100" s="93"/>
      <x:c r="AO100" s="93"/>
    </x:row>
    <x:row r="101" ht="14.25" customHeight="1">
      <x:c r="A101" s="93"/>
      <x:c r="B101" s="93"/>
      <x:c r="C101" s="93"/>
      <x:c r="D101" s="93"/>
      <x:c r="E101" s="93"/>
      <x:c r="F101" s="93"/>
      <x:c r="G101" s="93"/>
      <x:c r="H101" s="93"/>
      <x:c r="I101" s="93"/>
      <x:c r="J101" s="93"/>
      <x:c r="K101" s="93"/>
      <x:c r="L101" s="93"/>
      <x:c r="M101" s="93"/>
      <x:c r="N101" s="93"/>
      <x:c r="O101" s="93"/>
      <x:c r="P101" s="93"/>
      <x:c r="Q101" s="93"/>
      <x:c r="R101" s="93"/>
      <x:c r="S101" s="93"/>
      <x:c r="T101" s="93"/>
      <x:c r="U101" s="93"/>
      <x:c r="V101" s="93"/>
      <x:c r="W101" s="93"/>
      <x:c r="X101" s="93"/>
      <x:c r="Y101" s="93"/>
      <x:c r="Z101" s="93"/>
      <x:c r="AA101" s="93"/>
      <x:c r="AB101" s="93"/>
      <x:c r="AC101" s="93"/>
      <x:c r="AD101" s="93"/>
      <x:c r="AE101" s="93"/>
      <x:c r="AF101" s="93"/>
      <x:c r="AG101" s="93"/>
      <x:c r="AH101" s="93"/>
      <x:c r="AI101" s="93"/>
      <x:c r="AJ101" s="93"/>
      <x:c r="AK101" s="93"/>
      <x:c r="AL101" s="93"/>
      <x:c r="AM101" s="93"/>
      <x:c r="AN101" s="93"/>
      <x:c r="AO101" s="93"/>
    </x:row>
    <x:row r="102" ht="14.25" customHeight="1">
      <x:c r="A102" s="93"/>
      <x:c r="B102" s="93"/>
      <x:c r="C102" s="93"/>
      <x:c r="D102" s="93"/>
      <x:c r="E102" s="93"/>
      <x:c r="F102" s="93"/>
      <x:c r="G102" s="93"/>
      <x:c r="H102" s="93"/>
      <x:c r="I102" s="93"/>
      <x:c r="J102" s="93"/>
      <x:c r="K102" s="93"/>
      <x:c r="L102" s="93"/>
      <x:c r="M102" s="93"/>
      <x:c r="N102" s="93"/>
      <x:c r="O102" s="93"/>
      <x:c r="P102" s="93"/>
      <x:c r="Q102" s="93"/>
      <x:c r="R102" s="93"/>
      <x:c r="S102" s="93"/>
      <x:c r="T102" s="93"/>
      <x:c r="U102" s="93"/>
      <x:c r="V102" s="93"/>
      <x:c r="W102" s="93"/>
      <x:c r="X102" s="93"/>
      <x:c r="Y102" s="93"/>
      <x:c r="Z102" s="93"/>
      <x:c r="AA102" s="93"/>
      <x:c r="AB102" s="93"/>
      <x:c r="AC102" s="93"/>
      <x:c r="AD102" s="93"/>
      <x:c r="AE102" s="93"/>
      <x:c r="AF102" s="93"/>
      <x:c r="AG102" s="93"/>
      <x:c r="AH102" s="93"/>
      <x:c r="AI102" s="93"/>
      <x:c r="AJ102" s="93"/>
      <x:c r="AK102" s="93"/>
      <x:c r="AL102" s="93"/>
      <x:c r="AM102" s="93"/>
      <x:c r="AN102" s="93"/>
      <x:c r="AO102" s="93"/>
    </x:row>
    <x:row r="103" ht="14.25" customHeight="1">
      <x:c r="A103" s="93"/>
      <x:c r="B103" s="93"/>
      <x:c r="C103" s="93"/>
      <x:c r="D103" s="93"/>
      <x:c r="E103" s="93"/>
      <x:c r="F103" s="93"/>
      <x:c r="G103" s="93"/>
      <x:c r="H103" s="93"/>
      <x:c r="I103" s="93"/>
      <x:c r="J103" s="93"/>
      <x:c r="K103" s="93"/>
      <x:c r="L103" s="93"/>
      <x:c r="M103" s="93"/>
      <x:c r="N103" s="93"/>
      <x:c r="O103" s="93"/>
      <x:c r="P103" s="93"/>
      <x:c r="Q103" s="93"/>
      <x:c r="R103" s="93"/>
      <x:c r="S103" s="93"/>
      <x:c r="T103" s="93"/>
      <x:c r="U103" s="93"/>
      <x:c r="V103" s="93"/>
      <x:c r="W103" s="93"/>
      <x:c r="X103" s="93"/>
      <x:c r="Y103" s="93"/>
      <x:c r="Z103" s="93"/>
      <x:c r="AA103" s="93"/>
      <x:c r="AB103" s="93"/>
      <x:c r="AC103" s="93"/>
      <x:c r="AD103" s="93"/>
      <x:c r="AE103" s="93"/>
      <x:c r="AF103" s="93"/>
      <x:c r="AG103" s="93"/>
      <x:c r="AH103" s="93"/>
      <x:c r="AI103" s="93"/>
      <x:c r="AJ103" s="93"/>
      <x:c r="AK103" s="93"/>
      <x:c r="AL103" s="93"/>
      <x:c r="AM103" s="93"/>
      <x:c r="AN103" s="93"/>
      <x:c r="AO103" s="93"/>
    </x:row>
    <x:row r="104" ht="14.25" customHeight="1">
      <x:c r="A104" s="93"/>
      <x:c r="B104" s="93"/>
      <x:c r="C104" s="93"/>
      <x:c r="D104" s="93"/>
      <x:c r="E104" s="93"/>
      <x:c r="F104" s="93"/>
      <x:c r="G104" s="93"/>
      <x:c r="H104" s="93"/>
      <x:c r="I104" s="93"/>
      <x:c r="J104" s="93"/>
      <x:c r="K104" s="93"/>
      <x:c r="L104" s="93"/>
      <x:c r="M104" s="93"/>
      <x:c r="N104" s="93"/>
      <x:c r="O104" s="93"/>
      <x:c r="P104" s="93"/>
      <x:c r="Q104" s="93"/>
      <x:c r="R104" s="93"/>
      <x:c r="S104" s="93"/>
      <x:c r="T104" s="93"/>
      <x:c r="U104" s="93"/>
      <x:c r="V104" s="93"/>
      <x:c r="W104" s="93"/>
      <x:c r="X104" s="93"/>
      <x:c r="Y104" s="93"/>
      <x:c r="Z104" s="93"/>
      <x:c r="AA104" s="93"/>
      <x:c r="AB104" s="93"/>
      <x:c r="AC104" s="93"/>
      <x:c r="AD104" s="93"/>
      <x:c r="AE104" s="93"/>
      <x:c r="AF104" s="93"/>
      <x:c r="AG104" s="93"/>
      <x:c r="AH104" s="93"/>
      <x:c r="AI104" s="93"/>
      <x:c r="AJ104" s="93"/>
      <x:c r="AK104" s="93"/>
      <x:c r="AL104" s="93"/>
      <x:c r="AM104" s="93"/>
      <x:c r="AN104" s="93"/>
      <x:c r="AO104" s="93"/>
    </x:row>
    <x:row r="105" ht="14.25" customHeight="1">
      <x:c r="A105" s="93"/>
      <x:c r="B105" s="93"/>
      <x:c r="C105" s="93"/>
      <x:c r="D105" s="93"/>
      <x:c r="E105" s="93"/>
      <x:c r="F105" s="93"/>
      <x:c r="G105" s="93"/>
      <x:c r="H105" s="93"/>
      <x:c r="I105" s="93"/>
      <x:c r="J105" s="93"/>
      <x:c r="K105" s="93"/>
      <x:c r="L105" s="93"/>
      <x:c r="M105" s="93"/>
      <x:c r="N105" s="93"/>
      <x:c r="O105" s="93"/>
      <x:c r="P105" s="93"/>
      <x:c r="Q105" s="93"/>
      <x:c r="R105" s="93"/>
      <x:c r="S105" s="93"/>
      <x:c r="T105" s="93"/>
      <x:c r="U105" s="93"/>
      <x:c r="V105" s="93"/>
      <x:c r="W105" s="93"/>
      <x:c r="X105" s="93"/>
      <x:c r="Y105" s="93"/>
      <x:c r="Z105" s="93"/>
      <x:c r="AA105" s="93"/>
      <x:c r="AB105" s="93"/>
      <x:c r="AC105" s="93"/>
      <x:c r="AD105" s="93"/>
      <x:c r="AE105" s="93"/>
      <x:c r="AF105" s="93"/>
      <x:c r="AG105" s="93"/>
      <x:c r="AH105" s="93"/>
      <x:c r="AI105" s="93"/>
      <x:c r="AJ105" s="93"/>
      <x:c r="AK105" s="93"/>
      <x:c r="AL105" s="93"/>
      <x:c r="AM105" s="93"/>
      <x:c r="AN105" s="93"/>
      <x:c r="AO105" s="93"/>
    </x:row>
    <x:row r="106" ht="14.25" customHeight="1">
      <x:c r="A106" s="93"/>
      <x:c r="B106" s="93"/>
      <x:c r="C106" s="93"/>
      <x:c r="D106" s="93"/>
      <x:c r="E106" s="93"/>
      <x:c r="F106" s="93"/>
      <x:c r="G106" s="93"/>
      <x:c r="H106" s="93"/>
      <x:c r="I106" s="93"/>
      <x:c r="J106" s="93"/>
      <x:c r="K106" s="93"/>
      <x:c r="L106" s="93"/>
      <x:c r="M106" s="93"/>
      <x:c r="N106" s="93"/>
      <x:c r="O106" s="93"/>
      <x:c r="P106" s="93"/>
      <x:c r="Q106" s="93"/>
      <x:c r="R106" s="93"/>
      <x:c r="S106" s="93"/>
      <x:c r="T106" s="93"/>
      <x:c r="U106" s="93"/>
      <x:c r="V106" s="93"/>
      <x:c r="W106" s="93"/>
      <x:c r="X106" s="93"/>
      <x:c r="Y106" s="93"/>
      <x:c r="Z106" s="93"/>
      <x:c r="AA106" s="93"/>
      <x:c r="AB106" s="93"/>
      <x:c r="AC106" s="93"/>
      <x:c r="AD106" s="93"/>
      <x:c r="AE106" s="93"/>
      <x:c r="AF106" s="93"/>
      <x:c r="AG106" s="93"/>
      <x:c r="AH106" s="93"/>
      <x:c r="AI106" s="93"/>
      <x:c r="AJ106" s="93"/>
      <x:c r="AK106" s="93"/>
      <x:c r="AL106" s="93"/>
      <x:c r="AM106" s="93"/>
      <x:c r="AN106" s="93"/>
      <x:c r="AO106" s="93"/>
    </x:row>
    <x:row r="107" ht="14.25" customHeight="1">
      <x:c r="A107" s="93"/>
      <x:c r="B107" s="93"/>
      <x:c r="C107" s="93"/>
      <x:c r="D107" s="93"/>
      <x:c r="E107" s="93"/>
      <x:c r="F107" s="93"/>
      <x:c r="G107" s="93"/>
      <x:c r="H107" s="93"/>
      <x:c r="I107" s="93"/>
      <x:c r="J107" s="93"/>
      <x:c r="K107" s="93"/>
      <x:c r="L107" s="93"/>
      <x:c r="M107" s="93"/>
      <x:c r="N107" s="93"/>
      <x:c r="O107" s="93"/>
      <x:c r="P107" s="93"/>
      <x:c r="Q107" s="93"/>
      <x:c r="R107" s="93"/>
      <x:c r="S107" s="93"/>
      <x:c r="T107" s="93"/>
      <x:c r="U107" s="93"/>
      <x:c r="V107" s="93"/>
      <x:c r="W107" s="93"/>
      <x:c r="X107" s="93"/>
      <x:c r="Y107" s="93"/>
      <x:c r="Z107" s="93"/>
      <x:c r="AA107" s="93"/>
      <x:c r="AB107" s="93"/>
      <x:c r="AC107" s="93"/>
      <x:c r="AD107" s="93"/>
      <x:c r="AE107" s="93"/>
      <x:c r="AF107" s="93"/>
      <x:c r="AG107" s="93"/>
      <x:c r="AH107" s="93"/>
      <x:c r="AI107" s="93"/>
      <x:c r="AJ107" s="93"/>
      <x:c r="AK107" s="93"/>
      <x:c r="AL107" s="93"/>
      <x:c r="AM107" s="93"/>
      <x:c r="AN107" s="93"/>
      <x:c r="AO107" s="93"/>
    </x:row>
    <x:row r="108" ht="14.25" customHeight="1">
      <x:c r="A108" s="93"/>
      <x:c r="B108" s="93"/>
      <x:c r="C108" s="93"/>
      <x:c r="D108" s="93"/>
      <x:c r="E108" s="93"/>
      <x:c r="F108" s="93"/>
      <x:c r="G108" s="93"/>
      <x:c r="H108" s="93"/>
      <x:c r="I108" s="93"/>
      <x:c r="J108" s="93"/>
      <x:c r="K108" s="93"/>
      <x:c r="L108" s="93"/>
      <x:c r="M108" s="93"/>
      <x:c r="N108" s="93"/>
      <x:c r="O108" s="93"/>
      <x:c r="P108" s="93"/>
      <x:c r="Q108" s="93"/>
      <x:c r="R108" s="93"/>
      <x:c r="S108" s="93"/>
      <x:c r="T108" s="93"/>
      <x:c r="U108" s="93"/>
      <x:c r="V108" s="93"/>
      <x:c r="W108" s="93"/>
      <x:c r="X108" s="93"/>
      <x:c r="Y108" s="93"/>
      <x:c r="Z108" s="93"/>
      <x:c r="AA108" s="93"/>
      <x:c r="AB108" s="93"/>
      <x:c r="AC108" s="93"/>
      <x:c r="AD108" s="93"/>
      <x:c r="AE108" s="93"/>
      <x:c r="AF108" s="93"/>
      <x:c r="AG108" s="93"/>
      <x:c r="AH108" s="93"/>
      <x:c r="AI108" s="93"/>
      <x:c r="AJ108" s="93"/>
      <x:c r="AK108" s="93"/>
      <x:c r="AL108" s="93"/>
      <x:c r="AM108" s="93"/>
      <x:c r="AN108" s="93"/>
      <x:c r="AO108" s="93"/>
    </x:row>
    <x:row r="109" ht="14.25" customHeight="1">
      <x:c r="A109" s="93"/>
      <x:c r="B109" s="93"/>
      <x:c r="C109" s="93"/>
      <x:c r="D109" s="93"/>
      <x:c r="E109" s="93"/>
      <x:c r="F109" s="93"/>
      <x:c r="G109" s="93"/>
      <x:c r="H109" s="93"/>
      <x:c r="I109" s="93"/>
      <x:c r="J109" s="93"/>
      <x:c r="K109" s="93"/>
      <x:c r="L109" s="93"/>
      <x:c r="M109" s="93"/>
      <x:c r="N109" s="93"/>
      <x:c r="O109" s="93"/>
      <x:c r="P109" s="93"/>
      <x:c r="Q109" s="93"/>
      <x:c r="R109" s="93"/>
      <x:c r="S109" s="93"/>
      <x:c r="T109" s="93"/>
      <x:c r="U109" s="93"/>
      <x:c r="V109" s="93"/>
      <x:c r="W109" s="93"/>
      <x:c r="X109" s="93"/>
      <x:c r="Y109" s="93"/>
      <x:c r="Z109" s="93"/>
      <x:c r="AA109" s="93"/>
      <x:c r="AB109" s="93"/>
      <x:c r="AC109" s="93"/>
      <x:c r="AD109" s="93"/>
      <x:c r="AE109" s="93"/>
      <x:c r="AF109" s="93"/>
      <x:c r="AG109" s="93"/>
      <x:c r="AH109" s="93"/>
      <x:c r="AI109" s="93"/>
      <x:c r="AJ109" s="93"/>
      <x:c r="AK109" s="93"/>
      <x:c r="AL109" s="93"/>
      <x:c r="AM109" s="93"/>
      <x:c r="AN109" s="93"/>
      <x:c r="AO109" s="93"/>
    </x:row>
    <x:row r="110" ht="14.25" customHeight="1">
      <x:c r="A110" s="93"/>
      <x:c r="B110" s="93"/>
      <x:c r="C110" s="93"/>
      <x:c r="D110" s="93"/>
      <x:c r="E110" s="93"/>
      <x:c r="F110" s="93"/>
      <x:c r="G110" s="93"/>
      <x:c r="H110" s="93"/>
      <x:c r="I110" s="93"/>
      <x:c r="J110" s="93"/>
      <x:c r="K110" s="93"/>
      <x:c r="L110" s="93"/>
      <x:c r="M110" s="93"/>
      <x:c r="N110" s="93"/>
      <x:c r="O110" s="93"/>
      <x:c r="P110" s="93"/>
      <x:c r="Q110" s="93"/>
      <x:c r="R110" s="93"/>
      <x:c r="S110" s="93"/>
      <x:c r="T110" s="93"/>
      <x:c r="U110" s="93"/>
      <x:c r="V110" s="93"/>
      <x:c r="W110" s="93"/>
      <x:c r="X110" s="93"/>
      <x:c r="Y110" s="93"/>
      <x:c r="Z110" s="93"/>
      <x:c r="AA110" s="93"/>
      <x:c r="AB110" s="93"/>
      <x:c r="AC110" s="93"/>
      <x:c r="AD110" s="93"/>
      <x:c r="AE110" s="93"/>
      <x:c r="AF110" s="93"/>
      <x:c r="AG110" s="93"/>
      <x:c r="AH110" s="93"/>
      <x:c r="AI110" s="93"/>
      <x:c r="AJ110" s="93"/>
      <x:c r="AK110" s="93"/>
      <x:c r="AL110" s="93"/>
      <x:c r="AM110" s="93"/>
      <x:c r="AN110" s="93"/>
      <x:c r="AO110" s="93"/>
    </x:row>
    <x:row r="111" ht="14.25" customHeight="1">
      <x:c r="A111" s="93"/>
      <x:c r="B111" s="93"/>
      <x:c r="C111" s="93"/>
      <x:c r="D111" s="93"/>
      <x:c r="E111" s="93"/>
      <x:c r="F111" s="93"/>
      <x:c r="G111" s="93"/>
      <x:c r="H111" s="93"/>
      <x:c r="I111" s="93"/>
      <x:c r="J111" s="93"/>
      <x:c r="K111" s="93"/>
      <x:c r="L111" s="93"/>
      <x:c r="M111" s="93"/>
      <x:c r="N111" s="93"/>
      <x:c r="O111" s="93"/>
      <x:c r="P111" s="93"/>
      <x:c r="Q111" s="93"/>
      <x:c r="R111" s="93"/>
      <x:c r="S111" s="93"/>
      <x:c r="T111" s="93"/>
      <x:c r="U111" s="93"/>
      <x:c r="V111" s="93"/>
      <x:c r="W111" s="93"/>
      <x:c r="X111" s="93"/>
      <x:c r="Y111" s="93"/>
      <x:c r="Z111" s="93"/>
      <x:c r="AA111" s="93"/>
      <x:c r="AB111" s="93"/>
      <x:c r="AC111" s="93"/>
      <x:c r="AD111" s="93"/>
      <x:c r="AE111" s="93"/>
      <x:c r="AF111" s="93"/>
      <x:c r="AG111" s="93"/>
      <x:c r="AH111" s="93"/>
      <x:c r="AI111" s="93"/>
      <x:c r="AJ111" s="93"/>
      <x:c r="AK111" s="93"/>
      <x:c r="AL111" s="93"/>
      <x:c r="AM111" s="93"/>
      <x:c r="AN111" s="93"/>
      <x:c r="AO111" s="93"/>
    </x:row>
    <x:row r="112" ht="14.25" customHeight="1">
      <x:c r="A112" s="93"/>
      <x:c r="B112" s="93"/>
      <x:c r="C112" s="93"/>
      <x:c r="D112" s="93"/>
      <x:c r="E112" s="93"/>
      <x:c r="F112" s="93"/>
      <x:c r="G112" s="93"/>
      <x:c r="H112" s="93"/>
      <x:c r="I112" s="93"/>
      <x:c r="J112" s="93"/>
      <x:c r="K112" s="93"/>
      <x:c r="L112" s="93"/>
      <x:c r="M112" s="93"/>
      <x:c r="N112" s="93"/>
      <x:c r="O112" s="93"/>
      <x:c r="P112" s="93"/>
      <x:c r="Q112" s="93"/>
      <x:c r="R112" s="93"/>
      <x:c r="S112" s="93"/>
      <x:c r="T112" s="93"/>
      <x:c r="U112" s="93"/>
      <x:c r="V112" s="93"/>
      <x:c r="W112" s="93"/>
      <x:c r="X112" s="93"/>
      <x:c r="Y112" s="93"/>
      <x:c r="Z112" s="93"/>
      <x:c r="AA112" s="93"/>
      <x:c r="AB112" s="93"/>
      <x:c r="AC112" s="93"/>
      <x:c r="AD112" s="93"/>
      <x:c r="AE112" s="93"/>
      <x:c r="AF112" s="93"/>
      <x:c r="AG112" s="93"/>
      <x:c r="AH112" s="93"/>
      <x:c r="AI112" s="93"/>
      <x:c r="AJ112" s="93"/>
      <x:c r="AK112" s="93"/>
      <x:c r="AL112" s="93"/>
      <x:c r="AM112" s="93"/>
      <x:c r="AN112" s="93"/>
      <x:c r="AO112" s="93"/>
    </x:row>
    <x:row r="113" ht="14.25" customHeight="1">
      <x:c r="A113" s="93"/>
      <x:c r="B113" s="93"/>
      <x:c r="C113" s="93"/>
      <x:c r="D113" s="93"/>
      <x:c r="E113" s="93"/>
      <x:c r="F113" s="93"/>
      <x:c r="G113" s="93"/>
      <x:c r="H113" s="93"/>
      <x:c r="I113" s="93"/>
      <x:c r="J113" s="93"/>
      <x:c r="K113" s="93"/>
      <x:c r="L113" s="93"/>
      <x:c r="M113" s="93"/>
      <x:c r="N113" s="93"/>
      <x:c r="O113" s="93"/>
      <x:c r="P113" s="93"/>
      <x:c r="Q113" s="93"/>
      <x:c r="R113" s="93"/>
      <x:c r="S113" s="93"/>
      <x:c r="T113" s="93"/>
      <x:c r="U113" s="93"/>
      <x:c r="V113" s="93"/>
      <x:c r="W113" s="93"/>
      <x:c r="X113" s="93"/>
      <x:c r="Y113" s="93"/>
      <x:c r="Z113" s="93"/>
      <x:c r="AA113" s="93"/>
      <x:c r="AB113" s="93"/>
      <x:c r="AC113" s="93"/>
      <x:c r="AD113" s="93"/>
      <x:c r="AE113" s="93"/>
      <x:c r="AF113" s="93"/>
      <x:c r="AG113" s="93"/>
      <x:c r="AH113" s="93"/>
      <x:c r="AI113" s="93"/>
      <x:c r="AJ113" s="93"/>
      <x:c r="AK113" s="93"/>
      <x:c r="AL113" s="93"/>
      <x:c r="AM113" s="93"/>
      <x:c r="AN113" s="93"/>
      <x:c r="AO113" s="93"/>
    </x:row>
    <x:row r="114" ht="14.25" customHeight="1">
      <x:c r="A114" s="93"/>
      <x:c r="B114" s="93"/>
      <x:c r="C114" s="93"/>
      <x:c r="D114" s="93"/>
      <x:c r="E114" s="93"/>
      <x:c r="F114" s="93"/>
      <x:c r="G114" s="93"/>
      <x:c r="H114" s="93"/>
      <x:c r="I114" s="93"/>
      <x:c r="J114" s="93"/>
      <x:c r="K114" s="93"/>
      <x:c r="L114" s="93"/>
      <x:c r="M114" s="93"/>
      <x:c r="N114" s="93"/>
      <x:c r="O114" s="93"/>
      <x:c r="P114" s="93"/>
      <x:c r="Q114" s="93"/>
      <x:c r="R114" s="93"/>
      <x:c r="S114" s="93"/>
      <x:c r="T114" s="93"/>
      <x:c r="U114" s="93"/>
      <x:c r="V114" s="93"/>
      <x:c r="W114" s="93"/>
      <x:c r="X114" s="93"/>
      <x:c r="Y114" s="93"/>
      <x:c r="Z114" s="93"/>
      <x:c r="AA114" s="93"/>
      <x:c r="AB114" s="93"/>
      <x:c r="AC114" s="93"/>
      <x:c r="AD114" s="93"/>
      <x:c r="AE114" s="93"/>
      <x:c r="AF114" s="93"/>
      <x:c r="AG114" s="93"/>
      <x:c r="AH114" s="93"/>
      <x:c r="AI114" s="93"/>
      <x:c r="AJ114" s="93"/>
      <x:c r="AK114" s="93"/>
      <x:c r="AL114" s="93"/>
      <x:c r="AM114" s="93"/>
      <x:c r="AN114" s="93"/>
      <x:c r="AO114" s="93"/>
    </x:row>
    <x:row r="115" ht="14.25" customHeight="1">
      <x:c r="A115" s="93"/>
      <x:c r="B115" s="93"/>
      <x:c r="C115" s="93"/>
      <x:c r="D115" s="93"/>
      <x:c r="E115" s="93"/>
      <x:c r="F115" s="93"/>
      <x:c r="G115" s="93"/>
      <x:c r="H115" s="93"/>
      <x:c r="I115" s="93"/>
      <x:c r="J115" s="93"/>
      <x:c r="K115" s="93"/>
      <x:c r="L115" s="93"/>
      <x:c r="M115" s="93"/>
      <x:c r="N115" s="93"/>
      <x:c r="O115" s="93"/>
      <x:c r="P115" s="93"/>
      <x:c r="Q115" s="93"/>
      <x:c r="R115" s="93"/>
      <x:c r="S115" s="93"/>
      <x:c r="T115" s="93"/>
      <x:c r="U115" s="93"/>
      <x:c r="V115" s="93"/>
      <x:c r="W115" s="93"/>
      <x:c r="X115" s="93"/>
      <x:c r="Y115" s="93"/>
      <x:c r="Z115" s="93"/>
      <x:c r="AA115" s="93"/>
      <x:c r="AB115" s="93"/>
      <x:c r="AC115" s="93"/>
      <x:c r="AD115" s="93"/>
      <x:c r="AE115" s="93"/>
      <x:c r="AF115" s="93"/>
      <x:c r="AG115" s="93"/>
      <x:c r="AH115" s="93"/>
      <x:c r="AI115" s="93"/>
      <x:c r="AJ115" s="93"/>
      <x:c r="AK115" s="93"/>
      <x:c r="AL115" s="93"/>
      <x:c r="AM115" s="93"/>
      <x:c r="AN115" s="93"/>
      <x:c r="AO115" s="93"/>
    </x:row>
    <x:row r="116" ht="14.25" customHeight="1">
      <x:c r="A116" s="93"/>
      <x:c r="B116" s="93"/>
      <x:c r="C116" s="93"/>
      <x:c r="D116" s="93"/>
      <x:c r="E116" s="93"/>
      <x:c r="F116" s="93"/>
      <x:c r="G116" s="93"/>
      <x:c r="H116" s="93"/>
      <x:c r="I116" s="93"/>
      <x:c r="J116" s="93"/>
      <x:c r="K116" s="93"/>
      <x:c r="L116" s="93"/>
      <x:c r="M116" s="93"/>
      <x:c r="N116" s="93"/>
      <x:c r="O116" s="93"/>
      <x:c r="P116" s="93"/>
      <x:c r="Q116" s="93"/>
      <x:c r="R116" s="93"/>
      <x:c r="S116" s="93"/>
      <x:c r="T116" s="93"/>
      <x:c r="U116" s="93"/>
      <x:c r="V116" s="93"/>
      <x:c r="W116" s="93"/>
      <x:c r="X116" s="93"/>
      <x:c r="Y116" s="93"/>
      <x:c r="Z116" s="93"/>
      <x:c r="AA116" s="93"/>
      <x:c r="AB116" s="93"/>
      <x:c r="AC116" s="93"/>
      <x:c r="AD116" s="93"/>
      <x:c r="AE116" s="93"/>
      <x:c r="AF116" s="93"/>
      <x:c r="AG116" s="93"/>
      <x:c r="AH116" s="93"/>
      <x:c r="AI116" s="93"/>
      <x:c r="AJ116" s="93"/>
      <x:c r="AK116" s="93"/>
      <x:c r="AL116" s="93"/>
      <x:c r="AM116" s="93"/>
      <x:c r="AN116" s="93"/>
      <x:c r="AO116" s="93"/>
    </x:row>
    <x:row r="117" ht="14.25" customHeight="1">
      <x:c r="A117" s="93"/>
      <x:c r="B117" s="93"/>
      <x:c r="C117" s="93"/>
      <x:c r="D117" s="93"/>
      <x:c r="E117" s="93"/>
      <x:c r="F117" s="93"/>
      <x:c r="G117" s="93"/>
      <x:c r="H117" s="93"/>
      <x:c r="I117" s="93"/>
      <x:c r="J117" s="93"/>
      <x:c r="K117" s="93"/>
      <x:c r="L117" s="93"/>
      <x:c r="M117" s="93"/>
      <x:c r="N117" s="93"/>
      <x:c r="O117" s="93"/>
      <x:c r="P117" s="93"/>
      <x:c r="Q117" s="93"/>
      <x:c r="R117" s="93"/>
      <x:c r="S117" s="93"/>
      <x:c r="T117" s="93"/>
      <x:c r="U117" s="93"/>
      <x:c r="V117" s="93"/>
      <x:c r="W117" s="93"/>
      <x:c r="X117" s="93"/>
      <x:c r="Y117" s="93"/>
      <x:c r="Z117" s="93"/>
      <x:c r="AA117" s="93"/>
      <x:c r="AB117" s="93"/>
      <x:c r="AC117" s="93"/>
      <x:c r="AD117" s="93"/>
      <x:c r="AE117" s="93"/>
      <x:c r="AF117" s="93"/>
      <x:c r="AG117" s="93"/>
      <x:c r="AH117" s="93"/>
      <x:c r="AI117" s="93"/>
      <x:c r="AJ117" s="93"/>
      <x:c r="AK117" s="93"/>
      <x:c r="AL117" s="93"/>
      <x:c r="AM117" s="93"/>
      <x:c r="AN117" s="93"/>
      <x:c r="AO117" s="93"/>
    </x:row>
    <x:row r="118" ht="14.25" customHeight="1">
      <x:c r="A118" s="93"/>
      <x:c r="B118" s="93"/>
      <x:c r="C118" s="93"/>
      <x:c r="D118" s="93"/>
      <x:c r="E118" s="93"/>
      <x:c r="F118" s="93"/>
      <x:c r="G118" s="93"/>
      <x:c r="H118" s="93"/>
      <x:c r="I118" s="93"/>
      <x:c r="J118" s="93"/>
      <x:c r="K118" s="93"/>
      <x:c r="L118" s="93"/>
      <x:c r="M118" s="93"/>
      <x:c r="N118" s="93"/>
      <x:c r="O118" s="93"/>
      <x:c r="P118" s="93"/>
      <x:c r="Q118" s="93"/>
      <x:c r="R118" s="93"/>
      <x:c r="S118" s="93"/>
      <x:c r="T118" s="93"/>
      <x:c r="U118" s="93"/>
      <x:c r="V118" s="93"/>
      <x:c r="W118" s="93"/>
      <x:c r="X118" s="93"/>
      <x:c r="Y118" s="93"/>
      <x:c r="Z118" s="93"/>
      <x:c r="AA118" s="93"/>
      <x:c r="AB118" s="93"/>
      <x:c r="AC118" s="93"/>
      <x:c r="AD118" s="93"/>
      <x:c r="AE118" s="93"/>
      <x:c r="AF118" s="93"/>
      <x:c r="AG118" s="93"/>
      <x:c r="AH118" s="93"/>
      <x:c r="AI118" s="93"/>
      <x:c r="AJ118" s="93"/>
      <x:c r="AK118" s="93"/>
      <x:c r="AL118" s="93"/>
      <x:c r="AM118" s="93"/>
      <x:c r="AN118" s="93"/>
      <x:c r="AO118" s="93"/>
    </x:row>
    <x:row r="119" ht="14.25" customHeight="1">
      <x:c r="A119" s="93"/>
      <x:c r="B119" s="93"/>
      <x:c r="C119" s="93"/>
      <x:c r="D119" s="93"/>
      <x:c r="E119" s="93"/>
      <x:c r="F119" s="93"/>
      <x:c r="G119" s="93"/>
      <x:c r="H119" s="93"/>
      <x:c r="I119" s="93"/>
      <x:c r="J119" s="93"/>
      <x:c r="K119" s="93"/>
      <x:c r="L119" s="93"/>
      <x:c r="M119" s="93"/>
      <x:c r="N119" s="93"/>
      <x:c r="O119" s="93"/>
      <x:c r="P119" s="93"/>
      <x:c r="Q119" s="93"/>
      <x:c r="R119" s="93"/>
      <x:c r="S119" s="93"/>
      <x:c r="T119" s="93"/>
      <x:c r="U119" s="93"/>
      <x:c r="V119" s="93"/>
      <x:c r="W119" s="93"/>
      <x:c r="X119" s="93"/>
      <x:c r="Y119" s="93"/>
      <x:c r="Z119" s="93"/>
      <x:c r="AA119" s="93"/>
      <x:c r="AB119" s="93"/>
      <x:c r="AC119" s="93"/>
      <x:c r="AD119" s="93"/>
      <x:c r="AE119" s="93"/>
      <x:c r="AF119" s="93"/>
      <x:c r="AG119" s="93"/>
      <x:c r="AH119" s="93"/>
      <x:c r="AI119" s="93"/>
      <x:c r="AJ119" s="93"/>
      <x:c r="AK119" s="93"/>
      <x:c r="AL119" s="93"/>
      <x:c r="AM119" s="93"/>
      <x:c r="AN119" s="93"/>
      <x:c r="AO119" s="93"/>
    </x:row>
    <x:row r="120" ht="14.25" customHeight="1">
      <x:c r="A120" s="93"/>
      <x:c r="B120" s="93"/>
      <x:c r="C120" s="93"/>
      <x:c r="D120" s="93"/>
      <x:c r="E120" s="93"/>
      <x:c r="F120" s="93"/>
      <x:c r="G120" s="93"/>
      <x:c r="H120" s="93"/>
      <x:c r="I120" s="93"/>
      <x:c r="J120" s="93"/>
      <x:c r="K120" s="93"/>
      <x:c r="L120" s="93"/>
      <x:c r="M120" s="93"/>
      <x:c r="N120" s="93"/>
      <x:c r="O120" s="93"/>
      <x:c r="P120" s="93"/>
      <x:c r="Q120" s="93"/>
      <x:c r="R120" s="93"/>
      <x:c r="S120" s="93"/>
      <x:c r="T120" s="93"/>
      <x:c r="U120" s="93"/>
      <x:c r="V120" s="93"/>
      <x:c r="W120" s="93"/>
      <x:c r="X120" s="93"/>
      <x:c r="Y120" s="93"/>
      <x:c r="Z120" s="93"/>
      <x:c r="AA120" s="93"/>
      <x:c r="AB120" s="93"/>
      <x:c r="AC120" s="93"/>
      <x:c r="AD120" s="93"/>
      <x:c r="AE120" s="93"/>
      <x:c r="AF120" s="93"/>
      <x:c r="AG120" s="93"/>
      <x:c r="AH120" s="93"/>
      <x:c r="AI120" s="93"/>
      <x:c r="AJ120" s="93"/>
      <x:c r="AK120" s="93"/>
      <x:c r="AL120" s="93"/>
      <x:c r="AM120" s="93"/>
      <x:c r="AN120" s="93"/>
      <x:c r="AO120" s="93"/>
    </x:row>
    <x:row r="121" ht="14.25" customHeight="1">
      <x:c r="A121" s="93"/>
      <x:c r="B121" s="93"/>
      <x:c r="C121" s="93"/>
      <x:c r="D121" s="93"/>
      <x:c r="E121" s="93"/>
      <x:c r="F121" s="93"/>
      <x:c r="G121" s="93"/>
      <x:c r="H121" s="93"/>
      <x:c r="I121" s="93"/>
      <x:c r="J121" s="93"/>
      <x:c r="K121" s="93"/>
      <x:c r="L121" s="93"/>
      <x:c r="M121" s="93"/>
      <x:c r="N121" s="93"/>
      <x:c r="O121" s="93"/>
      <x:c r="P121" s="93"/>
      <x:c r="Q121" s="93"/>
      <x:c r="R121" s="93"/>
      <x:c r="S121" s="93"/>
      <x:c r="T121" s="93"/>
      <x:c r="U121" s="93"/>
      <x:c r="V121" s="93"/>
      <x:c r="W121" s="93"/>
      <x:c r="X121" s="93"/>
      <x:c r="Y121" s="93"/>
      <x:c r="Z121" s="93"/>
      <x:c r="AA121" s="93"/>
      <x:c r="AB121" s="93"/>
      <x:c r="AC121" s="93"/>
      <x:c r="AD121" s="93"/>
      <x:c r="AE121" s="93"/>
      <x:c r="AF121" s="93"/>
      <x:c r="AG121" s="93"/>
      <x:c r="AH121" s="93"/>
      <x:c r="AI121" s="93"/>
      <x:c r="AJ121" s="93"/>
      <x:c r="AK121" s="93"/>
      <x:c r="AL121" s="93"/>
      <x:c r="AM121" s="93"/>
      <x:c r="AN121" s="93"/>
      <x:c r="AO121" s="93"/>
    </x:row>
    <x:row r="122" ht="14.25" customHeight="1">
      <x:c r="A122" s="93"/>
      <x:c r="B122" s="93"/>
      <x:c r="C122" s="93"/>
      <x:c r="D122" s="93"/>
      <x:c r="E122" s="93"/>
      <x:c r="F122" s="93"/>
      <x:c r="G122" s="93"/>
      <x:c r="H122" s="93"/>
      <x:c r="I122" s="93"/>
      <x:c r="J122" s="93"/>
      <x:c r="K122" s="93"/>
      <x:c r="L122" s="93"/>
      <x:c r="M122" s="93"/>
      <x:c r="N122" s="93"/>
      <x:c r="O122" s="93"/>
      <x:c r="P122" s="93"/>
      <x:c r="Q122" s="93"/>
      <x:c r="R122" s="93"/>
      <x:c r="S122" s="93"/>
      <x:c r="T122" s="93"/>
      <x:c r="U122" s="93"/>
      <x:c r="V122" s="93"/>
      <x:c r="W122" s="93"/>
      <x:c r="X122" s="93"/>
      <x:c r="Y122" s="93"/>
      <x:c r="Z122" s="93"/>
      <x:c r="AA122" s="93"/>
      <x:c r="AB122" s="93"/>
      <x:c r="AC122" s="93"/>
      <x:c r="AD122" s="93"/>
      <x:c r="AE122" s="93"/>
      <x:c r="AF122" s="93"/>
      <x:c r="AG122" s="93"/>
      <x:c r="AH122" s="93"/>
      <x:c r="AI122" s="93"/>
      <x:c r="AJ122" s="93"/>
      <x:c r="AK122" s="93"/>
      <x:c r="AL122" s="93"/>
      <x:c r="AM122" s="93"/>
      <x:c r="AN122" s="93"/>
      <x:c r="AO122" s="93"/>
    </x:row>
    <x:row r="123" ht="14.25" customHeight="1">
      <x:c r="A123" s="93"/>
      <x:c r="B123" s="93"/>
      <x:c r="C123" s="93"/>
      <x:c r="D123" s="93"/>
      <x:c r="E123" s="93"/>
      <x:c r="F123" s="93"/>
      <x:c r="G123" s="93"/>
      <x:c r="H123" s="93"/>
      <x:c r="I123" s="93"/>
      <x:c r="J123" s="93"/>
      <x:c r="K123" s="93"/>
      <x:c r="L123" s="93"/>
      <x:c r="M123" s="93"/>
      <x:c r="N123" s="93"/>
      <x:c r="O123" s="93"/>
      <x:c r="P123" s="93"/>
      <x:c r="Q123" s="93"/>
      <x:c r="R123" s="93"/>
      <x:c r="S123" s="93"/>
      <x:c r="T123" s="93"/>
      <x:c r="U123" s="93"/>
      <x:c r="V123" s="93"/>
      <x:c r="W123" s="93"/>
      <x:c r="X123" s="93"/>
      <x:c r="Y123" s="93"/>
      <x:c r="Z123" s="93"/>
      <x:c r="AA123" s="93"/>
      <x:c r="AB123" s="93"/>
      <x:c r="AC123" s="93"/>
      <x:c r="AD123" s="93"/>
      <x:c r="AE123" s="93"/>
      <x:c r="AF123" s="93"/>
      <x:c r="AG123" s="93"/>
      <x:c r="AH123" s="93"/>
      <x:c r="AI123" s="93"/>
      <x:c r="AJ123" s="93"/>
      <x:c r="AK123" s="93"/>
      <x:c r="AL123" s="93"/>
      <x:c r="AM123" s="93"/>
      <x:c r="AN123" s="93"/>
      <x:c r="AO123" s="93"/>
    </x:row>
    <x:row r="124" ht="14.25" customHeight="1">
      <x:c r="A124" s="93"/>
      <x:c r="B124" s="93"/>
      <x:c r="C124" s="93"/>
      <x:c r="D124" s="93"/>
      <x:c r="E124" s="93"/>
      <x:c r="F124" s="93"/>
      <x:c r="G124" s="93"/>
      <x:c r="H124" s="93"/>
      <x:c r="I124" s="93"/>
      <x:c r="J124" s="93"/>
      <x:c r="K124" s="93"/>
      <x:c r="L124" s="93"/>
      <x:c r="M124" s="93"/>
      <x:c r="N124" s="93"/>
      <x:c r="O124" s="93"/>
      <x:c r="P124" s="93"/>
      <x:c r="Q124" s="93"/>
      <x:c r="R124" s="93"/>
      <x:c r="S124" s="93"/>
      <x:c r="T124" s="93"/>
      <x:c r="U124" s="93"/>
      <x:c r="V124" s="93"/>
      <x:c r="W124" s="93"/>
      <x:c r="X124" s="93"/>
      <x:c r="Y124" s="93"/>
      <x:c r="Z124" s="93"/>
      <x:c r="AA124" s="93"/>
      <x:c r="AB124" s="93"/>
      <x:c r="AC124" s="93"/>
      <x:c r="AD124" s="93"/>
      <x:c r="AE124" s="93"/>
      <x:c r="AF124" s="93"/>
      <x:c r="AG124" s="93"/>
      <x:c r="AH124" s="93"/>
      <x:c r="AI124" s="93"/>
      <x:c r="AJ124" s="93"/>
      <x:c r="AK124" s="93"/>
      <x:c r="AL124" s="93"/>
      <x:c r="AM124" s="93"/>
      <x:c r="AN124" s="93"/>
      <x:c r="AO124" s="93"/>
    </x:row>
    <x:row r="125" ht="14.25" customHeight="1">
      <x:c r="A125" s="93"/>
      <x:c r="B125" s="93"/>
      <x:c r="C125" s="93"/>
      <x:c r="D125" s="93"/>
      <x:c r="E125" s="93"/>
      <x:c r="F125" s="93"/>
      <x:c r="G125" s="93"/>
      <x:c r="H125" s="93"/>
      <x:c r="I125" s="93"/>
      <x:c r="J125" s="93"/>
      <x:c r="K125" s="93"/>
      <x:c r="L125" s="93"/>
      <x:c r="M125" s="93"/>
      <x:c r="N125" s="93"/>
      <x:c r="O125" s="93"/>
      <x:c r="P125" s="93"/>
      <x:c r="Q125" s="93"/>
      <x:c r="R125" s="93"/>
      <x:c r="S125" s="93"/>
      <x:c r="T125" s="93"/>
      <x:c r="U125" s="93"/>
      <x:c r="V125" s="93"/>
      <x:c r="W125" s="93"/>
      <x:c r="X125" s="93"/>
      <x:c r="Y125" s="93"/>
      <x:c r="Z125" s="93"/>
      <x:c r="AA125" s="93"/>
      <x:c r="AB125" s="93"/>
      <x:c r="AC125" s="93"/>
      <x:c r="AD125" s="93"/>
      <x:c r="AE125" s="93"/>
      <x:c r="AF125" s="93"/>
      <x:c r="AG125" s="93"/>
      <x:c r="AH125" s="93"/>
      <x:c r="AI125" s="93"/>
      <x:c r="AJ125" s="93"/>
      <x:c r="AK125" s="93"/>
      <x:c r="AL125" s="93"/>
      <x:c r="AM125" s="93"/>
      <x:c r="AN125" s="93"/>
      <x:c r="AO125" s="93"/>
    </x:row>
    <x:row r="126" ht="14.25" customHeight="1">
      <x:c r="A126" s="93"/>
      <x:c r="B126" s="93"/>
      <x:c r="C126" s="93"/>
      <x:c r="D126" s="93"/>
      <x:c r="E126" s="93"/>
      <x:c r="F126" s="93"/>
      <x:c r="G126" s="93"/>
      <x:c r="H126" s="93"/>
      <x:c r="I126" s="93"/>
      <x:c r="J126" s="93"/>
      <x:c r="K126" s="93"/>
      <x:c r="L126" s="93"/>
      <x:c r="M126" s="93"/>
      <x:c r="N126" s="93"/>
      <x:c r="O126" s="93"/>
      <x:c r="P126" s="93"/>
      <x:c r="Q126" s="93"/>
      <x:c r="R126" s="93"/>
      <x:c r="S126" s="93"/>
      <x:c r="T126" s="93"/>
      <x:c r="U126" s="93"/>
      <x:c r="V126" s="93"/>
      <x:c r="W126" s="93"/>
      <x:c r="X126" s="93"/>
      <x:c r="Y126" s="93"/>
      <x:c r="Z126" s="93"/>
      <x:c r="AA126" s="93"/>
      <x:c r="AB126" s="93"/>
      <x:c r="AC126" s="93"/>
      <x:c r="AD126" s="93"/>
      <x:c r="AE126" s="93"/>
      <x:c r="AF126" s="93"/>
      <x:c r="AG126" s="93"/>
      <x:c r="AH126" s="93"/>
      <x:c r="AI126" s="93"/>
      <x:c r="AJ126" s="93"/>
      <x:c r="AK126" s="93"/>
      <x:c r="AL126" s="93"/>
      <x:c r="AM126" s="93"/>
      <x:c r="AN126" s="93"/>
      <x:c r="AO126" s="93"/>
    </x:row>
    <x:row r="127" ht="14.25" customHeight="1">
      <x:c r="A127" s="93"/>
      <x:c r="B127" s="93"/>
      <x:c r="C127" s="93"/>
      <x:c r="D127" s="93"/>
      <x:c r="E127" s="93"/>
      <x:c r="F127" s="93"/>
      <x:c r="G127" s="93"/>
      <x:c r="H127" s="93"/>
      <x:c r="I127" s="93"/>
      <x:c r="J127" s="93"/>
      <x:c r="K127" s="93"/>
      <x:c r="L127" s="93"/>
      <x:c r="M127" s="93"/>
      <x:c r="N127" s="93"/>
      <x:c r="O127" s="93"/>
      <x:c r="P127" s="93"/>
      <x:c r="Q127" s="93"/>
      <x:c r="R127" s="93"/>
      <x:c r="S127" s="93"/>
      <x:c r="T127" s="93"/>
      <x:c r="U127" s="93"/>
      <x:c r="V127" s="93"/>
      <x:c r="W127" s="93"/>
      <x:c r="X127" s="93"/>
      <x:c r="Y127" s="93"/>
      <x:c r="Z127" s="93"/>
      <x:c r="AA127" s="93"/>
      <x:c r="AB127" s="93"/>
      <x:c r="AC127" s="93"/>
      <x:c r="AD127" s="93"/>
      <x:c r="AE127" s="93"/>
      <x:c r="AF127" s="93"/>
      <x:c r="AG127" s="93"/>
      <x:c r="AH127" s="93"/>
      <x:c r="AI127" s="93"/>
      <x:c r="AJ127" s="93"/>
      <x:c r="AK127" s="93"/>
      <x:c r="AL127" s="93"/>
      <x:c r="AM127" s="93"/>
      <x:c r="AN127" s="93"/>
      <x:c r="AO127" s="93"/>
    </x:row>
    <x:row r="128" ht="14.25" customHeight="1">
      <x:c r="A128" s="93"/>
      <x:c r="B128" s="93"/>
      <x:c r="C128" s="93"/>
      <x:c r="D128" s="93"/>
      <x:c r="E128" s="93"/>
      <x:c r="F128" s="93"/>
      <x:c r="G128" s="93"/>
      <x:c r="H128" s="93"/>
      <x:c r="I128" s="93"/>
      <x:c r="J128" s="93"/>
      <x:c r="K128" s="93"/>
      <x:c r="L128" s="93"/>
      <x:c r="M128" s="93"/>
      <x:c r="N128" s="93"/>
      <x:c r="O128" s="93"/>
      <x:c r="P128" s="93"/>
      <x:c r="Q128" s="93"/>
      <x:c r="R128" s="93"/>
      <x:c r="S128" s="93"/>
      <x:c r="T128" s="93"/>
      <x:c r="U128" s="93"/>
      <x:c r="V128" s="93"/>
      <x:c r="W128" s="93"/>
      <x:c r="X128" s="93"/>
      <x:c r="Y128" s="93"/>
      <x:c r="Z128" s="93"/>
      <x:c r="AA128" s="93"/>
      <x:c r="AB128" s="93"/>
      <x:c r="AC128" s="93"/>
      <x:c r="AD128" s="93"/>
      <x:c r="AE128" s="93"/>
      <x:c r="AF128" s="93"/>
      <x:c r="AG128" s="93"/>
      <x:c r="AH128" s="93"/>
      <x:c r="AI128" s="93"/>
      <x:c r="AJ128" s="93"/>
      <x:c r="AK128" s="93"/>
      <x:c r="AL128" s="93"/>
      <x:c r="AM128" s="93"/>
      <x:c r="AN128" s="93"/>
      <x:c r="AO128" s="93"/>
    </x:row>
    <x:row r="129" ht="14.25" customHeight="1">
      <x:c r="A129" s="93"/>
      <x:c r="B129" s="93"/>
      <x:c r="C129" s="93"/>
      <x:c r="D129" s="93"/>
      <x:c r="E129" s="93"/>
      <x:c r="F129" s="93"/>
      <x:c r="G129" s="93"/>
      <x:c r="H129" s="93"/>
      <x:c r="I129" s="93"/>
      <x:c r="J129" s="93"/>
      <x:c r="K129" s="93"/>
      <x:c r="L129" s="93"/>
      <x:c r="M129" s="93"/>
      <x:c r="N129" s="93"/>
      <x:c r="O129" s="93"/>
      <x:c r="P129" s="93"/>
      <x:c r="Q129" s="93"/>
      <x:c r="R129" s="93"/>
      <x:c r="S129" s="93"/>
      <x:c r="T129" s="93"/>
      <x:c r="U129" s="93"/>
      <x:c r="V129" s="93"/>
      <x:c r="W129" s="93"/>
      <x:c r="X129" s="93"/>
      <x:c r="Y129" s="93"/>
      <x:c r="Z129" s="93"/>
      <x:c r="AA129" s="93"/>
      <x:c r="AB129" s="93"/>
      <x:c r="AC129" s="93"/>
      <x:c r="AD129" s="93"/>
      <x:c r="AE129" s="93"/>
      <x:c r="AF129" s="93"/>
      <x:c r="AG129" s="93"/>
      <x:c r="AH129" s="93"/>
      <x:c r="AI129" s="93"/>
      <x:c r="AJ129" s="93"/>
      <x:c r="AK129" s="93"/>
      <x:c r="AL129" s="93"/>
      <x:c r="AM129" s="93"/>
      <x:c r="AN129" s="93"/>
      <x:c r="AO129" s="93"/>
    </x:row>
    <x:row r="130" ht="14.25" customHeight="1">
      <x:c r="A130" s="93"/>
      <x:c r="B130" s="93"/>
      <x:c r="C130" s="93"/>
      <x:c r="D130" s="93"/>
      <x:c r="E130" s="93"/>
      <x:c r="F130" s="93"/>
      <x:c r="G130" s="93"/>
      <x:c r="H130" s="93"/>
      <x:c r="I130" s="93"/>
      <x:c r="J130" s="93"/>
      <x:c r="K130" s="93"/>
      <x:c r="L130" s="93"/>
      <x:c r="M130" s="93"/>
      <x:c r="N130" s="93"/>
      <x:c r="O130" s="93"/>
      <x:c r="P130" s="93"/>
      <x:c r="Q130" s="93"/>
      <x:c r="R130" s="93"/>
      <x:c r="S130" s="93"/>
      <x:c r="T130" s="93"/>
      <x:c r="U130" s="93"/>
      <x:c r="V130" s="93"/>
      <x:c r="W130" s="93"/>
      <x:c r="X130" s="93"/>
      <x:c r="Y130" s="93"/>
      <x:c r="Z130" s="93"/>
      <x:c r="AA130" s="93"/>
      <x:c r="AB130" s="93"/>
      <x:c r="AC130" s="93"/>
      <x:c r="AD130" s="93"/>
      <x:c r="AE130" s="93"/>
      <x:c r="AF130" s="93"/>
      <x:c r="AG130" s="93"/>
      <x:c r="AH130" s="93"/>
      <x:c r="AI130" s="93"/>
      <x:c r="AJ130" s="93"/>
      <x:c r="AK130" s="93"/>
      <x:c r="AL130" s="93"/>
      <x:c r="AM130" s="93"/>
      <x:c r="AN130" s="93"/>
      <x:c r="AO130" s="93"/>
    </x:row>
    <x:row r="131" ht="14.25" customHeight="1">
      <x:c r="A131" s="93"/>
      <x:c r="B131" s="93"/>
      <x:c r="C131" s="93"/>
      <x:c r="D131" s="93"/>
      <x:c r="E131" s="93"/>
      <x:c r="F131" s="93"/>
      <x:c r="G131" s="93"/>
      <x:c r="H131" s="93"/>
      <x:c r="I131" s="93"/>
      <x:c r="J131" s="93"/>
      <x:c r="K131" s="93"/>
      <x:c r="L131" s="93"/>
      <x:c r="M131" s="93"/>
      <x:c r="N131" s="93"/>
      <x:c r="O131" s="93"/>
      <x:c r="P131" s="93"/>
      <x:c r="Q131" s="93"/>
      <x:c r="R131" s="93"/>
      <x:c r="S131" s="93"/>
      <x:c r="T131" s="93"/>
      <x:c r="U131" s="93"/>
      <x:c r="V131" s="93"/>
      <x:c r="W131" s="93"/>
      <x:c r="X131" s="93"/>
      <x:c r="Y131" s="93"/>
      <x:c r="Z131" s="93"/>
      <x:c r="AA131" s="93"/>
      <x:c r="AB131" s="93"/>
      <x:c r="AC131" s="93"/>
      <x:c r="AD131" s="93"/>
      <x:c r="AE131" s="93"/>
      <x:c r="AF131" s="93"/>
      <x:c r="AG131" s="93"/>
      <x:c r="AH131" s="93"/>
      <x:c r="AI131" s="93"/>
      <x:c r="AJ131" s="93"/>
      <x:c r="AK131" s="93"/>
      <x:c r="AL131" s="93"/>
      <x:c r="AM131" s="93"/>
      <x:c r="AN131" s="93"/>
      <x:c r="AO131" s="93"/>
    </x:row>
    <x:row r="132" ht="14.25" customHeight="1">
      <x:c r="A132" s="93"/>
      <x:c r="B132" s="93"/>
      <x:c r="C132" s="93"/>
      <x:c r="D132" s="93"/>
      <x:c r="E132" s="93"/>
      <x:c r="F132" s="93"/>
      <x:c r="G132" s="93"/>
      <x:c r="H132" s="93"/>
      <x:c r="I132" s="93"/>
      <x:c r="J132" s="93"/>
      <x:c r="K132" s="93"/>
      <x:c r="L132" s="93"/>
      <x:c r="M132" s="93"/>
      <x:c r="N132" s="93"/>
      <x:c r="O132" s="93"/>
      <x:c r="P132" s="93"/>
      <x:c r="Q132" s="93"/>
      <x:c r="R132" s="93"/>
      <x:c r="S132" s="93"/>
      <x:c r="T132" s="93"/>
      <x:c r="U132" s="93"/>
      <x:c r="V132" s="93"/>
      <x:c r="W132" s="93"/>
      <x:c r="X132" s="93"/>
      <x:c r="Y132" s="93"/>
      <x:c r="Z132" s="93"/>
      <x:c r="AA132" s="93"/>
      <x:c r="AB132" s="93"/>
      <x:c r="AC132" s="93"/>
      <x:c r="AD132" s="93"/>
      <x:c r="AE132" s="93"/>
      <x:c r="AF132" s="93"/>
      <x:c r="AG132" s="93"/>
      <x:c r="AH132" s="93"/>
      <x:c r="AI132" s="93"/>
      <x:c r="AJ132" s="93"/>
      <x:c r="AK132" s="93"/>
      <x:c r="AL132" s="93"/>
      <x:c r="AM132" s="93"/>
      <x:c r="AN132" s="93"/>
      <x:c r="AO132" s="93"/>
    </x:row>
    <x:row r="133" ht="14.25" customHeight="1">
      <x:c r="A133" s="93"/>
      <x:c r="B133" s="93"/>
      <x:c r="C133" s="93"/>
      <x:c r="D133" s="93"/>
      <x:c r="E133" s="93"/>
      <x:c r="F133" s="93"/>
      <x:c r="G133" s="93"/>
      <x:c r="H133" s="93"/>
      <x:c r="I133" s="93"/>
      <x:c r="J133" s="93"/>
      <x:c r="K133" s="93"/>
      <x:c r="L133" s="93"/>
      <x:c r="M133" s="93"/>
      <x:c r="N133" s="93"/>
      <x:c r="O133" s="93"/>
      <x:c r="P133" s="93"/>
      <x:c r="Q133" s="93"/>
      <x:c r="R133" s="93"/>
      <x:c r="S133" s="93"/>
      <x:c r="T133" s="93"/>
      <x:c r="U133" s="93"/>
      <x:c r="V133" s="93"/>
      <x:c r="W133" s="93"/>
      <x:c r="X133" s="93"/>
      <x:c r="Y133" s="93"/>
      <x:c r="Z133" s="93"/>
      <x:c r="AA133" s="93"/>
      <x:c r="AB133" s="93"/>
      <x:c r="AC133" s="93"/>
      <x:c r="AD133" s="93"/>
      <x:c r="AE133" s="93"/>
      <x:c r="AF133" s="93"/>
      <x:c r="AG133" s="93"/>
      <x:c r="AH133" s="93"/>
      <x:c r="AI133" s="93"/>
      <x:c r="AJ133" s="93"/>
      <x:c r="AK133" s="93"/>
      <x:c r="AL133" s="93"/>
      <x:c r="AM133" s="93"/>
      <x:c r="AN133" s="93"/>
      <x:c r="AO133" s="93"/>
    </x:row>
    <x:row r="134" ht="14.25" customHeight="1">
      <x:c r="A134" s="93"/>
      <x:c r="B134" s="93"/>
      <x:c r="C134" s="93"/>
      <x:c r="D134" s="93"/>
      <x:c r="E134" s="93"/>
      <x:c r="F134" s="93"/>
      <x:c r="G134" s="93"/>
      <x:c r="H134" s="93"/>
      <x:c r="I134" s="93"/>
      <x:c r="J134" s="93"/>
      <x:c r="K134" s="93"/>
      <x:c r="L134" s="93"/>
      <x:c r="M134" s="93"/>
      <x:c r="N134" s="93"/>
      <x:c r="O134" s="93"/>
      <x:c r="P134" s="93"/>
      <x:c r="Q134" s="93"/>
      <x:c r="R134" s="93"/>
      <x:c r="S134" s="93"/>
      <x:c r="T134" s="93"/>
      <x:c r="U134" s="93"/>
      <x:c r="V134" s="93"/>
      <x:c r="W134" s="93"/>
      <x:c r="X134" s="93"/>
      <x:c r="Y134" s="93"/>
      <x:c r="Z134" s="93"/>
      <x:c r="AA134" s="93"/>
      <x:c r="AB134" s="93"/>
      <x:c r="AC134" s="93"/>
      <x:c r="AD134" s="93"/>
      <x:c r="AE134" s="93"/>
      <x:c r="AF134" s="93"/>
      <x:c r="AG134" s="93"/>
      <x:c r="AH134" s="93"/>
      <x:c r="AI134" s="93"/>
      <x:c r="AJ134" s="93"/>
      <x:c r="AK134" s="93"/>
      <x:c r="AL134" s="93"/>
      <x:c r="AM134" s="93"/>
      <x:c r="AN134" s="93"/>
      <x:c r="AO134" s="93"/>
    </x:row>
    <x:row r="135" ht="14.25" customHeight="1">
      <x:c r="A135" s="93"/>
      <x:c r="B135" s="93"/>
      <x:c r="C135" s="93"/>
      <x:c r="D135" s="93"/>
      <x:c r="E135" s="93"/>
      <x:c r="F135" s="93"/>
      <x:c r="G135" s="93"/>
      <x:c r="H135" s="93"/>
      <x:c r="I135" s="93"/>
      <x:c r="J135" s="93"/>
      <x:c r="K135" s="93"/>
      <x:c r="L135" s="93"/>
      <x:c r="M135" s="93"/>
      <x:c r="N135" s="93"/>
      <x:c r="O135" s="93"/>
      <x:c r="P135" s="93"/>
      <x:c r="Q135" s="93"/>
      <x:c r="R135" s="93"/>
      <x:c r="S135" s="93"/>
      <x:c r="T135" s="93"/>
      <x:c r="U135" s="93"/>
      <x:c r="V135" s="93"/>
      <x:c r="W135" s="93"/>
      <x:c r="X135" s="93"/>
      <x:c r="Y135" s="93"/>
      <x:c r="Z135" s="93"/>
      <x:c r="AA135" s="93"/>
      <x:c r="AB135" s="93"/>
      <x:c r="AC135" s="93"/>
      <x:c r="AD135" s="93"/>
      <x:c r="AE135" s="93"/>
      <x:c r="AF135" s="93"/>
      <x:c r="AG135" s="93"/>
      <x:c r="AH135" s="93"/>
      <x:c r="AI135" s="93"/>
      <x:c r="AJ135" s="93"/>
      <x:c r="AK135" s="93"/>
      <x:c r="AL135" s="93"/>
      <x:c r="AM135" s="93"/>
      <x:c r="AN135" s="93"/>
      <x:c r="AO135" s="93"/>
    </x:row>
    <x:row r="136" ht="14.25" customHeight="1">
      <x:c r="A136" s="93"/>
      <x:c r="B136" s="93"/>
      <x:c r="C136" s="93"/>
      <x:c r="D136" s="93"/>
      <x:c r="E136" s="93"/>
      <x:c r="F136" s="93"/>
      <x:c r="G136" s="93"/>
      <x:c r="H136" s="93"/>
      <x:c r="I136" s="93"/>
      <x:c r="J136" s="93"/>
      <x:c r="K136" s="93"/>
      <x:c r="L136" s="93"/>
      <x:c r="M136" s="93"/>
      <x:c r="N136" s="93"/>
      <x:c r="O136" s="93"/>
      <x:c r="P136" s="93"/>
      <x:c r="Q136" s="93"/>
      <x:c r="R136" s="93"/>
      <x:c r="S136" s="93"/>
      <x:c r="T136" s="93"/>
      <x:c r="U136" s="93"/>
      <x:c r="V136" s="93"/>
      <x:c r="W136" s="93"/>
      <x:c r="X136" s="93"/>
      <x:c r="Y136" s="93"/>
      <x:c r="Z136" s="93"/>
      <x:c r="AA136" s="93"/>
      <x:c r="AB136" s="93"/>
      <x:c r="AC136" s="93"/>
      <x:c r="AD136" s="93"/>
      <x:c r="AE136" s="93"/>
      <x:c r="AF136" s="93"/>
      <x:c r="AG136" s="93"/>
      <x:c r="AH136" s="93"/>
      <x:c r="AI136" s="93"/>
      <x:c r="AJ136" s="93"/>
      <x:c r="AK136" s="93"/>
      <x:c r="AL136" s="93"/>
      <x:c r="AM136" s="93"/>
      <x:c r="AN136" s="93"/>
      <x:c r="AO136" s="93"/>
    </x:row>
    <x:row r="137" ht="14.25" customHeight="1">
      <x:c r="A137" s="93"/>
      <x:c r="B137" s="93"/>
      <x:c r="C137" s="93"/>
      <x:c r="D137" s="93"/>
      <x:c r="E137" s="93"/>
      <x:c r="F137" s="93"/>
      <x:c r="G137" s="93"/>
      <x:c r="H137" s="93"/>
      <x:c r="I137" s="93"/>
      <x:c r="J137" s="93"/>
      <x:c r="K137" s="93"/>
      <x:c r="L137" s="93"/>
      <x:c r="M137" s="93"/>
      <x:c r="N137" s="93"/>
      <x:c r="O137" s="93"/>
      <x:c r="P137" s="93"/>
      <x:c r="Q137" s="93"/>
      <x:c r="R137" s="93"/>
      <x:c r="S137" s="93"/>
      <x:c r="T137" s="93"/>
      <x:c r="U137" s="93"/>
      <x:c r="V137" s="93"/>
      <x:c r="W137" s="93"/>
      <x:c r="X137" s="93"/>
      <x:c r="Y137" s="93"/>
      <x:c r="Z137" s="93"/>
      <x:c r="AA137" s="93"/>
      <x:c r="AB137" s="93"/>
      <x:c r="AC137" s="93"/>
      <x:c r="AD137" s="93"/>
      <x:c r="AE137" s="93"/>
      <x:c r="AF137" s="93"/>
      <x:c r="AG137" s="93"/>
      <x:c r="AH137" s="93"/>
      <x:c r="AI137" s="93"/>
      <x:c r="AJ137" s="93"/>
      <x:c r="AK137" s="93"/>
      <x:c r="AL137" s="93"/>
      <x:c r="AM137" s="93"/>
      <x:c r="AN137" s="93"/>
      <x:c r="AO137" s="93"/>
    </x:row>
    <x:row r="138" ht="14.25" customHeight="1">
      <x:c r="A138" s="93"/>
      <x:c r="B138" s="93"/>
      <x:c r="C138" s="93"/>
      <x:c r="D138" s="93"/>
      <x:c r="E138" s="93"/>
      <x:c r="F138" s="93"/>
      <x:c r="G138" s="93"/>
      <x:c r="H138" s="93"/>
      <x:c r="I138" s="93"/>
      <x:c r="J138" s="93"/>
      <x:c r="K138" s="93"/>
      <x:c r="L138" s="93"/>
      <x:c r="M138" s="93"/>
      <x:c r="N138" s="93"/>
      <x:c r="O138" s="93"/>
      <x:c r="P138" s="93"/>
      <x:c r="Q138" s="93"/>
      <x:c r="R138" s="93"/>
      <x:c r="S138" s="93"/>
      <x:c r="T138" s="93"/>
      <x:c r="U138" s="93"/>
      <x:c r="V138" s="93"/>
      <x:c r="W138" s="93"/>
      <x:c r="X138" s="93"/>
      <x:c r="Y138" s="93"/>
      <x:c r="Z138" s="93"/>
      <x:c r="AA138" s="93"/>
      <x:c r="AB138" s="93"/>
      <x:c r="AC138" s="93"/>
      <x:c r="AD138" s="93"/>
      <x:c r="AE138" s="93"/>
      <x:c r="AF138" s="93"/>
      <x:c r="AG138" s="93"/>
      <x:c r="AH138" s="93"/>
      <x:c r="AI138" s="93"/>
      <x:c r="AJ138" s="93"/>
      <x:c r="AK138" s="93"/>
      <x:c r="AL138" s="93"/>
      <x:c r="AM138" s="93"/>
      <x:c r="AN138" s="93"/>
      <x:c r="AO138" s="93"/>
    </x:row>
    <x:row r="139" ht="14.25" customHeight="1">
      <x:c r="A139" s="93"/>
      <x:c r="B139" s="93"/>
      <x:c r="C139" s="93"/>
      <x:c r="D139" s="93"/>
      <x:c r="E139" s="93"/>
      <x:c r="F139" s="93"/>
      <x:c r="G139" s="93"/>
      <x:c r="H139" s="93"/>
      <x:c r="I139" s="93"/>
      <x:c r="J139" s="93"/>
      <x:c r="K139" s="93"/>
      <x:c r="L139" s="93"/>
      <x:c r="M139" s="93"/>
      <x:c r="N139" s="93"/>
      <x:c r="O139" s="93"/>
      <x:c r="P139" s="93"/>
      <x:c r="Q139" s="93"/>
      <x:c r="R139" s="93"/>
      <x:c r="S139" s="93"/>
      <x:c r="T139" s="93"/>
      <x:c r="U139" s="93"/>
      <x:c r="V139" s="93"/>
      <x:c r="W139" s="93"/>
      <x:c r="X139" s="93"/>
      <x:c r="Y139" s="93"/>
      <x:c r="Z139" s="93"/>
      <x:c r="AA139" s="93"/>
      <x:c r="AB139" s="93"/>
      <x:c r="AC139" s="93"/>
      <x:c r="AD139" s="93"/>
      <x:c r="AE139" s="93"/>
      <x:c r="AF139" s="93"/>
      <x:c r="AG139" s="93"/>
      <x:c r="AH139" s="93"/>
      <x:c r="AI139" s="93"/>
      <x:c r="AJ139" s="93"/>
      <x:c r="AK139" s="93"/>
      <x:c r="AL139" s="93"/>
      <x:c r="AM139" s="93"/>
      <x:c r="AN139" s="93"/>
      <x:c r="AO139" s="93"/>
    </x:row>
    <x:row r="140" ht="14.25" customHeight="1">
      <x:c r="A140" s="93"/>
      <x:c r="B140" s="93"/>
      <x:c r="C140" s="93"/>
      <x:c r="D140" s="93"/>
      <x:c r="E140" s="93"/>
      <x:c r="F140" s="93"/>
      <x:c r="G140" s="93"/>
      <x:c r="H140" s="93"/>
      <x:c r="I140" s="93"/>
      <x:c r="J140" s="93"/>
      <x:c r="K140" s="93"/>
      <x:c r="L140" s="93"/>
      <x:c r="M140" s="93"/>
      <x:c r="N140" s="93"/>
      <x:c r="O140" s="93"/>
      <x:c r="P140" s="93"/>
      <x:c r="Q140" s="93"/>
      <x:c r="R140" s="93"/>
      <x:c r="S140" s="93"/>
      <x:c r="T140" s="93"/>
      <x:c r="U140" s="93"/>
      <x:c r="V140" s="93"/>
      <x:c r="W140" s="93"/>
      <x:c r="X140" s="93"/>
      <x:c r="Y140" s="93"/>
      <x:c r="Z140" s="93"/>
      <x:c r="AA140" s="93"/>
      <x:c r="AB140" s="93"/>
      <x:c r="AC140" s="93"/>
      <x:c r="AD140" s="93"/>
      <x:c r="AE140" s="93"/>
      <x:c r="AF140" s="93"/>
      <x:c r="AG140" s="93"/>
      <x:c r="AH140" s="93"/>
      <x:c r="AI140" s="93"/>
      <x:c r="AJ140" s="93"/>
      <x:c r="AK140" s="93"/>
      <x:c r="AL140" s="93"/>
      <x:c r="AM140" s="93"/>
      <x:c r="AN140" s="93"/>
      <x:c r="AO140" s="93"/>
    </x:row>
    <x:row r="141" ht="14.25" customHeight="1">
      <x:c r="A141" s="93"/>
      <x:c r="B141" s="93"/>
      <x:c r="C141" s="93"/>
      <x:c r="D141" s="93"/>
      <x:c r="E141" s="93"/>
      <x:c r="F141" s="93"/>
      <x:c r="G141" s="93"/>
      <x:c r="H141" s="93"/>
      <x:c r="I141" s="93"/>
      <x:c r="J141" s="93"/>
      <x:c r="K141" s="93"/>
      <x:c r="L141" s="93"/>
      <x:c r="M141" s="93"/>
      <x:c r="N141" s="93"/>
      <x:c r="O141" s="93"/>
      <x:c r="P141" s="93"/>
      <x:c r="Q141" s="93"/>
      <x:c r="R141" s="93"/>
      <x:c r="S141" s="93"/>
      <x:c r="T141" s="93"/>
      <x:c r="U141" s="93"/>
      <x:c r="V141" s="93"/>
      <x:c r="W141" s="93"/>
      <x:c r="X141" s="93"/>
      <x:c r="Y141" s="93"/>
      <x:c r="Z141" s="93"/>
      <x:c r="AA141" s="93"/>
      <x:c r="AB141" s="93"/>
      <x:c r="AC141" s="93"/>
      <x:c r="AD141" s="93"/>
      <x:c r="AE141" s="93"/>
      <x:c r="AF141" s="93"/>
      <x:c r="AG141" s="93"/>
      <x:c r="AH141" s="93"/>
      <x:c r="AI141" s="93"/>
      <x:c r="AJ141" s="93"/>
      <x:c r="AK141" s="93"/>
      <x:c r="AL141" s="93"/>
      <x:c r="AM141" s="93"/>
      <x:c r="AN141" s="93"/>
      <x:c r="AO141" s="93"/>
    </x:row>
    <x:row r="142" ht="14.25" customHeight="1">
      <x:c r="A142" s="93"/>
      <x:c r="B142" s="93"/>
      <x:c r="C142" s="93"/>
      <x:c r="D142" s="93"/>
      <x:c r="E142" s="93"/>
      <x:c r="F142" s="93"/>
      <x:c r="G142" s="93"/>
      <x:c r="H142" s="93"/>
      <x:c r="I142" s="93"/>
      <x:c r="J142" s="93"/>
      <x:c r="K142" s="93"/>
      <x:c r="L142" s="93"/>
      <x:c r="M142" s="93"/>
      <x:c r="N142" s="93"/>
      <x:c r="O142" s="93"/>
      <x:c r="P142" s="93"/>
      <x:c r="Q142" s="93"/>
      <x:c r="R142" s="93"/>
      <x:c r="S142" s="93"/>
      <x:c r="T142" s="93"/>
      <x:c r="U142" s="93"/>
      <x:c r="V142" s="93"/>
      <x:c r="W142" s="93"/>
      <x:c r="X142" s="93"/>
      <x:c r="Y142" s="93"/>
      <x:c r="Z142" s="93"/>
      <x:c r="AA142" s="93"/>
      <x:c r="AB142" s="93"/>
      <x:c r="AC142" s="93"/>
      <x:c r="AD142" s="93"/>
      <x:c r="AE142" s="93"/>
      <x:c r="AF142" s="93"/>
      <x:c r="AG142" s="93"/>
      <x:c r="AH142" s="93"/>
      <x:c r="AI142" s="93"/>
      <x:c r="AJ142" s="93"/>
      <x:c r="AK142" s="93"/>
      <x:c r="AL142" s="93"/>
      <x:c r="AM142" s="93"/>
      <x:c r="AN142" s="93"/>
      <x:c r="AO142" s="93"/>
    </x:row>
    <x:row r="143" ht="14.25" customHeight="1">
      <x:c r="A143" s="93"/>
      <x:c r="B143" s="93"/>
      <x:c r="C143" s="93"/>
      <x:c r="D143" s="93"/>
      <x:c r="E143" s="93"/>
      <x:c r="F143" s="93"/>
      <x:c r="G143" s="93"/>
      <x:c r="H143" s="93"/>
      <x:c r="I143" s="93"/>
      <x:c r="J143" s="93"/>
      <x:c r="K143" s="93"/>
      <x:c r="L143" s="93"/>
      <x:c r="M143" s="93"/>
      <x:c r="N143" s="93"/>
      <x:c r="O143" s="93"/>
      <x:c r="P143" s="93"/>
      <x:c r="Q143" s="93"/>
      <x:c r="R143" s="93"/>
      <x:c r="S143" s="93"/>
      <x:c r="T143" s="93"/>
      <x:c r="U143" s="93"/>
      <x:c r="V143" s="93"/>
      <x:c r="W143" s="93"/>
      <x:c r="X143" s="93"/>
      <x:c r="Y143" s="93"/>
      <x:c r="Z143" s="93"/>
      <x:c r="AA143" s="93"/>
      <x:c r="AB143" s="93"/>
      <x:c r="AC143" s="93"/>
      <x:c r="AD143" s="93"/>
      <x:c r="AE143" s="93"/>
      <x:c r="AF143" s="93"/>
      <x:c r="AG143" s="93"/>
      <x:c r="AH143" s="93"/>
      <x:c r="AI143" s="93"/>
      <x:c r="AJ143" s="93"/>
      <x:c r="AK143" s="93"/>
      <x:c r="AL143" s="93"/>
      <x:c r="AM143" s="93"/>
      <x:c r="AN143" s="93"/>
      <x:c r="AO143" s="93"/>
    </x:row>
    <x:row r="144" ht="14.25" customHeight="1">
      <x:c r="A144" s="93"/>
      <x:c r="B144" s="93"/>
      <x:c r="C144" s="93"/>
      <x:c r="D144" s="93"/>
      <x:c r="E144" s="93"/>
      <x:c r="F144" s="93"/>
      <x:c r="G144" s="93"/>
      <x:c r="H144" s="93"/>
      <x:c r="I144" s="93"/>
      <x:c r="J144" s="93"/>
      <x:c r="K144" s="93"/>
      <x:c r="L144" s="93"/>
      <x:c r="M144" s="93"/>
      <x:c r="N144" s="93"/>
      <x:c r="O144" s="93"/>
      <x:c r="P144" s="93"/>
      <x:c r="Q144" s="93"/>
      <x:c r="R144" s="93"/>
      <x:c r="S144" s="93"/>
      <x:c r="T144" s="93"/>
      <x:c r="U144" s="93"/>
      <x:c r="V144" s="93"/>
      <x:c r="W144" s="93"/>
      <x:c r="X144" s="93"/>
      <x:c r="Y144" s="93"/>
      <x:c r="Z144" s="93"/>
      <x:c r="AA144" s="93"/>
      <x:c r="AB144" s="93"/>
      <x:c r="AC144" s="93"/>
      <x:c r="AD144" s="93"/>
      <x:c r="AE144" s="93"/>
      <x:c r="AF144" s="93"/>
      <x:c r="AG144" s="93"/>
      <x:c r="AH144" s="93"/>
      <x:c r="AI144" s="93"/>
      <x:c r="AJ144" s="93"/>
      <x:c r="AK144" s="93"/>
      <x:c r="AL144" s="93"/>
      <x:c r="AM144" s="93"/>
      <x:c r="AN144" s="93"/>
      <x:c r="AO144" s="93"/>
    </x:row>
    <x:row r="145" ht="14.25" customHeight="1">
      <x:c r="A145" s="93"/>
      <x:c r="B145" s="93"/>
      <x:c r="C145" s="93"/>
      <x:c r="D145" s="93"/>
      <x:c r="E145" s="93"/>
      <x:c r="F145" s="93"/>
      <x:c r="G145" s="93"/>
      <x:c r="H145" s="93"/>
      <x:c r="I145" s="93"/>
      <x:c r="J145" s="93"/>
      <x:c r="K145" s="93"/>
      <x:c r="L145" s="93"/>
      <x:c r="M145" s="93"/>
      <x:c r="N145" s="93"/>
      <x:c r="O145" s="93"/>
      <x:c r="P145" s="93"/>
      <x:c r="Q145" s="93"/>
      <x:c r="R145" s="93"/>
      <x:c r="S145" s="93"/>
      <x:c r="T145" s="93"/>
      <x:c r="U145" s="93"/>
      <x:c r="V145" s="93"/>
      <x:c r="W145" s="93"/>
      <x:c r="X145" s="93"/>
      <x:c r="Y145" s="93"/>
      <x:c r="Z145" s="93"/>
      <x:c r="AA145" s="93"/>
      <x:c r="AB145" s="93"/>
      <x:c r="AC145" s="93"/>
      <x:c r="AD145" s="93"/>
      <x:c r="AE145" s="93"/>
      <x:c r="AF145" s="93"/>
      <x:c r="AG145" s="93"/>
      <x:c r="AH145" s="93"/>
      <x:c r="AI145" s="93"/>
      <x:c r="AJ145" s="93"/>
      <x:c r="AK145" s="93"/>
      <x:c r="AL145" s="93"/>
      <x:c r="AM145" s="93"/>
      <x:c r="AN145" s="93"/>
      <x:c r="AO145" s="93"/>
    </x:row>
    <x:row r="146" ht="14.25" customHeight="1">
      <x:c r="A146" s="93"/>
      <x:c r="B146" s="93"/>
      <x:c r="C146" s="93"/>
      <x:c r="D146" s="93"/>
      <x:c r="E146" s="93"/>
      <x:c r="F146" s="93"/>
      <x:c r="G146" s="93"/>
      <x:c r="H146" s="93"/>
      <x:c r="I146" s="93"/>
      <x:c r="J146" s="93"/>
      <x:c r="K146" s="93"/>
      <x:c r="L146" s="93"/>
      <x:c r="M146" s="93"/>
      <x:c r="N146" s="93"/>
      <x:c r="O146" s="93"/>
      <x:c r="P146" s="93"/>
      <x:c r="Q146" s="93"/>
      <x:c r="R146" s="93"/>
      <x:c r="S146" s="93"/>
      <x:c r="T146" s="93"/>
      <x:c r="U146" s="93"/>
      <x:c r="V146" s="93"/>
      <x:c r="W146" s="93"/>
      <x:c r="X146" s="93"/>
      <x:c r="Y146" s="93"/>
      <x:c r="Z146" s="93"/>
      <x:c r="AA146" s="93"/>
      <x:c r="AB146" s="93"/>
      <x:c r="AC146" s="93"/>
      <x:c r="AD146" s="93"/>
      <x:c r="AE146" s="93"/>
      <x:c r="AF146" s="93"/>
      <x:c r="AG146" s="93"/>
      <x:c r="AH146" s="93"/>
      <x:c r="AI146" s="93"/>
      <x:c r="AJ146" s="93"/>
      <x:c r="AK146" s="93"/>
      <x:c r="AL146" s="93"/>
      <x:c r="AM146" s="93"/>
      <x:c r="AN146" s="93"/>
      <x:c r="AO146" s="93"/>
    </x:row>
    <x:row r="147" ht="14.25" customHeight="1">
      <x:c r="A147" s="93"/>
      <x:c r="B147" s="93"/>
      <x:c r="C147" s="93"/>
      <x:c r="D147" s="93"/>
      <x:c r="E147" s="93"/>
      <x:c r="F147" s="93"/>
      <x:c r="G147" s="93"/>
      <x:c r="H147" s="93"/>
      <x:c r="I147" s="93"/>
      <x:c r="J147" s="93"/>
      <x:c r="K147" s="93"/>
      <x:c r="L147" s="93"/>
      <x:c r="M147" s="93"/>
      <x:c r="N147" s="93"/>
      <x:c r="O147" s="93"/>
      <x:c r="P147" s="93"/>
      <x:c r="Q147" s="93"/>
      <x:c r="R147" s="93"/>
      <x:c r="S147" s="93"/>
      <x:c r="T147" s="93"/>
      <x:c r="U147" s="93"/>
      <x:c r="V147" s="93"/>
      <x:c r="W147" s="93"/>
      <x:c r="X147" s="93"/>
      <x:c r="Y147" s="93"/>
      <x:c r="Z147" s="93"/>
      <x:c r="AA147" s="93"/>
      <x:c r="AB147" s="93"/>
      <x:c r="AC147" s="93"/>
      <x:c r="AD147" s="93"/>
      <x:c r="AE147" s="93"/>
      <x:c r="AF147" s="93"/>
      <x:c r="AG147" s="93"/>
      <x:c r="AH147" s="93"/>
      <x:c r="AI147" s="93"/>
      <x:c r="AJ147" s="93"/>
      <x:c r="AK147" s="93"/>
      <x:c r="AL147" s="93"/>
      <x:c r="AM147" s="93"/>
      <x:c r="AN147" s="93"/>
      <x:c r="AO147" s="93"/>
    </x:row>
    <x:row r="148" ht="14.25" customHeight="1">
      <x:c r="A148" s="93"/>
      <x:c r="B148" s="93"/>
      <x:c r="C148" s="93"/>
      <x:c r="D148" s="93"/>
      <x:c r="E148" s="93"/>
      <x:c r="F148" s="93"/>
      <x:c r="G148" s="93"/>
      <x:c r="H148" s="93"/>
      <x:c r="I148" s="93"/>
      <x:c r="J148" s="93"/>
      <x:c r="K148" s="93"/>
      <x:c r="L148" s="93"/>
      <x:c r="M148" s="93"/>
      <x:c r="N148" s="93"/>
      <x:c r="O148" s="93"/>
      <x:c r="P148" s="93"/>
      <x:c r="Q148" s="93"/>
      <x:c r="R148" s="93"/>
      <x:c r="S148" s="93"/>
      <x:c r="T148" s="93"/>
      <x:c r="U148" s="93"/>
      <x:c r="V148" s="93"/>
      <x:c r="W148" s="93"/>
      <x:c r="X148" s="93"/>
      <x:c r="Y148" s="93"/>
      <x:c r="Z148" s="93"/>
      <x:c r="AA148" s="93"/>
      <x:c r="AB148" s="93"/>
      <x:c r="AC148" s="93"/>
      <x:c r="AD148" s="93"/>
      <x:c r="AE148" s="93"/>
      <x:c r="AF148" s="93"/>
      <x:c r="AG148" s="93"/>
      <x:c r="AH148" s="93"/>
      <x:c r="AI148" s="93"/>
      <x:c r="AJ148" s="93"/>
      <x:c r="AK148" s="93"/>
      <x:c r="AL148" s="93"/>
      <x:c r="AM148" s="93"/>
      <x:c r="AN148" s="93"/>
      <x:c r="AO148" s="93"/>
    </x:row>
    <x:row r="149" ht="14.25" customHeight="1">
      <x:c r="A149" s="93"/>
      <x:c r="B149" s="93"/>
      <x:c r="C149" s="93"/>
      <x:c r="D149" s="93"/>
      <x:c r="E149" s="93"/>
      <x:c r="F149" s="93"/>
      <x:c r="G149" s="93"/>
      <x:c r="H149" s="93"/>
      <x:c r="I149" s="93"/>
      <x:c r="J149" s="93"/>
      <x:c r="K149" s="93"/>
      <x:c r="L149" s="93"/>
      <x:c r="M149" s="93"/>
      <x:c r="N149" s="93"/>
      <x:c r="O149" s="93"/>
      <x:c r="P149" s="93"/>
      <x:c r="Q149" s="93"/>
      <x:c r="R149" s="93"/>
      <x:c r="S149" s="93"/>
      <x:c r="T149" s="93"/>
      <x:c r="U149" s="93"/>
      <x:c r="V149" s="93"/>
      <x:c r="W149" s="93"/>
      <x:c r="X149" s="93"/>
      <x:c r="Y149" s="93"/>
      <x:c r="Z149" s="93"/>
      <x:c r="AA149" s="93"/>
      <x:c r="AB149" s="93"/>
      <x:c r="AC149" s="93"/>
      <x:c r="AD149" s="93"/>
      <x:c r="AE149" s="93"/>
      <x:c r="AF149" s="93"/>
      <x:c r="AG149" s="93"/>
      <x:c r="AH149" s="93"/>
      <x:c r="AI149" s="93"/>
      <x:c r="AJ149" s="93"/>
      <x:c r="AK149" s="93"/>
      <x:c r="AL149" s="93"/>
      <x:c r="AM149" s="93"/>
      <x:c r="AN149" s="93"/>
      <x:c r="AO149" s="93"/>
    </x:row>
    <x:row r="150" ht="14.25" customHeight="1">
      <x:c r="A150" s="93"/>
      <x:c r="B150" s="93"/>
      <x:c r="C150" s="93"/>
      <x:c r="D150" s="93"/>
      <x:c r="E150" s="93"/>
      <x:c r="F150" s="93"/>
      <x:c r="G150" s="93"/>
      <x:c r="H150" s="93"/>
      <x:c r="I150" s="93"/>
      <x:c r="J150" s="93"/>
      <x:c r="K150" s="93"/>
      <x:c r="L150" s="93"/>
      <x:c r="M150" s="93"/>
      <x:c r="N150" s="93"/>
      <x:c r="O150" s="93"/>
      <x:c r="P150" s="93"/>
      <x:c r="Q150" s="93"/>
      <x:c r="R150" s="93"/>
      <x:c r="S150" s="93"/>
      <x:c r="T150" s="93"/>
      <x:c r="U150" s="93"/>
      <x:c r="V150" s="93"/>
      <x:c r="W150" s="93"/>
      <x:c r="X150" s="93"/>
      <x:c r="Y150" s="93"/>
      <x:c r="Z150" s="93"/>
      <x:c r="AA150" s="93"/>
      <x:c r="AB150" s="93"/>
      <x:c r="AC150" s="93"/>
      <x:c r="AD150" s="93"/>
      <x:c r="AE150" s="93"/>
      <x:c r="AF150" s="93"/>
      <x:c r="AG150" s="93"/>
      <x:c r="AH150" s="93"/>
      <x:c r="AI150" s="93"/>
      <x:c r="AJ150" s="93"/>
      <x:c r="AK150" s="93"/>
      <x:c r="AL150" s="93"/>
      <x:c r="AM150" s="93"/>
      <x:c r="AN150" s="93"/>
      <x:c r="AO150" s="93"/>
    </x:row>
    <x:row r="151" ht="14.25" customHeight="1">
      <x:c r="A151" s="93"/>
      <x:c r="B151" s="93"/>
      <x:c r="C151" s="93"/>
      <x:c r="D151" s="93"/>
      <x:c r="E151" s="93"/>
      <x:c r="F151" s="93"/>
      <x:c r="G151" s="93"/>
      <x:c r="H151" s="93"/>
      <x:c r="I151" s="93"/>
      <x:c r="J151" s="93"/>
      <x:c r="K151" s="93"/>
      <x:c r="L151" s="93"/>
      <x:c r="M151" s="93"/>
      <x:c r="N151" s="93"/>
      <x:c r="O151" s="93"/>
      <x:c r="P151" s="93"/>
      <x:c r="Q151" s="93"/>
      <x:c r="R151" s="93"/>
      <x:c r="S151" s="93"/>
      <x:c r="T151" s="93"/>
      <x:c r="U151" s="93"/>
      <x:c r="V151" s="93"/>
      <x:c r="W151" s="93"/>
      <x:c r="X151" s="93"/>
      <x:c r="Y151" s="93"/>
      <x:c r="Z151" s="93"/>
      <x:c r="AA151" s="93"/>
      <x:c r="AB151" s="93"/>
      <x:c r="AC151" s="93"/>
      <x:c r="AD151" s="93"/>
      <x:c r="AE151" s="93"/>
      <x:c r="AF151" s="93"/>
      <x:c r="AG151" s="93"/>
      <x:c r="AH151" s="93"/>
      <x:c r="AI151" s="93"/>
      <x:c r="AJ151" s="93"/>
      <x:c r="AK151" s="93"/>
      <x:c r="AL151" s="93"/>
      <x:c r="AM151" s="93"/>
      <x:c r="AN151" s="93"/>
      <x:c r="AO151" s="93"/>
    </x:row>
    <x:row r="152" ht="14.25" customHeight="1">
      <x:c r="A152" s="93"/>
      <x:c r="B152" s="93"/>
      <x:c r="C152" s="93"/>
      <x:c r="D152" s="93"/>
      <x:c r="E152" s="93"/>
      <x:c r="F152" s="93"/>
      <x:c r="G152" s="93"/>
      <x:c r="H152" s="93"/>
      <x:c r="I152" s="93"/>
      <x:c r="J152" s="93"/>
      <x:c r="K152" s="93"/>
      <x:c r="L152" s="93"/>
      <x:c r="M152" s="93"/>
      <x:c r="N152" s="93"/>
      <x:c r="O152" s="93"/>
      <x:c r="P152" s="93"/>
      <x:c r="Q152" s="93"/>
      <x:c r="R152" s="93"/>
      <x:c r="S152" s="93"/>
      <x:c r="T152" s="93"/>
      <x:c r="U152" s="93"/>
      <x:c r="V152" s="93"/>
      <x:c r="W152" s="93"/>
      <x:c r="X152" s="93"/>
      <x:c r="Y152" s="93"/>
      <x:c r="Z152" s="93"/>
      <x:c r="AA152" s="93"/>
      <x:c r="AB152" s="93"/>
      <x:c r="AC152" s="93"/>
      <x:c r="AD152" s="93"/>
      <x:c r="AE152" s="93"/>
      <x:c r="AF152" s="93"/>
      <x:c r="AG152" s="93"/>
      <x:c r="AH152" s="93"/>
      <x:c r="AI152" s="93"/>
      <x:c r="AJ152" s="93"/>
      <x:c r="AK152" s="93"/>
      <x:c r="AL152" s="93"/>
      <x:c r="AM152" s="93"/>
      <x:c r="AN152" s="93"/>
      <x:c r="AO152" s="93"/>
    </x:row>
    <x:row r="153" ht="14.25" customHeight="1">
      <x:c r="A153" s="93"/>
      <x:c r="B153" s="93"/>
      <x:c r="C153" s="93"/>
      <x:c r="D153" s="93"/>
      <x:c r="E153" s="93"/>
      <x:c r="F153" s="93"/>
      <x:c r="G153" s="93"/>
      <x:c r="H153" s="93"/>
      <x:c r="I153" s="93"/>
      <x:c r="J153" s="93"/>
      <x:c r="K153" s="93"/>
      <x:c r="L153" s="93"/>
      <x:c r="M153" s="93"/>
      <x:c r="N153" s="93"/>
      <x:c r="O153" s="93"/>
      <x:c r="P153" s="93"/>
      <x:c r="Q153" s="93"/>
      <x:c r="R153" s="93"/>
      <x:c r="S153" s="93"/>
      <x:c r="T153" s="93"/>
      <x:c r="U153" s="93"/>
      <x:c r="V153" s="93"/>
      <x:c r="W153" s="93"/>
      <x:c r="X153" s="93"/>
      <x:c r="Y153" s="93"/>
      <x:c r="Z153" s="93"/>
      <x:c r="AA153" s="93"/>
      <x:c r="AB153" s="93"/>
      <x:c r="AC153" s="93"/>
      <x:c r="AD153" s="93"/>
      <x:c r="AE153" s="93"/>
      <x:c r="AF153" s="93"/>
      <x:c r="AG153" s="93"/>
      <x:c r="AH153" s="93"/>
      <x:c r="AI153" s="93"/>
      <x:c r="AJ153" s="93"/>
      <x:c r="AK153" s="93"/>
      <x:c r="AL153" s="93"/>
      <x:c r="AM153" s="93"/>
      <x:c r="AN153" s="93"/>
      <x:c r="AO153" s="93"/>
    </x:row>
    <x:row r="154" ht="14.25" customHeight="1">
      <x:c r="A154" s="93"/>
      <x:c r="B154" s="93"/>
      <x:c r="C154" s="93"/>
      <x:c r="D154" s="93"/>
      <x:c r="E154" s="93"/>
      <x:c r="F154" s="93"/>
      <x:c r="G154" s="93"/>
      <x:c r="H154" s="93"/>
      <x:c r="I154" s="93"/>
      <x:c r="J154" s="93"/>
      <x:c r="K154" s="93"/>
      <x:c r="L154" s="93"/>
      <x:c r="M154" s="93"/>
      <x:c r="N154" s="93"/>
      <x:c r="O154" s="93"/>
      <x:c r="P154" s="93"/>
      <x:c r="Q154" s="93"/>
      <x:c r="R154" s="93"/>
      <x:c r="S154" s="93"/>
      <x:c r="T154" s="93"/>
      <x:c r="U154" s="93"/>
      <x:c r="V154" s="93"/>
      <x:c r="W154" s="93"/>
      <x:c r="X154" s="93"/>
      <x:c r="Y154" s="93"/>
      <x:c r="Z154" s="93"/>
      <x:c r="AA154" s="93"/>
      <x:c r="AB154" s="93"/>
      <x:c r="AC154" s="93"/>
      <x:c r="AD154" s="93"/>
      <x:c r="AE154" s="93"/>
      <x:c r="AF154" s="93"/>
      <x:c r="AG154" s="93"/>
      <x:c r="AH154" s="93"/>
      <x:c r="AI154" s="93"/>
      <x:c r="AJ154" s="93"/>
      <x:c r="AK154" s="93"/>
      <x:c r="AL154" s="93"/>
      <x:c r="AM154" s="93"/>
      <x:c r="AN154" s="93"/>
      <x:c r="AO154" s="93"/>
    </x:row>
    <x:row r="155" ht="14.25" customHeight="1">
      <x:c r="A155" s="93"/>
      <x:c r="B155" s="93"/>
      <x:c r="C155" s="93"/>
      <x:c r="D155" s="93"/>
      <x:c r="E155" s="93"/>
      <x:c r="F155" s="93"/>
      <x:c r="G155" s="93"/>
      <x:c r="H155" s="93"/>
      <x:c r="I155" s="93"/>
      <x:c r="J155" s="93"/>
      <x:c r="K155" s="93"/>
      <x:c r="L155" s="93"/>
      <x:c r="M155" s="93"/>
      <x:c r="N155" s="93"/>
      <x:c r="O155" s="93"/>
      <x:c r="P155" s="93"/>
      <x:c r="Q155" s="93"/>
      <x:c r="R155" s="93"/>
      <x:c r="S155" s="93"/>
      <x:c r="T155" s="93"/>
      <x:c r="U155" s="93"/>
      <x:c r="V155" s="93"/>
      <x:c r="W155" s="93"/>
      <x:c r="X155" s="93"/>
      <x:c r="Y155" s="93"/>
      <x:c r="Z155" s="93"/>
      <x:c r="AA155" s="93"/>
      <x:c r="AB155" s="93"/>
      <x:c r="AC155" s="93"/>
      <x:c r="AD155" s="93"/>
      <x:c r="AE155" s="93"/>
      <x:c r="AF155" s="93"/>
      <x:c r="AG155" s="93"/>
      <x:c r="AH155" s="93"/>
      <x:c r="AI155" s="93"/>
      <x:c r="AJ155" s="93"/>
      <x:c r="AK155" s="93"/>
      <x:c r="AL155" s="93"/>
      <x:c r="AM155" s="93"/>
      <x:c r="AN155" s="93"/>
      <x:c r="AO155" s="93"/>
    </x:row>
    <x:row r="156" ht="14.25" customHeight="1">
      <x:c r="A156" s="93"/>
      <x:c r="B156" s="93"/>
      <x:c r="C156" s="93"/>
      <x:c r="D156" s="93"/>
      <x:c r="E156" s="93"/>
      <x:c r="F156" s="93"/>
      <x:c r="G156" s="93"/>
      <x:c r="H156" s="93"/>
      <x:c r="I156" s="93"/>
      <x:c r="J156" s="93"/>
      <x:c r="K156" s="93"/>
      <x:c r="L156" s="93"/>
      <x:c r="M156" s="93"/>
      <x:c r="N156" s="93"/>
      <x:c r="O156" s="93"/>
      <x:c r="P156" s="93"/>
      <x:c r="Q156" s="93"/>
      <x:c r="R156" s="93"/>
      <x:c r="S156" s="93"/>
      <x:c r="T156" s="93"/>
      <x:c r="U156" s="93"/>
      <x:c r="V156" s="93"/>
      <x:c r="W156" s="93"/>
      <x:c r="X156" s="93"/>
      <x:c r="Y156" s="93"/>
      <x:c r="Z156" s="93"/>
      <x:c r="AA156" s="93"/>
      <x:c r="AB156" s="93"/>
      <x:c r="AC156" s="93"/>
      <x:c r="AD156" s="93"/>
      <x:c r="AE156" s="93"/>
      <x:c r="AF156" s="93"/>
      <x:c r="AG156" s="93"/>
      <x:c r="AH156" s="93"/>
      <x:c r="AI156" s="93"/>
      <x:c r="AJ156" s="93"/>
      <x:c r="AK156" s="93"/>
      <x:c r="AL156" s="93"/>
      <x:c r="AM156" s="93"/>
      <x:c r="AN156" s="93"/>
      <x:c r="AO156" s="93"/>
    </x:row>
    <x:row r="157" ht="14.25" customHeight="1">
      <x:c r="A157" s="93"/>
      <x:c r="B157" s="93"/>
      <x:c r="C157" s="93"/>
      <x:c r="D157" s="93"/>
      <x:c r="E157" s="93"/>
      <x:c r="F157" s="93"/>
      <x:c r="G157" s="93"/>
      <x:c r="H157" s="93"/>
      <x:c r="I157" s="93"/>
      <x:c r="J157" s="93"/>
      <x:c r="K157" s="93"/>
      <x:c r="L157" s="93"/>
      <x:c r="M157" s="93"/>
      <x:c r="N157" s="93"/>
      <x:c r="O157" s="93"/>
      <x:c r="P157" s="93"/>
      <x:c r="Q157" s="93"/>
      <x:c r="R157" s="93"/>
      <x:c r="S157" s="93"/>
      <x:c r="T157" s="93"/>
      <x:c r="U157" s="93"/>
      <x:c r="V157" s="93"/>
      <x:c r="W157" s="93"/>
      <x:c r="X157" s="93"/>
      <x:c r="Y157" s="93"/>
      <x:c r="Z157" s="93"/>
      <x:c r="AA157" s="93"/>
      <x:c r="AB157" s="93"/>
      <x:c r="AC157" s="93"/>
      <x:c r="AD157" s="93"/>
      <x:c r="AE157" s="93"/>
      <x:c r="AF157" s="93"/>
      <x:c r="AG157" s="93"/>
      <x:c r="AH157" s="93"/>
      <x:c r="AI157" s="93"/>
      <x:c r="AJ157" s="93"/>
      <x:c r="AK157" s="93"/>
      <x:c r="AL157" s="93"/>
      <x:c r="AM157" s="93"/>
      <x:c r="AN157" s="93"/>
      <x:c r="AO157" s="93"/>
    </x:row>
    <x:row r="158" ht="14.25" customHeight="1">
      <x:c r="A158" s="93"/>
      <x:c r="B158" s="93"/>
      <x:c r="C158" s="93"/>
      <x:c r="D158" s="93"/>
      <x:c r="E158" s="93"/>
      <x:c r="F158" s="93"/>
      <x:c r="G158" s="93"/>
      <x:c r="H158" s="93"/>
      <x:c r="I158" s="93"/>
      <x:c r="J158" s="93"/>
      <x:c r="K158" s="93"/>
      <x:c r="L158" s="93"/>
      <x:c r="M158" s="93"/>
      <x:c r="N158" s="93"/>
      <x:c r="O158" s="93"/>
      <x:c r="P158" s="93"/>
      <x:c r="Q158" s="93"/>
      <x:c r="R158" s="93"/>
      <x:c r="S158" s="93"/>
      <x:c r="T158" s="93"/>
      <x:c r="U158" s="93"/>
      <x:c r="V158" s="93"/>
      <x:c r="W158" s="93"/>
      <x:c r="X158" s="93"/>
      <x:c r="Y158" s="93"/>
      <x:c r="Z158" s="93"/>
      <x:c r="AA158" s="93"/>
      <x:c r="AB158" s="93"/>
      <x:c r="AC158" s="93"/>
      <x:c r="AD158" s="93"/>
      <x:c r="AE158" s="93"/>
      <x:c r="AF158" s="93"/>
      <x:c r="AG158" s="93"/>
      <x:c r="AH158" s="93"/>
      <x:c r="AI158" s="93"/>
      <x:c r="AJ158" s="93"/>
      <x:c r="AK158" s="93"/>
      <x:c r="AL158" s="93"/>
      <x:c r="AM158" s="93"/>
      <x:c r="AN158" s="93"/>
      <x:c r="AO158" s="93"/>
    </x:row>
    <x:row r="159" ht="14.25" customHeight="1">
      <x:c r="A159" s="93"/>
      <x:c r="B159" s="93"/>
      <x:c r="C159" s="93"/>
      <x:c r="D159" s="93"/>
      <x:c r="E159" s="93"/>
      <x:c r="F159" s="93"/>
      <x:c r="G159" s="93"/>
      <x:c r="H159" s="93"/>
      <x:c r="I159" s="93"/>
      <x:c r="J159" s="93"/>
      <x:c r="K159" s="93"/>
      <x:c r="L159" s="93"/>
      <x:c r="M159" s="93"/>
      <x:c r="N159" s="93"/>
      <x:c r="O159" s="93"/>
      <x:c r="P159" s="93"/>
      <x:c r="Q159" s="93"/>
      <x:c r="R159" s="93"/>
      <x:c r="S159" s="93"/>
      <x:c r="T159" s="93"/>
      <x:c r="U159" s="93"/>
      <x:c r="V159" s="93"/>
      <x:c r="W159" s="93"/>
      <x:c r="X159" s="93"/>
      <x:c r="Y159" s="93"/>
      <x:c r="Z159" s="93"/>
      <x:c r="AA159" s="93"/>
      <x:c r="AB159" s="93"/>
      <x:c r="AC159" s="93"/>
      <x:c r="AD159" s="93"/>
      <x:c r="AE159" s="93"/>
      <x:c r="AF159" s="93"/>
      <x:c r="AG159" s="93"/>
      <x:c r="AH159" s="93"/>
      <x:c r="AI159" s="93"/>
      <x:c r="AJ159" s="93"/>
      <x:c r="AK159" s="93"/>
      <x:c r="AL159" s="93"/>
      <x:c r="AM159" s="93"/>
      <x:c r="AN159" s="93"/>
      <x:c r="AO159" s="93"/>
    </x:row>
    <x:row r="160" ht="14.25" customHeight="1">
      <x:c r="A160" s="93"/>
      <x:c r="B160" s="93"/>
      <x:c r="C160" s="93"/>
      <x:c r="D160" s="93"/>
      <x:c r="E160" s="93"/>
      <x:c r="F160" s="93"/>
      <x:c r="G160" s="93"/>
      <x:c r="H160" s="93"/>
      <x:c r="I160" s="93"/>
      <x:c r="J160" s="93"/>
      <x:c r="K160" s="93"/>
      <x:c r="L160" s="93"/>
      <x:c r="M160" s="93"/>
      <x:c r="N160" s="93"/>
      <x:c r="O160" s="93"/>
      <x:c r="P160" s="93"/>
      <x:c r="Q160" s="93"/>
      <x:c r="R160" s="93"/>
      <x:c r="S160" s="93"/>
      <x:c r="T160" s="93"/>
      <x:c r="U160" s="93"/>
      <x:c r="V160" s="93"/>
      <x:c r="W160" s="93"/>
      <x:c r="X160" s="93"/>
      <x:c r="Y160" s="93"/>
      <x:c r="Z160" s="93"/>
      <x:c r="AA160" s="93"/>
      <x:c r="AB160" s="93"/>
      <x:c r="AC160" s="93"/>
      <x:c r="AD160" s="93"/>
      <x:c r="AE160" s="93"/>
      <x:c r="AF160" s="93"/>
      <x:c r="AG160" s="93"/>
      <x:c r="AH160" s="93"/>
      <x:c r="AI160" s="93"/>
      <x:c r="AJ160" s="93"/>
      <x:c r="AK160" s="93"/>
      <x:c r="AL160" s="93"/>
      <x:c r="AM160" s="93"/>
      <x:c r="AN160" s="93"/>
      <x:c r="AO160" s="93"/>
    </x:row>
    <x:row r="161" ht="14.25" customHeight="1">
      <x:c r="A161" s="93"/>
      <x:c r="B161" s="93"/>
      <x:c r="C161" s="93"/>
      <x:c r="D161" s="93"/>
      <x:c r="E161" s="93"/>
      <x:c r="F161" s="93"/>
      <x:c r="G161" s="93"/>
      <x:c r="H161" s="93"/>
      <x:c r="I161" s="93"/>
      <x:c r="J161" s="93"/>
      <x:c r="K161" s="93"/>
      <x:c r="L161" s="93"/>
      <x:c r="M161" s="93"/>
      <x:c r="N161" s="93"/>
      <x:c r="O161" s="93"/>
      <x:c r="P161" s="93"/>
      <x:c r="Q161" s="93"/>
      <x:c r="R161" s="93"/>
      <x:c r="S161" s="93"/>
      <x:c r="T161" s="93"/>
      <x:c r="U161" s="93"/>
      <x:c r="V161" s="93"/>
      <x:c r="W161" s="93"/>
      <x:c r="X161" s="93"/>
      <x:c r="Y161" s="93"/>
      <x:c r="Z161" s="93"/>
      <x:c r="AA161" s="93"/>
      <x:c r="AB161" s="93"/>
      <x:c r="AC161" s="93"/>
      <x:c r="AD161" s="93"/>
      <x:c r="AE161" s="93"/>
      <x:c r="AF161" s="93"/>
      <x:c r="AG161" s="93"/>
      <x:c r="AH161" s="93"/>
      <x:c r="AI161" s="93"/>
      <x:c r="AJ161" s="93"/>
      <x:c r="AK161" s="93"/>
      <x:c r="AL161" s="93"/>
      <x:c r="AM161" s="93"/>
      <x:c r="AN161" s="93"/>
      <x:c r="AO161" s="93"/>
    </x:row>
    <x:row r="162" ht="14.25" customHeight="1">
      <x:c r="A162" s="93"/>
      <x:c r="B162" s="93"/>
      <x:c r="C162" s="93"/>
      <x:c r="D162" s="93"/>
      <x:c r="E162" s="93"/>
      <x:c r="F162" s="93"/>
      <x:c r="G162" s="93"/>
      <x:c r="H162" s="93"/>
      <x:c r="I162" s="93"/>
      <x:c r="J162" s="93"/>
      <x:c r="K162" s="93"/>
      <x:c r="L162" s="93"/>
      <x:c r="M162" s="93"/>
      <x:c r="N162" s="93"/>
      <x:c r="O162" s="93"/>
      <x:c r="P162" s="93"/>
      <x:c r="Q162" s="93"/>
      <x:c r="R162" s="93"/>
      <x:c r="S162" s="93"/>
      <x:c r="T162" s="93"/>
      <x:c r="U162" s="93"/>
      <x:c r="V162" s="93"/>
      <x:c r="W162" s="93"/>
      <x:c r="X162" s="93"/>
      <x:c r="Y162" s="93"/>
      <x:c r="Z162" s="93"/>
      <x:c r="AA162" s="93"/>
      <x:c r="AB162" s="93"/>
      <x:c r="AC162" s="93"/>
      <x:c r="AD162" s="93"/>
      <x:c r="AE162" s="93"/>
      <x:c r="AF162" s="93"/>
      <x:c r="AG162" s="93"/>
      <x:c r="AH162" s="93"/>
      <x:c r="AI162" s="93"/>
      <x:c r="AJ162" s="93"/>
      <x:c r="AK162" s="93"/>
      <x:c r="AL162" s="93"/>
      <x:c r="AM162" s="93"/>
      <x:c r="AN162" s="93"/>
      <x:c r="AO162" s="93"/>
    </x:row>
    <x:row r="163" ht="14.25" customHeight="1">
      <x:c r="A163" s="93"/>
      <x:c r="B163" s="93"/>
      <x:c r="C163" s="93"/>
      <x:c r="D163" s="93"/>
      <x:c r="E163" s="93"/>
      <x:c r="F163" s="93"/>
      <x:c r="G163" s="93"/>
      <x:c r="H163" s="93"/>
      <x:c r="I163" s="93"/>
      <x:c r="J163" s="93"/>
      <x:c r="K163" s="93"/>
      <x:c r="L163" s="93"/>
      <x:c r="M163" s="93"/>
      <x:c r="N163" s="93"/>
      <x:c r="O163" s="93"/>
      <x:c r="P163" s="93"/>
      <x:c r="Q163" s="93"/>
      <x:c r="R163" s="93"/>
      <x:c r="S163" s="93"/>
      <x:c r="T163" s="93"/>
      <x:c r="U163" s="93"/>
      <x:c r="V163" s="93"/>
      <x:c r="W163" s="93"/>
      <x:c r="X163" s="93"/>
      <x:c r="Y163" s="93"/>
      <x:c r="Z163" s="93"/>
      <x:c r="AA163" s="93"/>
      <x:c r="AB163" s="93"/>
      <x:c r="AC163" s="93"/>
      <x:c r="AD163" s="93"/>
      <x:c r="AE163" s="93"/>
      <x:c r="AF163" s="93"/>
      <x:c r="AG163" s="93"/>
      <x:c r="AH163" s="93"/>
      <x:c r="AI163" s="93"/>
      <x:c r="AJ163" s="93"/>
      <x:c r="AK163" s="93"/>
      <x:c r="AL163" s="93"/>
      <x:c r="AM163" s="93"/>
      <x:c r="AN163" s="93"/>
      <x:c r="AO163" s="93"/>
    </x:row>
    <x:row r="164" ht="14.25" customHeight="1">
      <x:c r="A164" s="93"/>
      <x:c r="B164" s="93"/>
      <x:c r="C164" s="93"/>
      <x:c r="D164" s="93"/>
      <x:c r="E164" s="93"/>
      <x:c r="F164" s="93"/>
      <x:c r="G164" s="93"/>
      <x:c r="H164" s="93"/>
      <x:c r="I164" s="93"/>
      <x:c r="J164" s="93"/>
      <x:c r="K164" s="93"/>
      <x:c r="L164" s="93"/>
      <x:c r="M164" s="93"/>
      <x:c r="N164" s="93"/>
      <x:c r="O164" s="93"/>
      <x:c r="P164" s="93"/>
      <x:c r="Q164" s="93"/>
      <x:c r="R164" s="93"/>
      <x:c r="S164" s="93"/>
      <x:c r="T164" s="93"/>
      <x:c r="U164" s="93"/>
      <x:c r="V164" s="93"/>
      <x:c r="W164" s="93"/>
      <x:c r="X164" s="93"/>
      <x:c r="Y164" s="93"/>
      <x:c r="Z164" s="93"/>
      <x:c r="AA164" s="93"/>
      <x:c r="AB164" s="93"/>
      <x:c r="AC164" s="93"/>
      <x:c r="AD164" s="93"/>
      <x:c r="AE164" s="93"/>
      <x:c r="AF164" s="93"/>
      <x:c r="AG164" s="93"/>
      <x:c r="AH164" s="93"/>
      <x:c r="AI164" s="93"/>
      <x:c r="AJ164" s="93"/>
      <x:c r="AK164" s="93"/>
      <x:c r="AL164" s="93"/>
      <x:c r="AM164" s="93"/>
      <x:c r="AN164" s="93"/>
      <x:c r="AO164" s="93"/>
    </x:row>
    <x:row r="165" ht="14.25" customHeight="1">
      <x:c r="A165" s="93"/>
      <x:c r="B165" s="93"/>
      <x:c r="C165" s="93"/>
      <x:c r="D165" s="93"/>
      <x:c r="E165" s="93"/>
      <x:c r="F165" s="93"/>
      <x:c r="G165" s="93"/>
      <x:c r="H165" s="93"/>
      <x:c r="I165" s="93"/>
      <x:c r="J165" s="93"/>
      <x:c r="K165" s="93"/>
      <x:c r="L165" s="93"/>
      <x:c r="M165" s="93"/>
      <x:c r="N165" s="93"/>
      <x:c r="O165" s="93"/>
      <x:c r="P165" s="93"/>
      <x:c r="Q165" s="93"/>
      <x:c r="R165" s="93"/>
      <x:c r="S165" s="93"/>
      <x:c r="T165" s="93"/>
      <x:c r="U165" s="93"/>
      <x:c r="V165" s="93"/>
      <x:c r="W165" s="93"/>
      <x:c r="X165" s="93"/>
      <x:c r="Y165" s="93"/>
      <x:c r="Z165" s="93"/>
      <x:c r="AA165" s="93"/>
      <x:c r="AB165" s="93"/>
      <x:c r="AC165" s="93"/>
      <x:c r="AD165" s="93"/>
      <x:c r="AE165" s="93"/>
      <x:c r="AF165" s="93"/>
      <x:c r="AG165" s="93"/>
      <x:c r="AH165" s="93"/>
      <x:c r="AI165" s="93"/>
      <x:c r="AJ165" s="93"/>
      <x:c r="AK165" s="93"/>
      <x:c r="AL165" s="93"/>
      <x:c r="AM165" s="93"/>
      <x:c r="AN165" s="93"/>
      <x:c r="AO165" s="93"/>
    </x:row>
    <x:row r="166" ht="14.25" customHeight="1">
      <x:c r="A166" s="93"/>
      <x:c r="B166" s="93"/>
      <x:c r="C166" s="93"/>
      <x:c r="D166" s="93"/>
      <x:c r="E166" s="93"/>
      <x:c r="F166" s="93"/>
      <x:c r="G166" s="93"/>
      <x:c r="H166" s="93"/>
      <x:c r="I166" s="93"/>
      <x:c r="J166" s="93"/>
      <x:c r="K166" s="93"/>
      <x:c r="L166" s="93"/>
      <x:c r="M166" s="93"/>
      <x:c r="N166" s="93"/>
      <x:c r="O166" s="93"/>
      <x:c r="P166" s="93"/>
      <x:c r="Q166" s="93"/>
      <x:c r="R166" s="93"/>
      <x:c r="S166" s="93"/>
      <x:c r="T166" s="93"/>
      <x:c r="U166" s="93"/>
      <x:c r="V166" s="93"/>
      <x:c r="W166" s="93"/>
      <x:c r="X166" s="93"/>
      <x:c r="Y166" s="93"/>
      <x:c r="Z166" s="93"/>
      <x:c r="AA166" s="93"/>
      <x:c r="AB166" s="93"/>
      <x:c r="AC166" s="93"/>
      <x:c r="AD166" s="93"/>
      <x:c r="AE166" s="93"/>
      <x:c r="AF166" s="93"/>
      <x:c r="AG166" s="93"/>
      <x:c r="AH166" s="93"/>
      <x:c r="AI166" s="93"/>
      <x:c r="AJ166" s="93"/>
      <x:c r="AK166" s="93"/>
      <x:c r="AL166" s="93"/>
      <x:c r="AM166" s="93"/>
      <x:c r="AN166" s="93"/>
      <x:c r="AO166" s="93"/>
    </x:row>
    <x:row r="167" ht="14.25" customHeight="1">
      <x:c r="A167" s="93"/>
      <x:c r="B167" s="93"/>
      <x:c r="C167" s="93"/>
      <x:c r="D167" s="93"/>
      <x:c r="E167" s="93"/>
      <x:c r="F167" s="93"/>
      <x:c r="G167" s="93"/>
      <x:c r="H167" s="93"/>
      <x:c r="I167" s="93"/>
      <x:c r="J167" s="93"/>
      <x:c r="K167" s="93"/>
      <x:c r="L167" s="93"/>
      <x:c r="M167" s="93"/>
      <x:c r="N167" s="93"/>
      <x:c r="O167" s="93"/>
      <x:c r="P167" s="93"/>
      <x:c r="Q167" s="93"/>
      <x:c r="R167" s="93"/>
      <x:c r="S167" s="93"/>
      <x:c r="T167" s="93"/>
      <x:c r="U167" s="93"/>
      <x:c r="V167" s="93"/>
      <x:c r="W167" s="93"/>
      <x:c r="X167" s="93"/>
      <x:c r="Y167" s="93"/>
      <x:c r="Z167" s="93"/>
      <x:c r="AA167" s="93"/>
      <x:c r="AB167" s="93"/>
      <x:c r="AC167" s="93"/>
      <x:c r="AD167" s="93"/>
      <x:c r="AE167" s="93"/>
      <x:c r="AF167" s="93"/>
      <x:c r="AG167" s="93"/>
      <x:c r="AH167" s="93"/>
      <x:c r="AI167" s="93"/>
      <x:c r="AJ167" s="93"/>
      <x:c r="AK167" s="93"/>
      <x:c r="AL167" s="93"/>
      <x:c r="AM167" s="93"/>
      <x:c r="AN167" s="93"/>
      <x:c r="AO167" s="93"/>
    </x:row>
    <x:row r="168" ht="14.25" customHeight="1">
      <x:c r="A168" s="93"/>
      <x:c r="B168" s="93"/>
      <x:c r="C168" s="93"/>
      <x:c r="D168" s="93"/>
      <x:c r="E168" s="93"/>
      <x:c r="F168" s="93"/>
      <x:c r="G168" s="93"/>
      <x:c r="H168" s="93"/>
      <x:c r="I168" s="93"/>
      <x:c r="J168" s="93"/>
      <x:c r="K168" s="93"/>
      <x:c r="L168" s="93"/>
      <x:c r="M168" s="93"/>
      <x:c r="N168" s="93"/>
      <x:c r="O168" s="93"/>
      <x:c r="P168" s="93"/>
      <x:c r="Q168" s="93"/>
      <x:c r="R168" s="93"/>
      <x:c r="S168" s="93"/>
      <x:c r="T168" s="93"/>
      <x:c r="U168" s="93"/>
      <x:c r="V168" s="93"/>
      <x:c r="W168" s="93"/>
      <x:c r="X168" s="93"/>
      <x:c r="Y168" s="93"/>
      <x:c r="Z168" s="93"/>
      <x:c r="AA168" s="93"/>
      <x:c r="AB168" s="93"/>
      <x:c r="AC168" s="93"/>
      <x:c r="AD168" s="93"/>
      <x:c r="AE168" s="93"/>
      <x:c r="AF168" s="93"/>
      <x:c r="AG168" s="93"/>
      <x:c r="AH168" s="93"/>
      <x:c r="AI168" s="93"/>
      <x:c r="AJ168" s="93"/>
      <x:c r="AK168" s="93"/>
      <x:c r="AL168" s="93"/>
      <x:c r="AM168" s="93"/>
      <x:c r="AN168" s="93"/>
      <x:c r="AO168" s="93"/>
    </x:row>
    <x:row r="169" ht="14.25" customHeight="1">
      <x:c r="A169" s="93"/>
      <x:c r="B169" s="93"/>
      <x:c r="C169" s="93"/>
      <x:c r="D169" s="93"/>
      <x:c r="E169" s="93"/>
      <x:c r="F169" s="93"/>
      <x:c r="G169" s="93"/>
      <x:c r="H169" s="93"/>
      <x:c r="I169" s="93"/>
      <x:c r="J169" s="93"/>
      <x:c r="K169" s="93"/>
      <x:c r="L169" s="93"/>
      <x:c r="M169" s="93"/>
      <x:c r="N169" s="93"/>
      <x:c r="O169" s="93"/>
      <x:c r="P169" s="93"/>
      <x:c r="Q169" s="93"/>
      <x:c r="R169" s="93"/>
      <x:c r="S169" s="93"/>
      <x:c r="T169" s="93"/>
      <x:c r="U169" s="93"/>
      <x:c r="V169" s="93"/>
      <x:c r="W169" s="93"/>
      <x:c r="X169" s="93"/>
      <x:c r="Y169" s="93"/>
      <x:c r="Z169" s="93"/>
      <x:c r="AA169" s="93"/>
      <x:c r="AB169" s="93"/>
      <x:c r="AC169" s="93"/>
      <x:c r="AD169" s="93"/>
      <x:c r="AE169" s="93"/>
      <x:c r="AF169" s="93"/>
      <x:c r="AG169" s="93"/>
      <x:c r="AH169" s="93"/>
      <x:c r="AI169" s="93"/>
      <x:c r="AJ169" s="93"/>
      <x:c r="AK169" s="93"/>
      <x:c r="AL169" s="93"/>
      <x:c r="AM169" s="93"/>
      <x:c r="AN169" s="93"/>
      <x:c r="AO169" s="93"/>
    </x:row>
    <x:row r="170" ht="14.25" customHeight="1">
      <x:c r="A170" s="93"/>
      <x:c r="B170" s="93"/>
      <x:c r="C170" s="93"/>
      <x:c r="D170" s="93"/>
      <x:c r="E170" s="93"/>
      <x:c r="F170" s="93"/>
      <x:c r="G170" s="93"/>
      <x:c r="H170" s="93"/>
      <x:c r="I170" s="93"/>
      <x:c r="J170" s="93"/>
      <x:c r="K170" s="93"/>
      <x:c r="L170" s="93"/>
      <x:c r="M170" s="93"/>
      <x:c r="N170" s="93"/>
      <x:c r="O170" s="93"/>
      <x:c r="P170" s="93"/>
      <x:c r="Q170" s="93"/>
      <x:c r="R170" s="93"/>
      <x:c r="S170" s="93"/>
      <x:c r="T170" s="93"/>
      <x:c r="U170" s="93"/>
      <x:c r="V170" s="93"/>
      <x:c r="W170" s="93"/>
      <x:c r="X170" s="93"/>
      <x:c r="Y170" s="93"/>
      <x:c r="Z170" s="93"/>
      <x:c r="AA170" s="93"/>
      <x:c r="AB170" s="93"/>
      <x:c r="AC170" s="93"/>
      <x:c r="AD170" s="93"/>
      <x:c r="AE170" s="93"/>
      <x:c r="AF170" s="93"/>
      <x:c r="AG170" s="93"/>
      <x:c r="AH170" s="93"/>
      <x:c r="AI170" s="93"/>
      <x:c r="AJ170" s="93"/>
      <x:c r="AK170" s="93"/>
      <x:c r="AL170" s="93"/>
      <x:c r="AM170" s="93"/>
      <x:c r="AN170" s="93"/>
      <x:c r="AO170" s="93"/>
    </x:row>
    <x:row r="171" ht="14.25" customHeight="1">
      <x:c r="A171" s="93"/>
      <x:c r="B171" s="93"/>
      <x:c r="C171" s="93"/>
      <x:c r="D171" s="93"/>
      <x:c r="E171" s="93"/>
      <x:c r="F171" s="93"/>
      <x:c r="G171" s="93"/>
      <x:c r="H171" s="93"/>
      <x:c r="I171" s="93"/>
      <x:c r="J171" s="93"/>
      <x:c r="K171" s="93"/>
      <x:c r="L171" s="93"/>
      <x:c r="M171" s="93"/>
      <x:c r="N171" s="93"/>
      <x:c r="O171" s="93"/>
      <x:c r="P171" s="93"/>
      <x:c r="Q171" s="93"/>
      <x:c r="R171" s="93"/>
      <x:c r="S171" s="93"/>
      <x:c r="T171" s="93"/>
      <x:c r="U171" s="93"/>
      <x:c r="V171" s="93"/>
      <x:c r="W171" s="93"/>
      <x:c r="X171" s="93"/>
      <x:c r="Y171" s="93"/>
      <x:c r="Z171" s="93"/>
      <x:c r="AA171" s="93"/>
      <x:c r="AB171" s="93"/>
      <x:c r="AC171" s="93"/>
      <x:c r="AD171" s="93"/>
      <x:c r="AE171" s="93"/>
      <x:c r="AF171" s="93"/>
      <x:c r="AG171" s="93"/>
      <x:c r="AH171" s="93"/>
      <x:c r="AI171" s="93"/>
      <x:c r="AJ171" s="93"/>
      <x:c r="AK171" s="93"/>
      <x:c r="AL171" s="93"/>
      <x:c r="AM171" s="93"/>
      <x:c r="AN171" s="93"/>
      <x:c r="AO171" s="93"/>
    </x:row>
    <x:row r="172" ht="14.25" customHeight="1">
      <x:c r="A172" s="93"/>
      <x:c r="B172" s="93"/>
      <x:c r="C172" s="93"/>
      <x:c r="D172" s="93"/>
      <x:c r="E172" s="93"/>
      <x:c r="F172" s="93"/>
      <x:c r="G172" s="93"/>
      <x:c r="H172" s="93"/>
      <x:c r="I172" s="93"/>
      <x:c r="J172" s="93"/>
      <x:c r="K172" s="93"/>
      <x:c r="L172" s="93"/>
      <x:c r="M172" s="93"/>
      <x:c r="N172" s="93"/>
      <x:c r="O172" s="93"/>
      <x:c r="P172" s="93"/>
      <x:c r="Q172" s="93"/>
      <x:c r="R172" s="93"/>
      <x:c r="S172" s="93"/>
      <x:c r="T172" s="93"/>
      <x:c r="U172" s="93"/>
      <x:c r="V172" s="93"/>
      <x:c r="W172" s="93"/>
      <x:c r="X172" s="93"/>
      <x:c r="Y172" s="93"/>
      <x:c r="Z172" s="93"/>
      <x:c r="AA172" s="93"/>
      <x:c r="AB172" s="93"/>
      <x:c r="AC172" s="93"/>
      <x:c r="AD172" s="93"/>
      <x:c r="AE172" s="93"/>
      <x:c r="AF172" s="93"/>
      <x:c r="AG172" s="93"/>
      <x:c r="AH172" s="93"/>
      <x:c r="AI172" s="93"/>
      <x:c r="AJ172" s="93"/>
      <x:c r="AK172" s="93"/>
      <x:c r="AL172" s="93"/>
      <x:c r="AM172" s="93"/>
      <x:c r="AN172" s="93"/>
      <x:c r="AO172" s="93"/>
    </x:row>
    <x:row r="173" ht="14.25" customHeight="1">
      <x:c r="A173" s="93"/>
      <x:c r="B173" s="93"/>
      <x:c r="C173" s="93"/>
      <x:c r="D173" s="93"/>
      <x:c r="E173" s="93"/>
      <x:c r="F173" s="93"/>
      <x:c r="G173" s="93"/>
      <x:c r="H173" s="93"/>
      <x:c r="I173" s="93"/>
      <x:c r="J173" s="93"/>
      <x:c r="K173" s="93"/>
      <x:c r="L173" s="93"/>
      <x:c r="M173" s="93"/>
      <x:c r="N173" s="93"/>
      <x:c r="O173" s="93"/>
      <x:c r="P173" s="93"/>
      <x:c r="Q173" s="93"/>
      <x:c r="R173" s="93"/>
      <x:c r="S173" s="93"/>
      <x:c r="T173" s="93"/>
      <x:c r="U173" s="93"/>
      <x:c r="V173" s="93"/>
      <x:c r="W173" s="93"/>
      <x:c r="X173" s="93"/>
      <x:c r="Y173" s="93"/>
      <x:c r="Z173" s="93"/>
      <x:c r="AA173" s="93"/>
      <x:c r="AB173" s="93"/>
      <x:c r="AC173" s="93"/>
      <x:c r="AD173" s="93"/>
      <x:c r="AE173" s="93"/>
      <x:c r="AF173" s="93"/>
      <x:c r="AG173" s="93"/>
      <x:c r="AH173" s="93"/>
      <x:c r="AI173" s="93"/>
      <x:c r="AJ173" s="93"/>
      <x:c r="AK173" s="93"/>
      <x:c r="AL173" s="93"/>
      <x:c r="AM173" s="93"/>
      <x:c r="AN173" s="93"/>
      <x:c r="AO173" s="93"/>
    </x:row>
    <x:row r="174" ht="14.25" customHeight="1">
      <x:c r="A174" s="93"/>
      <x:c r="B174" s="93"/>
      <x:c r="C174" s="93"/>
      <x:c r="D174" s="93"/>
      <x:c r="E174" s="93"/>
      <x:c r="F174" s="93"/>
      <x:c r="G174" s="93"/>
      <x:c r="H174" s="93"/>
      <x:c r="I174" s="93"/>
      <x:c r="J174" s="93"/>
      <x:c r="K174" s="93"/>
      <x:c r="L174" s="93"/>
      <x:c r="M174" s="93"/>
      <x:c r="N174" s="93"/>
      <x:c r="O174" s="93"/>
      <x:c r="P174" s="93"/>
      <x:c r="Q174" s="93"/>
      <x:c r="R174" s="93"/>
      <x:c r="S174" s="93"/>
      <x:c r="T174" s="93"/>
      <x:c r="U174" s="93"/>
      <x:c r="V174" s="93"/>
      <x:c r="W174" s="93"/>
      <x:c r="X174" s="93"/>
      <x:c r="Y174" s="93"/>
      <x:c r="Z174" s="93"/>
      <x:c r="AA174" s="93"/>
      <x:c r="AB174" s="93"/>
      <x:c r="AC174" s="93"/>
      <x:c r="AD174" s="93"/>
      <x:c r="AE174" s="93"/>
      <x:c r="AF174" s="93"/>
      <x:c r="AG174" s="93"/>
      <x:c r="AH174" s="93"/>
      <x:c r="AI174" s="93"/>
      <x:c r="AJ174" s="93"/>
      <x:c r="AK174" s="93"/>
      <x:c r="AL174" s="93"/>
      <x:c r="AM174" s="93"/>
      <x:c r="AN174" s="93"/>
      <x:c r="AO174" s="93"/>
    </x:row>
    <x:row r="175" ht="14.25" customHeight="1">
      <x:c r="A175" s="93"/>
      <x:c r="B175" s="93"/>
      <x:c r="C175" s="93"/>
      <x:c r="D175" s="93"/>
      <x:c r="E175" s="93"/>
      <x:c r="F175" s="93"/>
      <x:c r="G175" s="93"/>
      <x:c r="H175" s="93"/>
      <x:c r="I175" s="93"/>
      <x:c r="J175" s="93"/>
      <x:c r="K175" s="93"/>
      <x:c r="L175" s="93"/>
      <x:c r="M175" s="93"/>
      <x:c r="N175" s="93"/>
      <x:c r="O175" s="93"/>
      <x:c r="P175" s="93"/>
      <x:c r="Q175" s="93"/>
      <x:c r="R175" s="93"/>
      <x:c r="S175" s="93"/>
      <x:c r="T175" s="93"/>
      <x:c r="U175" s="93"/>
      <x:c r="V175" s="93"/>
      <x:c r="W175" s="93"/>
      <x:c r="X175" s="93"/>
      <x:c r="Y175" s="93"/>
      <x:c r="Z175" s="93"/>
      <x:c r="AA175" s="93"/>
      <x:c r="AB175" s="93"/>
      <x:c r="AC175" s="93"/>
      <x:c r="AD175" s="93"/>
      <x:c r="AE175" s="93"/>
      <x:c r="AF175" s="93"/>
      <x:c r="AG175" s="93"/>
      <x:c r="AH175" s="93"/>
      <x:c r="AI175" s="93"/>
      <x:c r="AJ175" s="93"/>
      <x:c r="AK175" s="93"/>
      <x:c r="AL175" s="93"/>
      <x:c r="AM175" s="93"/>
      <x:c r="AN175" s="93"/>
      <x:c r="AO175" s="93"/>
    </x:row>
    <x:row r="176" ht="14.25" customHeight="1">
      <x:c r="A176" s="93"/>
      <x:c r="B176" s="93"/>
      <x:c r="C176" s="93"/>
      <x:c r="D176" s="93"/>
      <x:c r="E176" s="93"/>
      <x:c r="F176" s="93"/>
      <x:c r="G176" s="93"/>
      <x:c r="H176" s="93"/>
      <x:c r="I176" s="93"/>
      <x:c r="J176" s="93"/>
      <x:c r="K176" s="93"/>
      <x:c r="L176" s="93"/>
      <x:c r="M176" s="93"/>
      <x:c r="N176" s="93"/>
      <x:c r="O176" s="93"/>
      <x:c r="P176" s="93"/>
      <x:c r="Q176" s="93"/>
      <x:c r="R176" s="93"/>
      <x:c r="S176" s="93"/>
      <x:c r="T176" s="93"/>
      <x:c r="U176" s="93"/>
      <x:c r="V176" s="93"/>
      <x:c r="W176" s="93"/>
      <x:c r="X176" s="93"/>
      <x:c r="Y176" s="93"/>
      <x:c r="Z176" s="93"/>
      <x:c r="AA176" s="93"/>
      <x:c r="AB176" s="93"/>
      <x:c r="AC176" s="93"/>
      <x:c r="AD176" s="93"/>
      <x:c r="AE176" s="93"/>
      <x:c r="AF176" s="93"/>
      <x:c r="AG176" s="93"/>
      <x:c r="AH176" s="93"/>
      <x:c r="AI176" s="93"/>
      <x:c r="AJ176" s="93"/>
      <x:c r="AK176" s="93"/>
      <x:c r="AL176" s="93"/>
      <x:c r="AM176" s="93"/>
      <x:c r="AN176" s="93"/>
      <x:c r="AO176" s="93"/>
    </x:row>
    <x:row r="177" ht="14.25" customHeight="1">
      <x:c r="A177" s="93"/>
      <x:c r="B177" s="93"/>
      <x:c r="C177" s="93"/>
      <x:c r="D177" s="93"/>
      <x:c r="E177" s="93"/>
      <x:c r="F177" s="93"/>
      <x:c r="G177" s="93"/>
      <x:c r="H177" s="93"/>
      <x:c r="I177" s="93"/>
      <x:c r="J177" s="93"/>
      <x:c r="K177" s="93"/>
      <x:c r="L177" s="93"/>
      <x:c r="M177" s="93"/>
      <x:c r="N177" s="93"/>
      <x:c r="O177" s="93"/>
      <x:c r="P177" s="93"/>
      <x:c r="Q177" s="93"/>
      <x:c r="R177" s="93"/>
      <x:c r="S177" s="93"/>
      <x:c r="T177" s="93"/>
      <x:c r="U177" s="93"/>
      <x:c r="V177" s="93"/>
      <x:c r="W177" s="93"/>
      <x:c r="X177" s="93"/>
      <x:c r="Y177" s="93"/>
      <x:c r="Z177" s="93"/>
      <x:c r="AA177" s="93"/>
      <x:c r="AB177" s="93"/>
      <x:c r="AC177" s="93"/>
      <x:c r="AD177" s="93"/>
      <x:c r="AE177" s="93"/>
      <x:c r="AF177" s="93"/>
      <x:c r="AG177" s="93"/>
      <x:c r="AH177" s="93"/>
      <x:c r="AI177" s="93"/>
      <x:c r="AJ177" s="93"/>
      <x:c r="AK177" s="93"/>
      <x:c r="AL177" s="93"/>
      <x:c r="AM177" s="93"/>
      <x:c r="AN177" s="93"/>
      <x:c r="AO177" s="93"/>
    </x:row>
    <x:row r="178" ht="14.25" customHeight="1">
      <x:c r="A178" s="93"/>
      <x:c r="B178" s="93"/>
      <x:c r="C178" s="93"/>
      <x:c r="D178" s="93"/>
      <x:c r="E178" s="93"/>
      <x:c r="F178" s="93"/>
      <x:c r="G178" s="93"/>
      <x:c r="H178" s="93"/>
      <x:c r="I178" s="93"/>
      <x:c r="J178" s="93"/>
      <x:c r="K178" s="93"/>
      <x:c r="L178" s="93"/>
      <x:c r="M178" s="93"/>
      <x:c r="N178" s="93"/>
      <x:c r="O178" s="93"/>
      <x:c r="P178" s="93"/>
      <x:c r="Q178" s="93"/>
      <x:c r="R178" s="93"/>
      <x:c r="S178" s="93"/>
      <x:c r="T178" s="93"/>
      <x:c r="U178" s="93"/>
      <x:c r="V178" s="93"/>
      <x:c r="W178" s="93"/>
      <x:c r="X178" s="93"/>
      <x:c r="Y178" s="93"/>
      <x:c r="Z178" s="93"/>
      <x:c r="AA178" s="93"/>
      <x:c r="AB178" s="93"/>
      <x:c r="AC178" s="93"/>
      <x:c r="AD178" s="93"/>
      <x:c r="AE178" s="93"/>
      <x:c r="AF178" s="93"/>
      <x:c r="AG178" s="93"/>
      <x:c r="AH178" s="93"/>
      <x:c r="AI178" s="93"/>
      <x:c r="AJ178" s="93"/>
      <x:c r="AK178" s="93"/>
      <x:c r="AL178" s="93"/>
      <x:c r="AM178" s="93"/>
      <x:c r="AN178" s="93"/>
      <x:c r="AO178" s="93"/>
    </x:row>
    <x:row r="179" ht="14.25" customHeight="1">
      <x:c r="A179" s="93"/>
      <x:c r="B179" s="93"/>
      <x:c r="C179" s="93"/>
      <x:c r="D179" s="93"/>
      <x:c r="E179" s="93"/>
      <x:c r="F179" s="93"/>
      <x:c r="G179" s="93"/>
      <x:c r="H179" s="93"/>
      <x:c r="I179" s="93"/>
      <x:c r="J179" s="93"/>
      <x:c r="K179" s="93"/>
      <x:c r="L179" s="93"/>
      <x:c r="M179" s="93"/>
      <x:c r="N179" s="93"/>
      <x:c r="O179" s="93"/>
      <x:c r="P179" s="93"/>
      <x:c r="Q179" s="93"/>
      <x:c r="R179" s="93"/>
      <x:c r="S179" s="93"/>
      <x:c r="T179" s="93"/>
      <x:c r="U179" s="93"/>
      <x:c r="V179" s="93"/>
      <x:c r="W179" s="93"/>
      <x:c r="X179" s="93"/>
      <x:c r="Y179" s="93"/>
      <x:c r="Z179" s="93"/>
      <x:c r="AA179" s="93"/>
      <x:c r="AB179" s="93"/>
      <x:c r="AC179" s="93"/>
      <x:c r="AD179" s="93"/>
      <x:c r="AE179" s="93"/>
      <x:c r="AF179" s="93"/>
      <x:c r="AG179" s="93"/>
      <x:c r="AH179" s="93"/>
      <x:c r="AI179" s="93"/>
      <x:c r="AJ179" s="93"/>
      <x:c r="AK179" s="93"/>
      <x:c r="AL179" s="93"/>
      <x:c r="AM179" s="93"/>
      <x:c r="AN179" s="93"/>
      <x:c r="AO179" s="93"/>
    </x:row>
    <x:row r="180" ht="14.25" customHeight="1">
      <x:c r="A180" s="93"/>
      <x:c r="B180" s="93"/>
      <x:c r="C180" s="93"/>
      <x:c r="D180" s="93"/>
      <x:c r="E180" s="93"/>
      <x:c r="F180" s="93"/>
      <x:c r="G180" s="93"/>
      <x:c r="H180" s="93"/>
      <x:c r="I180" s="93"/>
      <x:c r="J180" s="93"/>
      <x:c r="K180" s="93"/>
      <x:c r="L180" s="93"/>
      <x:c r="M180" s="93"/>
      <x:c r="N180" s="93"/>
      <x:c r="O180" s="93"/>
      <x:c r="P180" s="93"/>
      <x:c r="Q180" s="93"/>
      <x:c r="R180" s="93"/>
      <x:c r="S180" s="93"/>
      <x:c r="T180" s="93"/>
      <x:c r="U180" s="93"/>
      <x:c r="V180" s="93"/>
      <x:c r="W180" s="93"/>
      <x:c r="X180" s="93"/>
      <x:c r="Y180" s="93"/>
      <x:c r="Z180" s="93"/>
      <x:c r="AA180" s="93"/>
      <x:c r="AB180" s="93"/>
      <x:c r="AC180" s="93"/>
      <x:c r="AD180" s="93"/>
      <x:c r="AE180" s="93"/>
      <x:c r="AF180" s="93"/>
      <x:c r="AG180" s="93"/>
      <x:c r="AH180" s="93"/>
      <x:c r="AI180" s="93"/>
      <x:c r="AJ180" s="93"/>
      <x:c r="AK180" s="93"/>
      <x:c r="AL180" s="93"/>
      <x:c r="AM180" s="93"/>
      <x:c r="AN180" s="93"/>
      <x:c r="AO180" s="93"/>
    </x:row>
    <x:row r="181" ht="14.25" customHeight="1">
      <x:c r="A181" s="93"/>
      <x:c r="B181" s="93"/>
      <x:c r="C181" s="93"/>
      <x:c r="D181" s="93"/>
      <x:c r="E181" s="93"/>
      <x:c r="F181" s="93"/>
      <x:c r="G181" s="93"/>
      <x:c r="H181" s="93"/>
      <x:c r="I181" s="93"/>
      <x:c r="J181" s="93"/>
      <x:c r="K181" s="93"/>
      <x:c r="L181" s="93"/>
      <x:c r="M181" s="93"/>
      <x:c r="N181" s="93"/>
      <x:c r="O181" s="93"/>
      <x:c r="P181" s="93"/>
      <x:c r="Q181" s="93"/>
      <x:c r="R181" s="93"/>
      <x:c r="S181" s="93"/>
      <x:c r="T181" s="93"/>
      <x:c r="U181" s="93"/>
      <x:c r="V181" s="93"/>
      <x:c r="W181" s="93"/>
      <x:c r="X181" s="93"/>
      <x:c r="Y181" s="93"/>
      <x:c r="Z181" s="93"/>
      <x:c r="AA181" s="93"/>
      <x:c r="AB181" s="93"/>
      <x:c r="AC181" s="93"/>
      <x:c r="AD181" s="93"/>
      <x:c r="AE181" s="93"/>
      <x:c r="AF181" s="93"/>
      <x:c r="AG181" s="93"/>
      <x:c r="AH181" s="93"/>
      <x:c r="AI181" s="93"/>
      <x:c r="AJ181" s="93"/>
      <x:c r="AK181" s="93"/>
      <x:c r="AL181" s="93"/>
      <x:c r="AM181" s="93"/>
      <x:c r="AN181" s="93"/>
      <x:c r="AO181" s="93"/>
    </x:row>
    <x:row r="182" ht="14.25" customHeight="1">
      <x:c r="A182" s="93"/>
      <x:c r="B182" s="93"/>
      <x:c r="C182" s="93"/>
      <x:c r="D182" s="93"/>
      <x:c r="E182" s="93"/>
      <x:c r="F182" s="93"/>
      <x:c r="G182" s="93"/>
      <x:c r="H182" s="93"/>
      <x:c r="I182" s="93"/>
      <x:c r="J182" s="93"/>
      <x:c r="K182" s="93"/>
      <x:c r="L182" s="93"/>
      <x:c r="M182" s="93"/>
      <x:c r="N182" s="93"/>
      <x:c r="O182" s="93"/>
      <x:c r="P182" s="93"/>
      <x:c r="Q182" s="93"/>
      <x:c r="R182" s="93"/>
      <x:c r="S182" s="93"/>
      <x:c r="T182" s="93"/>
      <x:c r="U182" s="93"/>
      <x:c r="V182" s="93"/>
      <x:c r="W182" s="93"/>
      <x:c r="X182" s="93"/>
      <x:c r="Y182" s="93"/>
      <x:c r="Z182" s="93"/>
      <x:c r="AA182" s="93"/>
      <x:c r="AB182" s="93"/>
      <x:c r="AC182" s="93"/>
      <x:c r="AD182" s="93"/>
      <x:c r="AE182" s="93"/>
      <x:c r="AF182" s="93"/>
      <x:c r="AG182" s="93"/>
      <x:c r="AH182" s="93"/>
      <x:c r="AI182" s="93"/>
      <x:c r="AJ182" s="93"/>
      <x:c r="AK182" s="93"/>
      <x:c r="AL182" s="93"/>
      <x:c r="AM182" s="93"/>
      <x:c r="AN182" s="93"/>
      <x:c r="AO182" s="93"/>
    </x:row>
    <x:row r="183" ht="14.25" customHeight="1">
      <x:c r="A183" s="93"/>
      <x:c r="B183" s="93"/>
      <x:c r="C183" s="93"/>
      <x:c r="D183" s="93"/>
      <x:c r="E183" s="93"/>
      <x:c r="F183" s="93"/>
      <x:c r="G183" s="93"/>
      <x:c r="H183" s="93"/>
      <x:c r="I183" s="93"/>
      <x:c r="J183" s="93"/>
      <x:c r="K183" s="93"/>
      <x:c r="L183" s="93"/>
      <x:c r="M183" s="93"/>
      <x:c r="N183" s="93"/>
      <x:c r="O183" s="93"/>
      <x:c r="P183" s="93"/>
      <x:c r="Q183" s="93"/>
      <x:c r="R183" s="93"/>
      <x:c r="S183" s="93"/>
      <x:c r="T183" s="93"/>
      <x:c r="U183" s="93"/>
      <x:c r="V183" s="93"/>
      <x:c r="W183" s="93"/>
      <x:c r="X183" s="93"/>
      <x:c r="Y183" s="93"/>
      <x:c r="Z183" s="93"/>
      <x:c r="AA183" s="93"/>
      <x:c r="AB183" s="93"/>
      <x:c r="AC183" s="93"/>
      <x:c r="AD183" s="93"/>
      <x:c r="AE183" s="93"/>
      <x:c r="AF183" s="93"/>
      <x:c r="AG183" s="93"/>
      <x:c r="AH183" s="93"/>
      <x:c r="AI183" s="93"/>
      <x:c r="AJ183" s="93"/>
      <x:c r="AK183" s="93"/>
      <x:c r="AL183" s="93"/>
      <x:c r="AM183" s="93"/>
      <x:c r="AN183" s="93"/>
      <x:c r="AO183" s="93"/>
    </x:row>
    <x:row r="184" ht="14.25" customHeight="1">
      <x:c r="A184" s="93"/>
      <x:c r="B184" s="93"/>
      <x:c r="C184" s="93"/>
      <x:c r="D184" s="93"/>
      <x:c r="E184" s="93"/>
      <x:c r="F184" s="93"/>
      <x:c r="G184" s="93"/>
      <x:c r="H184" s="93"/>
      <x:c r="I184" s="93"/>
      <x:c r="J184" s="93"/>
      <x:c r="K184" s="93"/>
      <x:c r="L184" s="93"/>
      <x:c r="M184" s="93"/>
      <x:c r="N184" s="93"/>
      <x:c r="O184" s="93"/>
      <x:c r="P184" s="93"/>
      <x:c r="Q184" s="93"/>
      <x:c r="R184" s="93"/>
      <x:c r="S184" s="93"/>
      <x:c r="T184" s="93"/>
      <x:c r="U184" s="93"/>
      <x:c r="V184" s="93"/>
      <x:c r="W184" s="93"/>
      <x:c r="X184" s="93"/>
      <x:c r="Y184" s="93"/>
      <x:c r="Z184" s="93"/>
      <x:c r="AA184" s="93"/>
      <x:c r="AB184" s="93"/>
      <x:c r="AC184" s="93"/>
      <x:c r="AD184" s="93"/>
      <x:c r="AE184" s="93"/>
      <x:c r="AF184" s="93"/>
      <x:c r="AG184" s="93"/>
      <x:c r="AH184" s="93"/>
      <x:c r="AI184" s="93"/>
      <x:c r="AJ184" s="93"/>
      <x:c r="AK184" s="93"/>
      <x:c r="AL184" s="93"/>
      <x:c r="AM184" s="93"/>
      <x:c r="AN184" s="93"/>
      <x:c r="AO184" s="93"/>
    </x:row>
    <x:row r="185" ht="14.25" customHeight="1">
      <x:c r="A185" s="93"/>
      <x:c r="B185" s="93"/>
      <x:c r="C185" s="93"/>
      <x:c r="D185" s="93"/>
      <x:c r="E185" s="93"/>
      <x:c r="F185" s="93"/>
      <x:c r="G185" s="93"/>
      <x:c r="H185" s="93"/>
      <x:c r="I185" s="93"/>
      <x:c r="J185" s="93"/>
      <x:c r="K185" s="93"/>
      <x:c r="L185" s="93"/>
      <x:c r="M185" s="93"/>
      <x:c r="N185" s="93"/>
      <x:c r="O185" s="93"/>
      <x:c r="P185" s="93"/>
      <x:c r="Q185" s="93"/>
      <x:c r="R185" s="93"/>
      <x:c r="S185" s="93"/>
      <x:c r="T185" s="93"/>
      <x:c r="U185" s="93"/>
      <x:c r="V185" s="93"/>
      <x:c r="W185" s="93"/>
      <x:c r="X185" s="93"/>
      <x:c r="Y185" s="93"/>
      <x:c r="Z185" s="93"/>
      <x:c r="AA185" s="93"/>
      <x:c r="AB185" s="93"/>
      <x:c r="AC185" s="93"/>
      <x:c r="AD185" s="93"/>
      <x:c r="AE185" s="93"/>
      <x:c r="AF185" s="93"/>
      <x:c r="AG185" s="93"/>
      <x:c r="AH185" s="93"/>
      <x:c r="AI185" s="93"/>
      <x:c r="AJ185" s="93"/>
      <x:c r="AK185" s="93"/>
      <x:c r="AL185" s="93"/>
      <x:c r="AM185" s="93"/>
      <x:c r="AN185" s="93"/>
      <x:c r="AO185" s="93"/>
    </x:row>
    <x:row r="186" ht="14.25" customHeight="1">
      <x:c r="A186" s="93"/>
      <x:c r="B186" s="93"/>
      <x:c r="C186" s="93"/>
      <x:c r="D186" s="93"/>
      <x:c r="E186" s="93"/>
      <x:c r="F186" s="93"/>
      <x:c r="G186" s="93"/>
      <x:c r="H186" s="93"/>
      <x:c r="I186" s="93"/>
      <x:c r="J186" s="93"/>
      <x:c r="K186" s="93"/>
      <x:c r="L186" s="93"/>
      <x:c r="M186" s="93"/>
      <x:c r="N186" s="93"/>
      <x:c r="O186" s="93"/>
      <x:c r="P186" s="93"/>
      <x:c r="Q186" s="93"/>
      <x:c r="R186" s="93"/>
      <x:c r="S186" s="93"/>
      <x:c r="T186" s="93"/>
      <x:c r="U186" s="93"/>
      <x:c r="V186" s="93"/>
      <x:c r="W186" s="93"/>
      <x:c r="X186" s="93"/>
      <x:c r="Y186" s="93"/>
      <x:c r="Z186" s="93"/>
      <x:c r="AA186" s="93"/>
      <x:c r="AB186" s="93"/>
      <x:c r="AC186" s="93"/>
      <x:c r="AD186" s="93"/>
      <x:c r="AE186" s="93"/>
      <x:c r="AF186" s="93"/>
      <x:c r="AG186" s="93"/>
      <x:c r="AH186" s="93"/>
      <x:c r="AI186" s="93"/>
      <x:c r="AJ186" s="93"/>
      <x:c r="AK186" s="93"/>
      <x:c r="AL186" s="93"/>
      <x:c r="AM186" s="93"/>
      <x:c r="AN186" s="93"/>
      <x:c r="AO186" s="93"/>
    </x:row>
    <x:row r="187" ht="14.25" customHeight="1">
      <x:c r="A187" s="93"/>
      <x:c r="B187" s="93"/>
      <x:c r="C187" s="93"/>
      <x:c r="D187" s="93"/>
      <x:c r="E187" s="93"/>
      <x:c r="F187" s="93"/>
      <x:c r="G187" s="93"/>
      <x:c r="H187" s="93"/>
      <x:c r="I187" s="93"/>
      <x:c r="J187" s="93"/>
      <x:c r="K187" s="93"/>
      <x:c r="L187" s="93"/>
      <x:c r="M187" s="93"/>
      <x:c r="N187" s="93"/>
      <x:c r="O187" s="93"/>
      <x:c r="P187" s="93"/>
      <x:c r="Q187" s="93"/>
      <x:c r="R187" s="93"/>
      <x:c r="S187" s="93"/>
      <x:c r="T187" s="93"/>
      <x:c r="U187" s="93"/>
      <x:c r="V187" s="93"/>
      <x:c r="W187" s="93"/>
      <x:c r="X187" s="93"/>
      <x:c r="Y187" s="93"/>
      <x:c r="Z187" s="93"/>
      <x:c r="AA187" s="93"/>
      <x:c r="AB187" s="93"/>
      <x:c r="AC187" s="93"/>
      <x:c r="AD187" s="93"/>
      <x:c r="AE187" s="93"/>
      <x:c r="AF187" s="93"/>
      <x:c r="AG187" s="93"/>
      <x:c r="AH187" s="93"/>
      <x:c r="AI187" s="93"/>
      <x:c r="AJ187" s="93"/>
      <x:c r="AK187" s="93"/>
      <x:c r="AL187" s="93"/>
      <x:c r="AM187" s="93"/>
      <x:c r="AN187" s="93"/>
      <x:c r="AO187" s="93"/>
    </x:row>
    <x:row r="188" ht="14.25" customHeight="1">
      <x:c r="A188" s="93"/>
      <x:c r="B188" s="93"/>
      <x:c r="C188" s="93"/>
      <x:c r="D188" s="93"/>
      <x:c r="E188" s="93"/>
      <x:c r="F188" s="93"/>
      <x:c r="G188" s="93"/>
      <x:c r="H188" s="93"/>
      <x:c r="I188" s="93"/>
      <x:c r="J188" s="93"/>
      <x:c r="K188" s="93"/>
      <x:c r="L188" s="93"/>
      <x:c r="M188" s="93"/>
      <x:c r="N188" s="93"/>
      <x:c r="O188" s="93"/>
      <x:c r="P188" s="93"/>
      <x:c r="Q188" s="93"/>
      <x:c r="R188" s="93"/>
      <x:c r="S188" s="93"/>
      <x:c r="T188" s="93"/>
      <x:c r="U188" s="93"/>
      <x:c r="V188" s="93"/>
      <x:c r="W188" s="93"/>
      <x:c r="X188" s="93"/>
      <x:c r="Y188" s="93"/>
      <x:c r="Z188" s="93"/>
      <x:c r="AA188" s="93"/>
      <x:c r="AB188" s="93"/>
      <x:c r="AC188" s="93"/>
      <x:c r="AD188" s="93"/>
      <x:c r="AE188" s="93"/>
      <x:c r="AF188" s="93"/>
      <x:c r="AG188" s="93"/>
      <x:c r="AH188" s="93"/>
      <x:c r="AI188" s="93"/>
      <x:c r="AJ188" s="93"/>
      <x:c r="AK188" s="93"/>
      <x:c r="AL188" s="93"/>
      <x:c r="AM188" s="93"/>
      <x:c r="AN188" s="93"/>
      <x:c r="AO188" s="93"/>
    </x:row>
    <x:row r="189" ht="14.25" customHeight="1">
      <x:c r="A189" s="93"/>
      <x:c r="B189" s="93"/>
      <x:c r="C189" s="93"/>
      <x:c r="D189" s="93"/>
      <x:c r="E189" s="93"/>
      <x:c r="F189" s="93"/>
      <x:c r="G189" s="93"/>
      <x:c r="H189" s="93"/>
      <x:c r="I189" s="93"/>
      <x:c r="J189" s="93"/>
      <x:c r="K189" s="93"/>
      <x:c r="L189" s="93"/>
      <x:c r="M189" s="93"/>
      <x:c r="N189" s="93"/>
      <x:c r="O189" s="93"/>
      <x:c r="P189" s="93"/>
      <x:c r="Q189" s="93"/>
      <x:c r="R189" s="93"/>
      <x:c r="S189" s="93"/>
      <x:c r="T189" s="93"/>
      <x:c r="U189" s="93"/>
      <x:c r="V189" s="93"/>
      <x:c r="W189" s="93"/>
      <x:c r="X189" s="93"/>
      <x:c r="Y189" s="93"/>
      <x:c r="Z189" s="93"/>
      <x:c r="AA189" s="93"/>
      <x:c r="AB189" s="93"/>
      <x:c r="AC189" s="93"/>
      <x:c r="AD189" s="93"/>
      <x:c r="AE189" s="93"/>
      <x:c r="AF189" s="93"/>
      <x:c r="AG189" s="93"/>
      <x:c r="AH189" s="93"/>
      <x:c r="AI189" s="93"/>
      <x:c r="AJ189" s="93"/>
      <x:c r="AK189" s="93"/>
      <x:c r="AL189" s="93"/>
      <x:c r="AM189" s="93"/>
      <x:c r="AN189" s="93"/>
      <x:c r="AO189" s="93"/>
    </x:row>
    <x:row r="190" ht="14.25" customHeight="1">
      <x:c r="A190" s="93"/>
      <x:c r="B190" s="93"/>
      <x:c r="C190" s="93"/>
      <x:c r="D190" s="93"/>
      <x:c r="E190" s="93"/>
      <x:c r="F190" s="93"/>
      <x:c r="G190" s="93"/>
      <x:c r="H190" s="93"/>
      <x:c r="I190" s="93"/>
      <x:c r="J190" s="93"/>
      <x:c r="K190" s="93"/>
      <x:c r="L190" s="93"/>
      <x:c r="M190" s="93"/>
      <x:c r="N190" s="93"/>
      <x:c r="O190" s="93"/>
      <x:c r="P190" s="93"/>
      <x:c r="Q190" s="93"/>
      <x:c r="R190" s="93"/>
      <x:c r="S190" s="93"/>
      <x:c r="T190" s="93"/>
      <x:c r="U190" s="93"/>
      <x:c r="V190" s="93"/>
      <x:c r="W190" s="93"/>
      <x:c r="X190" s="93"/>
      <x:c r="Y190" s="93"/>
      <x:c r="Z190" s="93"/>
      <x:c r="AA190" s="93"/>
      <x:c r="AB190" s="93"/>
      <x:c r="AC190" s="93"/>
      <x:c r="AD190" s="93"/>
      <x:c r="AE190" s="93"/>
      <x:c r="AF190" s="93"/>
      <x:c r="AG190" s="93"/>
      <x:c r="AH190" s="93"/>
      <x:c r="AI190" s="93"/>
      <x:c r="AJ190" s="93"/>
      <x:c r="AK190" s="93"/>
      <x:c r="AL190" s="93"/>
      <x:c r="AM190" s="93"/>
      <x:c r="AN190" s="93"/>
      <x:c r="AO190" s="93"/>
    </x:row>
    <x:row r="191" ht="14.25" customHeight="1">
      <x:c r="A191" s="93"/>
      <x:c r="B191" s="93"/>
      <x:c r="C191" s="93"/>
      <x:c r="D191" s="93"/>
      <x:c r="E191" s="93"/>
      <x:c r="F191" s="93"/>
      <x:c r="G191" s="93"/>
      <x:c r="H191" s="93"/>
      <x:c r="I191" s="93"/>
      <x:c r="J191" s="93"/>
      <x:c r="K191" s="93"/>
      <x:c r="L191" s="93"/>
      <x:c r="M191" s="93"/>
      <x:c r="N191" s="93"/>
      <x:c r="O191" s="93"/>
      <x:c r="P191" s="93"/>
      <x:c r="Q191" s="93"/>
      <x:c r="R191" s="93"/>
      <x:c r="S191" s="93"/>
      <x:c r="T191" s="93"/>
      <x:c r="U191" s="93"/>
      <x:c r="V191" s="93"/>
      <x:c r="W191" s="93"/>
      <x:c r="X191" s="93"/>
      <x:c r="Y191" s="93"/>
      <x:c r="Z191" s="93"/>
      <x:c r="AA191" s="93"/>
      <x:c r="AB191" s="93"/>
      <x:c r="AC191" s="93"/>
      <x:c r="AD191" s="93"/>
      <x:c r="AE191" s="93"/>
      <x:c r="AF191" s="93"/>
      <x:c r="AG191" s="93"/>
      <x:c r="AH191" s="93"/>
      <x:c r="AI191" s="93"/>
      <x:c r="AJ191" s="93"/>
      <x:c r="AK191" s="93"/>
      <x:c r="AL191" s="93"/>
      <x:c r="AM191" s="93"/>
      <x:c r="AN191" s="93"/>
      <x:c r="AO191" s="93"/>
    </x:row>
    <x:row r="192" ht="14.25" customHeight="1">
      <x:c r="A192" s="93"/>
      <x:c r="B192" s="93"/>
      <x:c r="C192" s="93"/>
      <x:c r="D192" s="93"/>
      <x:c r="E192" s="93"/>
      <x:c r="F192" s="93"/>
      <x:c r="G192" s="93"/>
      <x:c r="H192" s="93"/>
      <x:c r="I192" s="93"/>
      <x:c r="J192" s="93"/>
      <x:c r="K192" s="93"/>
      <x:c r="L192" s="93"/>
      <x:c r="M192" s="93"/>
      <x:c r="N192" s="93"/>
      <x:c r="O192" s="93"/>
      <x:c r="P192" s="93"/>
      <x:c r="Q192" s="93"/>
      <x:c r="R192" s="93"/>
      <x:c r="S192" s="93"/>
      <x:c r="T192" s="93"/>
      <x:c r="U192" s="93"/>
      <x:c r="V192" s="93"/>
      <x:c r="W192" s="93"/>
      <x:c r="X192" s="93"/>
      <x:c r="Y192" s="93"/>
      <x:c r="Z192" s="93"/>
      <x:c r="AA192" s="93"/>
      <x:c r="AB192" s="93"/>
      <x:c r="AC192" s="93"/>
      <x:c r="AD192" s="93"/>
      <x:c r="AE192" s="93"/>
      <x:c r="AF192" s="93"/>
      <x:c r="AG192" s="93"/>
      <x:c r="AH192" s="93"/>
      <x:c r="AI192" s="93"/>
      <x:c r="AJ192" s="93"/>
      <x:c r="AK192" s="93"/>
      <x:c r="AL192" s="93"/>
      <x:c r="AM192" s="93"/>
      <x:c r="AN192" s="93"/>
      <x:c r="AO192" s="93"/>
    </x:row>
    <x:row r="193" ht="14.25" customHeight="1">
      <x:c r="A193" s="93"/>
      <x:c r="B193" s="93"/>
      <x:c r="C193" s="93"/>
      <x:c r="D193" s="93"/>
      <x:c r="E193" s="93"/>
      <x:c r="F193" s="93"/>
      <x:c r="G193" s="93"/>
      <x:c r="H193" s="93"/>
      <x:c r="I193" s="93"/>
      <x:c r="J193" s="93"/>
      <x:c r="K193" s="93"/>
      <x:c r="L193" s="93"/>
      <x:c r="M193" s="93"/>
      <x:c r="N193" s="93"/>
      <x:c r="O193" s="93"/>
      <x:c r="P193" s="93"/>
      <x:c r="Q193" s="93"/>
      <x:c r="R193" s="93"/>
      <x:c r="S193" s="93"/>
      <x:c r="T193" s="93"/>
      <x:c r="U193" s="93"/>
      <x:c r="V193" s="93"/>
      <x:c r="W193" s="93"/>
      <x:c r="X193" s="93"/>
      <x:c r="Y193" s="93"/>
      <x:c r="Z193" s="93"/>
      <x:c r="AA193" s="93"/>
      <x:c r="AB193" s="93"/>
      <x:c r="AC193" s="93"/>
      <x:c r="AD193" s="93"/>
      <x:c r="AE193" s="93"/>
      <x:c r="AF193" s="93"/>
      <x:c r="AG193" s="93"/>
      <x:c r="AH193" s="93"/>
      <x:c r="AI193" s="93"/>
      <x:c r="AJ193" s="93"/>
      <x:c r="AK193" s="93"/>
      <x:c r="AL193" s="93"/>
      <x:c r="AM193" s="93"/>
      <x:c r="AN193" s="93"/>
      <x:c r="AO193" s="93"/>
    </x:row>
    <x:row r="194" ht="14.25" customHeight="1">
      <x:c r="A194" s="93"/>
      <x:c r="B194" s="93"/>
      <x:c r="C194" s="93"/>
      <x:c r="D194" s="93"/>
      <x:c r="E194" s="93"/>
      <x:c r="F194" s="93"/>
      <x:c r="G194" s="93"/>
      <x:c r="H194" s="93"/>
      <x:c r="I194" s="93"/>
      <x:c r="J194" s="93"/>
      <x:c r="K194" s="93"/>
      <x:c r="L194" s="93"/>
      <x:c r="M194" s="93"/>
      <x:c r="N194" s="93"/>
      <x:c r="O194" s="93"/>
      <x:c r="P194" s="93"/>
      <x:c r="Q194" s="93"/>
      <x:c r="R194" s="93"/>
      <x:c r="S194" s="93"/>
      <x:c r="T194" s="93"/>
      <x:c r="U194" s="93"/>
      <x:c r="V194" s="93"/>
      <x:c r="W194" s="93"/>
      <x:c r="X194" s="93"/>
      <x:c r="Y194" s="93"/>
      <x:c r="Z194" s="93"/>
      <x:c r="AA194" s="93"/>
      <x:c r="AB194" s="93"/>
      <x:c r="AC194" s="93"/>
      <x:c r="AD194" s="93"/>
      <x:c r="AE194" s="93"/>
      <x:c r="AF194" s="93"/>
      <x:c r="AG194" s="93"/>
      <x:c r="AH194" s="93"/>
      <x:c r="AI194" s="93"/>
      <x:c r="AJ194" s="93"/>
      <x:c r="AK194" s="93"/>
      <x:c r="AL194" s="93"/>
      <x:c r="AM194" s="93"/>
      <x:c r="AN194" s="93"/>
      <x:c r="AO194" s="93"/>
    </x:row>
    <x:row r="195" ht="14.25" customHeight="1">
      <x:c r="A195" s="93"/>
      <x:c r="B195" s="93"/>
      <x:c r="C195" s="93"/>
      <x:c r="D195" s="93"/>
      <x:c r="E195" s="93"/>
      <x:c r="F195" s="93"/>
      <x:c r="G195" s="93"/>
      <x:c r="H195" s="93"/>
      <x:c r="I195" s="93"/>
      <x:c r="J195" s="93"/>
      <x:c r="K195" s="93"/>
      <x:c r="L195" s="93"/>
      <x:c r="M195" s="93"/>
      <x:c r="N195" s="93"/>
      <x:c r="O195" s="93"/>
      <x:c r="P195" s="93"/>
      <x:c r="Q195" s="93"/>
      <x:c r="R195" s="93"/>
      <x:c r="S195" s="93"/>
      <x:c r="T195" s="93"/>
      <x:c r="U195" s="93"/>
      <x:c r="V195" s="93"/>
      <x:c r="W195" s="93"/>
      <x:c r="X195" s="93"/>
      <x:c r="Y195" s="93"/>
      <x:c r="Z195" s="93"/>
      <x:c r="AA195" s="93"/>
      <x:c r="AB195" s="93"/>
      <x:c r="AC195" s="93"/>
      <x:c r="AD195" s="93"/>
      <x:c r="AE195" s="93"/>
      <x:c r="AF195" s="93"/>
      <x:c r="AG195" s="93"/>
      <x:c r="AH195" s="93"/>
      <x:c r="AI195" s="93"/>
      <x:c r="AJ195" s="93"/>
      <x:c r="AK195" s="93"/>
      <x:c r="AL195" s="93"/>
      <x:c r="AM195" s="93"/>
      <x:c r="AN195" s="93"/>
      <x:c r="AO195" s="93"/>
    </x:row>
    <x:row r="196" ht="14.25" customHeight="1">
      <x:c r="A196" s="93"/>
      <x:c r="B196" s="93"/>
      <x:c r="C196" s="93"/>
      <x:c r="D196" s="93"/>
      <x:c r="E196" s="93"/>
      <x:c r="F196" s="93"/>
      <x:c r="G196" s="93"/>
      <x:c r="H196" s="93"/>
      <x:c r="I196" s="93"/>
      <x:c r="J196" s="93"/>
      <x:c r="K196" s="93"/>
      <x:c r="L196" s="93"/>
      <x:c r="M196" s="93"/>
      <x:c r="N196" s="93"/>
      <x:c r="O196" s="93"/>
      <x:c r="P196" s="93"/>
      <x:c r="Q196" s="93"/>
      <x:c r="R196" s="93"/>
      <x:c r="S196" s="93"/>
      <x:c r="T196" s="93"/>
      <x:c r="U196" s="93"/>
      <x:c r="V196" s="93"/>
      <x:c r="W196" s="93"/>
      <x:c r="X196" s="93"/>
      <x:c r="Y196" s="93"/>
      <x:c r="Z196" s="93"/>
      <x:c r="AA196" s="93"/>
      <x:c r="AB196" s="93"/>
      <x:c r="AC196" s="93"/>
      <x:c r="AD196" s="93"/>
      <x:c r="AE196" s="93"/>
      <x:c r="AF196" s="93"/>
      <x:c r="AG196" s="93"/>
      <x:c r="AH196" s="93"/>
      <x:c r="AI196" s="93"/>
      <x:c r="AJ196" s="93"/>
      <x:c r="AK196" s="93"/>
      <x:c r="AL196" s="93"/>
      <x:c r="AM196" s="93"/>
      <x:c r="AN196" s="93"/>
      <x:c r="AO196" s="93"/>
    </x:row>
    <x:row r="197" ht="14.25" customHeight="1">
      <x:c r="A197" s="93"/>
      <x:c r="B197" s="93"/>
      <x:c r="C197" s="93"/>
      <x:c r="D197" s="93"/>
      <x:c r="E197" s="93"/>
      <x:c r="F197" s="93"/>
      <x:c r="G197" s="93"/>
      <x:c r="H197" s="93"/>
      <x:c r="I197" s="93"/>
      <x:c r="J197" s="93"/>
      <x:c r="K197" s="93"/>
      <x:c r="L197" s="93"/>
      <x:c r="M197" s="93"/>
      <x:c r="N197" s="93"/>
      <x:c r="O197" s="93"/>
      <x:c r="P197" s="93"/>
      <x:c r="Q197" s="93"/>
      <x:c r="R197" s="93"/>
      <x:c r="S197" s="93"/>
      <x:c r="T197" s="93"/>
      <x:c r="U197" s="93"/>
      <x:c r="V197" s="93"/>
      <x:c r="W197" s="93"/>
      <x:c r="X197" s="93"/>
      <x:c r="Y197" s="93"/>
      <x:c r="Z197" s="93"/>
      <x:c r="AA197" s="93"/>
      <x:c r="AB197" s="93"/>
      <x:c r="AC197" s="93"/>
      <x:c r="AD197" s="93"/>
      <x:c r="AE197" s="93"/>
      <x:c r="AF197" s="93"/>
      <x:c r="AG197" s="93"/>
      <x:c r="AH197" s="93"/>
      <x:c r="AI197" s="93"/>
      <x:c r="AJ197" s="93"/>
      <x:c r="AK197" s="93"/>
      <x:c r="AL197" s="93"/>
      <x:c r="AM197" s="93"/>
      <x:c r="AN197" s="93"/>
      <x:c r="AO197" s="93"/>
    </x:row>
    <x:row r="198" ht="14.25" customHeight="1">
      <x:c r="A198" s="93"/>
      <x:c r="B198" s="93"/>
      <x:c r="C198" s="93"/>
      <x:c r="D198" s="93"/>
      <x:c r="E198" s="93"/>
      <x:c r="F198" s="93"/>
      <x:c r="G198" s="93"/>
      <x:c r="H198" s="93"/>
      <x:c r="I198" s="93"/>
      <x:c r="J198" s="93"/>
      <x:c r="K198" s="93"/>
      <x:c r="L198" s="93"/>
      <x:c r="M198" s="93"/>
      <x:c r="N198" s="93"/>
      <x:c r="O198" s="93"/>
      <x:c r="P198" s="93"/>
      <x:c r="Q198" s="93"/>
      <x:c r="R198" s="93"/>
      <x:c r="S198" s="93"/>
      <x:c r="T198" s="93"/>
      <x:c r="U198" s="93"/>
      <x:c r="V198" s="93"/>
      <x:c r="W198" s="93"/>
      <x:c r="X198" s="93"/>
      <x:c r="Y198" s="93"/>
      <x:c r="Z198" s="93"/>
      <x:c r="AA198" s="93"/>
      <x:c r="AB198" s="93"/>
      <x:c r="AC198" s="93"/>
      <x:c r="AD198" s="93"/>
      <x:c r="AE198" s="93"/>
      <x:c r="AF198" s="93"/>
      <x:c r="AG198" s="93"/>
      <x:c r="AH198" s="93"/>
      <x:c r="AI198" s="93"/>
      <x:c r="AJ198" s="93"/>
      <x:c r="AK198" s="93"/>
      <x:c r="AL198" s="93"/>
      <x:c r="AM198" s="93"/>
      <x:c r="AN198" s="93"/>
      <x:c r="AO198" s="93"/>
    </x:row>
    <x:row r="199" ht="14.25" customHeight="1">
      <x:c r="A199" s="93"/>
      <x:c r="B199" s="93"/>
      <x:c r="C199" s="93"/>
      <x:c r="D199" s="93"/>
      <x:c r="E199" s="93"/>
      <x:c r="F199" s="93"/>
      <x:c r="G199" s="93"/>
      <x:c r="H199" s="93"/>
      <x:c r="I199" s="93"/>
      <x:c r="J199" s="93"/>
      <x:c r="K199" s="93"/>
      <x:c r="L199" s="93"/>
      <x:c r="M199" s="93"/>
      <x:c r="N199" s="93"/>
      <x:c r="O199" s="93"/>
      <x:c r="P199" s="93"/>
      <x:c r="Q199" s="93"/>
      <x:c r="R199" s="93"/>
      <x:c r="S199" s="93"/>
      <x:c r="T199" s="93"/>
      <x:c r="U199" s="93"/>
      <x:c r="V199" s="93"/>
      <x:c r="W199" s="93"/>
      <x:c r="X199" s="93"/>
      <x:c r="Y199" s="93"/>
      <x:c r="Z199" s="93"/>
      <x:c r="AA199" s="93"/>
      <x:c r="AB199" s="93"/>
      <x:c r="AC199" s="93"/>
      <x:c r="AD199" s="93"/>
      <x:c r="AE199" s="93"/>
      <x:c r="AF199" s="93"/>
      <x:c r="AG199" s="93"/>
      <x:c r="AH199" s="93"/>
      <x:c r="AI199" s="93"/>
      <x:c r="AJ199" s="93"/>
      <x:c r="AK199" s="93"/>
      <x:c r="AL199" s="93"/>
      <x:c r="AM199" s="93"/>
      <x:c r="AN199" s="93"/>
      <x:c r="AO199" s="93"/>
    </x:row>
    <x:row r="200" ht="14.25" customHeight="1">
      <x:c r="A200" s="93"/>
      <x:c r="B200" s="93"/>
      <x:c r="C200" s="93"/>
      <x:c r="D200" s="93"/>
      <x:c r="E200" s="93"/>
      <x:c r="F200" s="93"/>
      <x:c r="G200" s="93"/>
      <x:c r="H200" s="93"/>
      <x:c r="I200" s="93"/>
      <x:c r="J200" s="93"/>
      <x:c r="K200" s="93"/>
      <x:c r="L200" s="93"/>
      <x:c r="M200" s="93"/>
      <x:c r="N200" s="93"/>
      <x:c r="O200" s="93"/>
      <x:c r="P200" s="93"/>
      <x:c r="Q200" s="93"/>
      <x:c r="R200" s="93"/>
      <x:c r="S200" s="93"/>
      <x:c r="T200" s="93"/>
      <x:c r="U200" s="93"/>
      <x:c r="V200" s="93"/>
      <x:c r="W200" s="93"/>
      <x:c r="X200" s="93"/>
      <x:c r="Y200" s="93"/>
      <x:c r="Z200" s="93"/>
      <x:c r="AA200" s="93"/>
      <x:c r="AB200" s="93"/>
      <x:c r="AC200" s="93"/>
      <x:c r="AD200" s="93"/>
      <x:c r="AE200" s="93"/>
      <x:c r="AF200" s="93"/>
      <x:c r="AG200" s="93"/>
      <x:c r="AH200" s="93"/>
      <x:c r="AI200" s="93"/>
      <x:c r="AJ200" s="93"/>
      <x:c r="AK200" s="93"/>
      <x:c r="AL200" s="93"/>
      <x:c r="AM200" s="93"/>
      <x:c r="AN200" s="93"/>
      <x:c r="AO200" s="93"/>
    </x:row>
    <x:row r="201" ht="14.25" customHeight="1">
      <x:c r="A201" s="93"/>
      <x:c r="B201" s="93"/>
      <x:c r="C201" s="93"/>
      <x:c r="D201" s="93"/>
      <x:c r="E201" s="93"/>
      <x:c r="F201" s="93"/>
      <x:c r="G201" s="93"/>
      <x:c r="H201" s="93"/>
      <x:c r="I201" s="93"/>
      <x:c r="J201" s="93"/>
      <x:c r="K201" s="93"/>
      <x:c r="L201" s="93"/>
      <x:c r="M201" s="93"/>
      <x:c r="N201" s="93"/>
      <x:c r="O201" s="93"/>
      <x:c r="P201" s="93"/>
      <x:c r="Q201" s="93"/>
      <x:c r="R201" s="93"/>
      <x:c r="S201" s="93"/>
      <x:c r="T201" s="93"/>
      <x:c r="U201" s="93"/>
      <x:c r="V201" s="93"/>
      <x:c r="W201" s="93"/>
      <x:c r="X201" s="93"/>
      <x:c r="Y201" s="93"/>
      <x:c r="Z201" s="93"/>
      <x:c r="AA201" s="93"/>
      <x:c r="AB201" s="93"/>
      <x:c r="AC201" s="93"/>
      <x:c r="AD201" s="93"/>
      <x:c r="AE201" s="93"/>
      <x:c r="AF201" s="93"/>
      <x:c r="AG201" s="93"/>
      <x:c r="AH201" s="93"/>
      <x:c r="AI201" s="93"/>
      <x:c r="AJ201" s="93"/>
      <x:c r="AK201" s="93"/>
      <x:c r="AL201" s="93"/>
      <x:c r="AM201" s="93"/>
      <x:c r="AN201" s="93"/>
      <x:c r="AO201" s="93"/>
    </x:row>
    <x:row r="202" ht="14.25" customHeight="1">
      <x:c r="A202" s="93"/>
      <x:c r="B202" s="93"/>
      <x:c r="C202" s="93"/>
      <x:c r="D202" s="93"/>
      <x:c r="E202" s="93"/>
      <x:c r="F202" s="93"/>
      <x:c r="G202" s="93"/>
      <x:c r="H202" s="93"/>
      <x:c r="I202" s="93"/>
      <x:c r="J202" s="93"/>
      <x:c r="K202" s="93"/>
      <x:c r="L202" s="93"/>
      <x:c r="M202" s="93"/>
      <x:c r="N202" s="93"/>
      <x:c r="O202" s="93"/>
      <x:c r="P202" s="93"/>
      <x:c r="Q202" s="93"/>
      <x:c r="R202" s="93"/>
      <x:c r="S202" s="93"/>
      <x:c r="T202" s="93"/>
      <x:c r="U202" s="93"/>
      <x:c r="V202" s="93"/>
      <x:c r="W202" s="93"/>
      <x:c r="X202" s="93"/>
      <x:c r="Y202" s="93"/>
      <x:c r="Z202" s="93"/>
      <x:c r="AA202" s="93"/>
      <x:c r="AB202" s="93"/>
      <x:c r="AC202" s="93"/>
      <x:c r="AD202" s="93"/>
      <x:c r="AE202" s="93"/>
      <x:c r="AF202" s="93"/>
      <x:c r="AG202" s="93"/>
      <x:c r="AH202" s="93"/>
      <x:c r="AI202" s="93"/>
      <x:c r="AJ202" s="93"/>
      <x:c r="AK202" s="93"/>
      <x:c r="AL202" s="93"/>
      <x:c r="AM202" s="93"/>
      <x:c r="AN202" s="93"/>
      <x:c r="AO202" s="93"/>
    </x:row>
    <x:row r="203" ht="14.25" customHeight="1">
      <x:c r="A203" s="93"/>
      <x:c r="B203" s="93"/>
      <x:c r="C203" s="93"/>
      <x:c r="D203" s="93"/>
      <x:c r="E203" s="93"/>
      <x:c r="F203" s="93"/>
      <x:c r="G203" s="93"/>
      <x:c r="H203" s="93"/>
      <x:c r="I203" s="93"/>
      <x:c r="J203" s="93"/>
      <x:c r="K203" s="93"/>
      <x:c r="L203" s="93"/>
      <x:c r="M203" s="93"/>
      <x:c r="N203" s="93"/>
      <x:c r="O203" s="93"/>
      <x:c r="P203" s="93"/>
      <x:c r="Q203" s="93"/>
      <x:c r="R203" s="93"/>
      <x:c r="S203" s="93"/>
      <x:c r="T203" s="93"/>
      <x:c r="U203" s="93"/>
      <x:c r="V203" s="93"/>
      <x:c r="W203" s="93"/>
      <x:c r="X203" s="93"/>
      <x:c r="Y203" s="93"/>
      <x:c r="Z203" s="93"/>
      <x:c r="AA203" s="93"/>
      <x:c r="AB203" s="93"/>
      <x:c r="AC203" s="93"/>
      <x:c r="AD203" s="93"/>
      <x:c r="AE203" s="93"/>
      <x:c r="AF203" s="93"/>
      <x:c r="AG203" s="93"/>
      <x:c r="AH203" s="93"/>
      <x:c r="AI203" s="93"/>
      <x:c r="AJ203" s="93"/>
      <x:c r="AK203" s="93"/>
      <x:c r="AL203" s="93"/>
      <x:c r="AM203" s="93"/>
      <x:c r="AN203" s="93"/>
      <x:c r="AO203" s="93"/>
    </x:row>
    <x:row r="204" ht="14.25" customHeight="1">
      <x:c r="A204" s="93"/>
      <x:c r="B204" s="93"/>
      <x:c r="C204" s="93"/>
      <x:c r="D204" s="93"/>
      <x:c r="E204" s="93"/>
      <x:c r="F204" s="93"/>
      <x:c r="G204" s="93"/>
      <x:c r="H204" s="93"/>
      <x:c r="I204" s="93"/>
      <x:c r="J204" s="93"/>
      <x:c r="K204" s="93"/>
      <x:c r="L204" s="93"/>
      <x:c r="M204" s="93"/>
      <x:c r="N204" s="93"/>
      <x:c r="O204" s="93"/>
      <x:c r="P204" s="93"/>
      <x:c r="Q204" s="93"/>
      <x:c r="R204" s="93"/>
      <x:c r="S204" s="93"/>
      <x:c r="T204" s="93"/>
      <x:c r="U204" s="93"/>
      <x:c r="V204" s="93"/>
      <x:c r="W204" s="93"/>
      <x:c r="X204" s="93"/>
      <x:c r="Y204" s="93"/>
      <x:c r="Z204" s="93"/>
      <x:c r="AA204" s="93"/>
      <x:c r="AB204" s="93"/>
      <x:c r="AC204" s="93"/>
      <x:c r="AD204" s="93"/>
      <x:c r="AE204" s="93"/>
      <x:c r="AF204" s="93"/>
      <x:c r="AG204" s="93"/>
      <x:c r="AH204" s="93"/>
      <x:c r="AI204" s="93"/>
      <x:c r="AJ204" s="93"/>
      <x:c r="AK204" s="93"/>
      <x:c r="AL204" s="93"/>
      <x:c r="AM204" s="93"/>
      <x:c r="AN204" s="93"/>
      <x:c r="AO204" s="93"/>
    </x:row>
    <x:row r="205" ht="14.25" customHeight="1">
      <x:c r="A205" s="93"/>
      <x:c r="B205" s="93"/>
      <x:c r="C205" s="93"/>
      <x:c r="D205" s="93"/>
      <x:c r="E205" s="93"/>
      <x:c r="F205" s="93"/>
      <x:c r="G205" s="93"/>
      <x:c r="H205" s="93"/>
      <x:c r="I205" s="93"/>
      <x:c r="J205" s="93"/>
      <x:c r="K205" s="93"/>
      <x:c r="L205" s="93"/>
      <x:c r="M205" s="93"/>
      <x:c r="N205" s="93"/>
      <x:c r="O205" s="93"/>
      <x:c r="P205" s="93"/>
      <x:c r="Q205" s="93"/>
      <x:c r="R205" s="93"/>
      <x:c r="S205" s="93"/>
      <x:c r="T205" s="93"/>
      <x:c r="U205" s="93"/>
      <x:c r="V205" s="93"/>
      <x:c r="W205" s="93"/>
      <x:c r="X205" s="93"/>
      <x:c r="Y205" s="93"/>
      <x:c r="Z205" s="93"/>
      <x:c r="AA205" s="93"/>
      <x:c r="AB205" s="93"/>
      <x:c r="AC205" s="93"/>
      <x:c r="AD205" s="93"/>
      <x:c r="AE205" s="93"/>
      <x:c r="AF205" s="93"/>
      <x:c r="AG205" s="93"/>
      <x:c r="AH205" s="93"/>
      <x:c r="AI205" s="93"/>
      <x:c r="AJ205" s="93"/>
      <x:c r="AK205" s="93"/>
      <x:c r="AL205" s="93"/>
      <x:c r="AM205" s="93"/>
      <x:c r="AN205" s="93"/>
      <x:c r="AO205" s="93"/>
    </x:row>
    <x:row r="206" ht="14.25" customHeight="1">
      <x:c r="A206" s="93"/>
      <x:c r="B206" s="93"/>
      <x:c r="C206" s="93"/>
      <x:c r="D206" s="93"/>
      <x:c r="E206" s="93"/>
      <x:c r="F206" s="93"/>
      <x:c r="G206" s="93"/>
      <x:c r="H206" s="93"/>
      <x:c r="I206" s="93"/>
      <x:c r="J206" s="93"/>
      <x:c r="K206" s="93"/>
      <x:c r="L206" s="93"/>
      <x:c r="M206" s="93"/>
      <x:c r="N206" s="93"/>
      <x:c r="O206" s="93"/>
      <x:c r="P206" s="93"/>
      <x:c r="Q206" s="93"/>
      <x:c r="R206" s="93"/>
      <x:c r="S206" s="93"/>
      <x:c r="T206" s="93"/>
      <x:c r="U206" s="93"/>
      <x:c r="V206" s="93"/>
      <x:c r="W206" s="93"/>
      <x:c r="X206" s="93"/>
      <x:c r="Y206" s="93"/>
      <x:c r="Z206" s="93"/>
      <x:c r="AA206" s="93"/>
      <x:c r="AB206" s="93"/>
      <x:c r="AC206" s="93"/>
      <x:c r="AD206" s="93"/>
      <x:c r="AE206" s="93"/>
      <x:c r="AF206" s="93"/>
      <x:c r="AG206" s="93"/>
      <x:c r="AH206" s="93"/>
      <x:c r="AI206" s="93"/>
      <x:c r="AJ206" s="93"/>
      <x:c r="AK206" s="93"/>
      <x:c r="AL206" s="93"/>
      <x:c r="AM206" s="93"/>
      <x:c r="AN206" s="93"/>
      <x:c r="AO206" s="93"/>
    </x:row>
    <x:row r="207" ht="14.25" customHeight="1">
      <x:c r="A207" s="93"/>
      <x:c r="B207" s="93"/>
      <x:c r="C207" s="93"/>
      <x:c r="D207" s="93"/>
      <x:c r="E207" s="93"/>
      <x:c r="F207" s="93"/>
      <x:c r="G207" s="93"/>
      <x:c r="H207" s="93"/>
      <x:c r="I207" s="93"/>
      <x:c r="J207" s="93"/>
      <x:c r="K207" s="93"/>
      <x:c r="L207" s="93"/>
      <x:c r="M207" s="93"/>
      <x:c r="N207" s="93"/>
      <x:c r="O207" s="93"/>
      <x:c r="P207" s="93"/>
      <x:c r="Q207" s="93"/>
      <x:c r="R207" s="93"/>
      <x:c r="S207" s="93"/>
      <x:c r="T207" s="93"/>
      <x:c r="U207" s="93"/>
      <x:c r="V207" s="93"/>
      <x:c r="W207" s="93"/>
      <x:c r="X207" s="93"/>
      <x:c r="Y207" s="93"/>
      <x:c r="Z207" s="93"/>
      <x:c r="AA207" s="93"/>
      <x:c r="AB207" s="93"/>
      <x:c r="AC207" s="93"/>
      <x:c r="AD207" s="93"/>
      <x:c r="AE207" s="93"/>
      <x:c r="AF207" s="93"/>
      <x:c r="AG207" s="93"/>
      <x:c r="AH207" s="93"/>
      <x:c r="AI207" s="93"/>
      <x:c r="AJ207" s="93"/>
      <x:c r="AK207" s="93"/>
      <x:c r="AL207" s="93"/>
      <x:c r="AM207" s="93"/>
      <x:c r="AN207" s="93"/>
      <x:c r="AO207" s="93"/>
    </x:row>
    <x:row r="208" ht="14.25" customHeight="1">
      <x:c r="A208" s="93"/>
      <x:c r="B208" s="93"/>
      <x:c r="C208" s="93"/>
      <x:c r="D208" s="93"/>
      <x:c r="E208" s="93"/>
      <x:c r="F208" s="93"/>
      <x:c r="G208" s="93"/>
      <x:c r="H208" s="93"/>
      <x:c r="I208" s="93"/>
      <x:c r="J208" s="93"/>
      <x:c r="K208" s="93"/>
      <x:c r="L208" s="93"/>
      <x:c r="M208" s="93"/>
      <x:c r="N208" s="93"/>
      <x:c r="O208" s="93"/>
      <x:c r="P208" s="93"/>
      <x:c r="Q208" s="93"/>
      <x:c r="R208" s="93"/>
      <x:c r="S208" s="93"/>
      <x:c r="T208" s="93"/>
      <x:c r="U208" s="93"/>
      <x:c r="V208" s="93"/>
      <x:c r="W208" s="93"/>
      <x:c r="X208" s="93"/>
      <x:c r="Y208" s="93"/>
      <x:c r="Z208" s="93"/>
      <x:c r="AA208" s="93"/>
      <x:c r="AB208" s="93"/>
      <x:c r="AC208" s="93"/>
      <x:c r="AD208" s="93"/>
      <x:c r="AE208" s="93"/>
      <x:c r="AF208" s="93"/>
      <x:c r="AG208" s="93"/>
      <x:c r="AH208" s="93"/>
      <x:c r="AI208" s="93"/>
      <x:c r="AJ208" s="93"/>
      <x:c r="AK208" s="93"/>
      <x:c r="AL208" s="93"/>
      <x:c r="AM208" s="93"/>
      <x:c r="AN208" s="93"/>
      <x:c r="AO208" s="93"/>
    </x:row>
    <x:row r="209" ht="14.25" customHeight="1">
      <x:c r="A209" s="93"/>
      <x:c r="B209" s="93"/>
      <x:c r="C209" s="93"/>
      <x:c r="D209" s="93"/>
      <x:c r="E209" s="93"/>
      <x:c r="F209" s="93"/>
      <x:c r="G209" s="93"/>
      <x:c r="H209" s="93"/>
      <x:c r="I209" s="93"/>
      <x:c r="J209" s="93"/>
      <x:c r="K209" s="93"/>
      <x:c r="L209" s="93"/>
      <x:c r="M209" s="93"/>
      <x:c r="N209" s="93"/>
      <x:c r="O209" s="93"/>
      <x:c r="P209" s="93"/>
      <x:c r="Q209" s="93"/>
      <x:c r="R209" s="93"/>
      <x:c r="S209" s="93"/>
      <x:c r="T209" s="93"/>
      <x:c r="U209" s="93"/>
      <x:c r="V209" s="93"/>
      <x:c r="W209" s="93"/>
      <x:c r="X209" s="93"/>
      <x:c r="Y209" s="93"/>
      <x:c r="Z209" s="93"/>
      <x:c r="AA209" s="93"/>
      <x:c r="AB209" s="93"/>
      <x:c r="AC209" s="93"/>
      <x:c r="AD209" s="93"/>
      <x:c r="AE209" s="93"/>
      <x:c r="AF209" s="93"/>
      <x:c r="AG209" s="93"/>
      <x:c r="AH209" s="93"/>
      <x:c r="AI209" s="93"/>
      <x:c r="AJ209" s="93"/>
      <x:c r="AK209" s="93"/>
      <x:c r="AL209" s="93"/>
      <x:c r="AM209" s="93"/>
      <x:c r="AN209" s="93"/>
      <x:c r="AO209" s="93"/>
    </x:row>
    <x:row r="210" ht="14.25" customHeight="1">
      <x:c r="A210" s="93"/>
      <x:c r="B210" s="93"/>
      <x:c r="C210" s="93"/>
      <x:c r="D210" s="93"/>
      <x:c r="E210" s="93"/>
      <x:c r="F210" s="93"/>
      <x:c r="G210" s="93"/>
      <x:c r="H210" s="93"/>
      <x:c r="I210" s="93"/>
      <x:c r="J210" s="93"/>
      <x:c r="K210" s="93"/>
      <x:c r="L210" s="93"/>
      <x:c r="M210" s="93"/>
      <x:c r="N210" s="93"/>
      <x:c r="O210" s="93"/>
      <x:c r="P210" s="93"/>
      <x:c r="Q210" s="93"/>
      <x:c r="R210" s="93"/>
      <x:c r="S210" s="93"/>
      <x:c r="T210" s="93"/>
      <x:c r="U210" s="93"/>
      <x:c r="V210" s="93"/>
      <x:c r="W210" s="93"/>
      <x:c r="X210" s="93"/>
      <x:c r="Y210" s="93"/>
      <x:c r="Z210" s="93"/>
      <x:c r="AA210" s="93"/>
      <x:c r="AB210" s="93"/>
      <x:c r="AC210" s="93"/>
      <x:c r="AD210" s="93"/>
      <x:c r="AE210" s="93"/>
      <x:c r="AF210" s="93"/>
      <x:c r="AG210" s="93"/>
      <x:c r="AH210" s="93"/>
      <x:c r="AI210" s="93"/>
      <x:c r="AJ210" s="93"/>
      <x:c r="AK210" s="93"/>
      <x:c r="AL210" s="93"/>
      <x:c r="AM210" s="93"/>
      <x:c r="AN210" s="93"/>
      <x:c r="AO210" s="93"/>
    </x:row>
    <x:row r="211" ht="14.25" customHeight="1">
      <x:c r="A211" s="93"/>
      <x:c r="B211" s="93"/>
      <x:c r="C211" s="93"/>
      <x:c r="D211" s="93"/>
      <x:c r="E211" s="93"/>
      <x:c r="F211" s="93"/>
      <x:c r="G211" s="93"/>
      <x:c r="H211" s="93"/>
      <x:c r="I211" s="93"/>
      <x:c r="J211" s="93"/>
      <x:c r="K211" s="93"/>
      <x:c r="L211" s="93"/>
      <x:c r="M211" s="93"/>
      <x:c r="N211" s="93"/>
      <x:c r="O211" s="93"/>
      <x:c r="P211" s="93"/>
      <x:c r="Q211" s="93"/>
      <x:c r="R211" s="93"/>
      <x:c r="S211" s="93"/>
      <x:c r="T211" s="93"/>
      <x:c r="U211" s="93"/>
      <x:c r="V211" s="93"/>
      <x:c r="W211" s="93"/>
      <x:c r="X211" s="93"/>
      <x:c r="Y211" s="93"/>
      <x:c r="Z211" s="93"/>
      <x:c r="AA211" s="93"/>
      <x:c r="AB211" s="93"/>
      <x:c r="AC211" s="93"/>
      <x:c r="AD211" s="93"/>
      <x:c r="AE211" s="93"/>
      <x:c r="AF211" s="93"/>
      <x:c r="AG211" s="93"/>
      <x:c r="AH211" s="93"/>
      <x:c r="AI211" s="93"/>
      <x:c r="AJ211" s="93"/>
      <x:c r="AK211" s="93"/>
      <x:c r="AL211" s="93"/>
      <x:c r="AM211" s="93"/>
      <x:c r="AN211" s="93"/>
      <x:c r="AO211" s="93"/>
    </x:row>
    <x:row r="212" ht="14.25" customHeight="1">
      <x:c r="A212" s="93"/>
      <x:c r="B212" s="93"/>
      <x:c r="C212" s="93"/>
      <x:c r="D212" s="93"/>
      <x:c r="E212" s="93"/>
      <x:c r="F212" s="93"/>
      <x:c r="G212" s="93"/>
      <x:c r="H212" s="93"/>
      <x:c r="I212" s="93"/>
      <x:c r="J212" s="93"/>
      <x:c r="K212" s="93"/>
      <x:c r="L212" s="93"/>
      <x:c r="M212" s="93"/>
      <x:c r="N212" s="93"/>
      <x:c r="O212" s="93"/>
      <x:c r="P212" s="93"/>
      <x:c r="Q212" s="93"/>
      <x:c r="R212" s="93"/>
      <x:c r="S212" s="93"/>
      <x:c r="T212" s="93"/>
      <x:c r="U212" s="93"/>
      <x:c r="V212" s="93"/>
      <x:c r="W212" s="93"/>
      <x:c r="X212" s="93"/>
      <x:c r="Y212" s="93"/>
      <x:c r="Z212" s="93"/>
      <x:c r="AA212" s="93"/>
      <x:c r="AB212" s="93"/>
      <x:c r="AC212" s="93"/>
      <x:c r="AD212" s="93"/>
      <x:c r="AE212" s="93"/>
      <x:c r="AF212" s="93"/>
      <x:c r="AG212" s="93"/>
      <x:c r="AH212" s="93"/>
      <x:c r="AI212" s="93"/>
      <x:c r="AJ212" s="93"/>
      <x:c r="AK212" s="93"/>
      <x:c r="AL212" s="93"/>
      <x:c r="AM212" s="93"/>
      <x:c r="AN212" s="93"/>
      <x:c r="AO212" s="93"/>
    </x:row>
    <x:row r="213" ht="14.25" customHeight="1">
      <x:c r="A213" s="93"/>
      <x:c r="B213" s="93"/>
      <x:c r="C213" s="93"/>
      <x:c r="D213" s="93"/>
      <x:c r="E213" s="93"/>
      <x:c r="F213" s="93"/>
      <x:c r="G213" s="93"/>
      <x:c r="H213" s="93"/>
      <x:c r="I213" s="93"/>
      <x:c r="J213" s="93"/>
      <x:c r="K213" s="93"/>
      <x:c r="L213" s="93"/>
      <x:c r="M213" s="93"/>
      <x:c r="N213" s="93"/>
      <x:c r="O213" s="93"/>
      <x:c r="P213" s="93"/>
      <x:c r="Q213" s="93"/>
      <x:c r="R213" s="93"/>
      <x:c r="S213" s="93"/>
      <x:c r="T213" s="93"/>
      <x:c r="U213" s="93"/>
      <x:c r="V213" s="93"/>
      <x:c r="W213" s="93"/>
      <x:c r="X213" s="93"/>
      <x:c r="Y213" s="93"/>
      <x:c r="Z213" s="93"/>
      <x:c r="AA213" s="93"/>
      <x:c r="AB213" s="93"/>
      <x:c r="AC213" s="93"/>
      <x:c r="AD213" s="93"/>
      <x:c r="AE213" s="93"/>
      <x:c r="AF213" s="93"/>
      <x:c r="AG213" s="93"/>
      <x:c r="AH213" s="93"/>
      <x:c r="AI213" s="93"/>
      <x:c r="AJ213" s="93"/>
      <x:c r="AK213" s="93"/>
      <x:c r="AL213" s="93"/>
      <x:c r="AM213" s="93"/>
      <x:c r="AN213" s="93"/>
      <x:c r="AO213" s="93"/>
    </x:row>
    <x:row r="214" ht="14.25" customHeight="1">
      <x:c r="A214" s="93"/>
      <x:c r="B214" s="93"/>
      <x:c r="C214" s="93"/>
      <x:c r="D214" s="93"/>
      <x:c r="E214" s="93"/>
      <x:c r="F214" s="93"/>
      <x:c r="G214" s="93"/>
      <x:c r="H214" s="93"/>
      <x:c r="I214" s="93"/>
      <x:c r="J214" s="93"/>
      <x:c r="K214" s="93"/>
      <x:c r="L214" s="93"/>
      <x:c r="M214" s="93"/>
      <x:c r="N214" s="93"/>
      <x:c r="O214" s="93"/>
      <x:c r="P214" s="93"/>
      <x:c r="Q214" s="93"/>
      <x:c r="R214" s="93"/>
      <x:c r="S214" s="93"/>
      <x:c r="T214" s="93"/>
      <x:c r="U214" s="93"/>
      <x:c r="V214" s="93"/>
      <x:c r="W214" s="93"/>
      <x:c r="X214" s="93"/>
      <x:c r="Y214" s="93"/>
      <x:c r="Z214" s="93"/>
      <x:c r="AA214" s="93"/>
      <x:c r="AB214" s="93"/>
      <x:c r="AC214" s="93"/>
      <x:c r="AD214" s="93"/>
      <x:c r="AE214" s="93"/>
      <x:c r="AF214" s="93"/>
      <x:c r="AG214" s="93"/>
      <x:c r="AH214" s="93"/>
      <x:c r="AI214" s="93"/>
      <x:c r="AJ214" s="93"/>
      <x:c r="AK214" s="93"/>
      <x:c r="AL214" s="93"/>
      <x:c r="AM214" s="93"/>
      <x:c r="AN214" s="93"/>
      <x:c r="AO214" s="93"/>
    </x:row>
    <x:row r="215" ht="14.25" customHeight="1">
      <x:c r="A215" s="93"/>
      <x:c r="B215" s="93"/>
      <x:c r="C215" s="93"/>
      <x:c r="D215" s="93"/>
      <x:c r="E215" s="93"/>
      <x:c r="F215" s="93"/>
      <x:c r="G215" s="93"/>
      <x:c r="H215" s="93"/>
      <x:c r="I215" s="93"/>
      <x:c r="J215" s="93"/>
      <x:c r="K215" s="93"/>
      <x:c r="L215" s="93"/>
      <x:c r="M215" s="93"/>
      <x:c r="N215" s="93"/>
      <x:c r="O215" s="93"/>
      <x:c r="P215" s="93"/>
      <x:c r="Q215" s="93"/>
      <x:c r="R215" s="93"/>
      <x:c r="S215" s="93"/>
      <x:c r="T215" s="93"/>
      <x:c r="U215" s="93"/>
      <x:c r="V215" s="93"/>
      <x:c r="W215" s="93"/>
      <x:c r="X215" s="93"/>
      <x:c r="Y215" s="93"/>
      <x:c r="Z215" s="93"/>
      <x:c r="AA215" s="93"/>
      <x:c r="AB215" s="93"/>
      <x:c r="AC215" s="93"/>
      <x:c r="AD215" s="93"/>
      <x:c r="AE215" s="93"/>
      <x:c r="AF215" s="93"/>
      <x:c r="AG215" s="93"/>
      <x:c r="AH215" s="93"/>
      <x:c r="AI215" s="93"/>
      <x:c r="AJ215" s="93"/>
      <x:c r="AK215" s="93"/>
      <x:c r="AL215" s="93"/>
      <x:c r="AM215" s="93"/>
      <x:c r="AN215" s="93"/>
      <x:c r="AO215" s="93"/>
    </x:row>
    <x:row r="216" ht="14.25" customHeight="1">
      <x:c r="A216" s="93"/>
      <x:c r="B216" s="93"/>
      <x:c r="C216" s="93"/>
      <x:c r="D216" s="93"/>
      <x:c r="E216" s="93"/>
      <x:c r="F216" s="93"/>
      <x:c r="G216" s="93"/>
      <x:c r="H216" s="93"/>
      <x:c r="I216" s="93"/>
      <x:c r="J216" s="93"/>
      <x:c r="K216" s="93"/>
      <x:c r="L216" s="93"/>
      <x:c r="M216" s="93"/>
      <x:c r="N216" s="93"/>
      <x:c r="O216" s="93"/>
      <x:c r="P216" s="93"/>
      <x:c r="Q216" s="93"/>
      <x:c r="R216" s="93"/>
      <x:c r="S216" s="93"/>
      <x:c r="T216" s="93"/>
      <x:c r="U216" s="93"/>
      <x:c r="V216" s="93"/>
      <x:c r="W216" s="93"/>
      <x:c r="X216" s="93"/>
      <x:c r="Y216" s="93"/>
      <x:c r="Z216" s="93"/>
      <x:c r="AA216" s="93"/>
      <x:c r="AB216" s="93"/>
      <x:c r="AC216" s="93"/>
      <x:c r="AD216" s="93"/>
      <x:c r="AE216" s="93"/>
      <x:c r="AF216" s="93"/>
      <x:c r="AG216" s="93"/>
      <x:c r="AH216" s="93"/>
      <x:c r="AI216" s="93"/>
      <x:c r="AJ216" s="93"/>
      <x:c r="AK216" s="93"/>
      <x:c r="AL216" s="93"/>
      <x:c r="AM216" s="93"/>
      <x:c r="AN216" s="93"/>
      <x:c r="AO216" s="93"/>
    </x:row>
    <x:row r="217" ht="14.25" customHeight="1">
      <x:c r="A217" s="93"/>
      <x:c r="B217" s="93"/>
      <x:c r="C217" s="93"/>
      <x:c r="D217" s="93"/>
      <x:c r="E217" s="93"/>
      <x:c r="F217" s="93"/>
      <x:c r="G217" s="93"/>
      <x:c r="H217" s="93"/>
      <x:c r="I217" s="93"/>
      <x:c r="J217" s="93"/>
      <x:c r="K217" s="93"/>
      <x:c r="L217" s="93"/>
      <x:c r="M217" s="93"/>
      <x:c r="N217" s="93"/>
      <x:c r="O217" s="93"/>
      <x:c r="P217" s="93"/>
      <x:c r="Q217" s="93"/>
      <x:c r="R217" s="93"/>
      <x:c r="S217" s="93"/>
      <x:c r="T217" s="93"/>
      <x:c r="U217" s="93"/>
      <x:c r="V217" s="93"/>
      <x:c r="W217" s="93"/>
      <x:c r="X217" s="93"/>
      <x:c r="Y217" s="93"/>
      <x:c r="Z217" s="93"/>
      <x:c r="AA217" s="93"/>
      <x:c r="AB217" s="93"/>
      <x:c r="AC217" s="93"/>
      <x:c r="AD217" s="93"/>
      <x:c r="AE217" s="93"/>
      <x:c r="AF217" s="93"/>
      <x:c r="AG217" s="93"/>
      <x:c r="AH217" s="93"/>
      <x:c r="AI217" s="93"/>
      <x:c r="AJ217" s="93"/>
      <x:c r="AK217" s="93"/>
      <x:c r="AL217" s="93"/>
      <x:c r="AM217" s="93"/>
      <x:c r="AN217" s="93"/>
      <x:c r="AO217" s="93"/>
    </x:row>
    <x:row r="218" ht="14.25" customHeight="1">
      <x:c r="A218" s="93"/>
      <x:c r="B218" s="93"/>
      <x:c r="C218" s="93"/>
      <x:c r="D218" s="93"/>
      <x:c r="E218" s="93"/>
      <x:c r="F218" s="93"/>
      <x:c r="G218" s="93"/>
      <x:c r="H218" s="93"/>
      <x:c r="I218" s="93"/>
      <x:c r="J218" s="93"/>
      <x:c r="K218" s="93"/>
      <x:c r="L218" s="93"/>
      <x:c r="M218" s="93"/>
      <x:c r="N218" s="93"/>
      <x:c r="O218" s="93"/>
      <x:c r="P218" s="93"/>
      <x:c r="Q218" s="93"/>
      <x:c r="R218" s="93"/>
      <x:c r="S218" s="93"/>
      <x:c r="T218" s="93"/>
      <x:c r="U218" s="93"/>
      <x:c r="V218" s="93"/>
      <x:c r="W218" s="93"/>
      <x:c r="X218" s="93"/>
      <x:c r="Y218" s="93"/>
      <x:c r="Z218" s="93"/>
      <x:c r="AA218" s="93"/>
      <x:c r="AB218" s="93"/>
      <x:c r="AC218" s="93"/>
      <x:c r="AD218" s="93"/>
      <x:c r="AE218" s="93"/>
      <x:c r="AF218" s="93"/>
      <x:c r="AG218" s="93"/>
      <x:c r="AH218" s="93"/>
      <x:c r="AI218" s="93"/>
      <x:c r="AJ218" s="93"/>
      <x:c r="AK218" s="93"/>
      <x:c r="AL218" s="93"/>
      <x:c r="AM218" s="93"/>
      <x:c r="AN218" s="93"/>
      <x:c r="AO218" s="93"/>
    </x:row>
    <x:row r="219" ht="14.25" customHeight="1">
      <x:c r="A219" s="93"/>
      <x:c r="B219" s="93"/>
      <x:c r="C219" s="93"/>
      <x:c r="D219" s="93"/>
      <x:c r="E219" s="93"/>
      <x:c r="F219" s="93"/>
      <x:c r="G219" s="93"/>
      <x:c r="H219" s="93"/>
      <x:c r="I219" s="93"/>
      <x:c r="J219" s="93"/>
      <x:c r="K219" s="93"/>
      <x:c r="L219" s="93"/>
      <x:c r="M219" s="93"/>
      <x:c r="N219" s="93"/>
      <x:c r="O219" s="93"/>
      <x:c r="P219" s="93"/>
      <x:c r="Q219" s="93"/>
      <x:c r="R219" s="93"/>
      <x:c r="S219" s="93"/>
      <x:c r="T219" s="93"/>
      <x:c r="U219" s="93"/>
      <x:c r="V219" s="93"/>
      <x:c r="W219" s="93"/>
      <x:c r="X219" s="93"/>
      <x:c r="Y219" s="93"/>
      <x:c r="Z219" s="93"/>
      <x:c r="AA219" s="93"/>
      <x:c r="AB219" s="93"/>
      <x:c r="AC219" s="93"/>
      <x:c r="AD219" s="93"/>
      <x:c r="AE219" s="93"/>
      <x:c r="AF219" s="93"/>
      <x:c r="AG219" s="93"/>
      <x:c r="AH219" s="93"/>
      <x:c r="AI219" s="93"/>
      <x:c r="AJ219" s="93"/>
      <x:c r="AK219" s="93"/>
      <x:c r="AL219" s="93"/>
      <x:c r="AM219" s="93"/>
      <x:c r="AN219" s="93"/>
      <x:c r="AO219" s="93"/>
    </x:row>
    <x:row r="220" ht="14.25" customHeight="1">
      <x:c r="A220" s="93"/>
      <x:c r="B220" s="93"/>
      <x:c r="C220" s="93"/>
      <x:c r="D220" s="93"/>
      <x:c r="E220" s="93"/>
      <x:c r="F220" s="93"/>
      <x:c r="G220" s="93"/>
      <x:c r="H220" s="93"/>
      <x:c r="I220" s="93"/>
      <x:c r="J220" s="93"/>
      <x:c r="K220" s="93"/>
      <x:c r="L220" s="93"/>
      <x:c r="M220" s="93"/>
      <x:c r="N220" s="93"/>
      <x:c r="O220" s="93"/>
      <x:c r="P220" s="93"/>
      <x:c r="Q220" s="93"/>
      <x:c r="R220" s="93"/>
      <x:c r="S220" s="93"/>
      <x:c r="T220" s="93"/>
      <x:c r="U220" s="93"/>
      <x:c r="V220" s="93"/>
      <x:c r="W220" s="93"/>
      <x:c r="X220" s="93"/>
      <x:c r="Y220" s="93"/>
      <x:c r="Z220" s="93"/>
      <x:c r="AA220" s="93"/>
      <x:c r="AB220" s="93"/>
      <x:c r="AC220" s="93"/>
      <x:c r="AD220" s="93"/>
      <x:c r="AE220" s="93"/>
      <x:c r="AF220" s="93"/>
      <x:c r="AG220" s="93"/>
      <x:c r="AH220" s="93"/>
      <x:c r="AI220" s="93"/>
      <x:c r="AJ220" s="93"/>
      <x:c r="AK220" s="93"/>
      <x:c r="AL220" s="93"/>
      <x:c r="AM220" s="93"/>
      <x:c r="AN220" s="93"/>
      <x:c r="AO220" s="93"/>
    </x:row>
    <x:row r="221" ht="15.75" customHeight="1">
      <x:c r="A221" s="93"/>
      <x:c r="B221" s="93"/>
      <x:c r="C221" s="93"/>
      <x:c r="D221" s="93"/>
      <x:c r="E221" s="93"/>
      <x:c r="F221" s="93"/>
      <x:c r="G221" s="93"/>
      <x:c r="H221" s="93"/>
      <x:c r="I221" s="93"/>
      <x:c r="J221" s="93"/>
      <x:c r="K221" s="93"/>
      <x:c r="L221" s="93"/>
      <x:c r="M221" s="93"/>
      <x:c r="N221" s="93"/>
      <x:c r="O221" s="93"/>
      <x:c r="P221" s="93"/>
      <x:c r="Q221" s="93"/>
      <x:c r="R221" s="93"/>
      <x:c r="S221" s="93"/>
      <x:c r="T221" s="93"/>
      <x:c r="U221" s="93"/>
      <x:c r="V221" s="93"/>
      <x:c r="W221" s="93"/>
      <x:c r="X221" s="93"/>
      <x:c r="Y221" s="93"/>
      <x:c r="Z221" s="93"/>
      <x:c r="AA221" s="93"/>
      <x:c r="AB221" s="93"/>
      <x:c r="AC221" s="93"/>
      <x:c r="AD221" s="93"/>
      <x:c r="AE221" s="93"/>
      <x:c r="AF221" s="93"/>
      <x:c r="AG221" s="93"/>
      <x:c r="AH221" s="93"/>
      <x:c r="AI221" s="93"/>
      <x:c r="AJ221" s="93"/>
      <x:c r="AK221" s="93"/>
      <x:c r="AL221" s="93"/>
      <x:c r="AM221" s="93"/>
      <x:c r="AN221" s="93"/>
      <x:c r="AO221" s="93"/>
    </x:row>
    <x:row r="222" ht="15.75" customHeight="1">
      <x:c r="A222" s="93"/>
      <x:c r="B222" s="93"/>
      <x:c r="C222" s="93"/>
      <x:c r="D222" s="93"/>
      <x:c r="E222" s="93"/>
      <x:c r="F222" s="93"/>
      <x:c r="G222" s="93"/>
      <x:c r="H222" s="93"/>
      <x:c r="I222" s="93"/>
      <x:c r="J222" s="93"/>
      <x:c r="K222" s="93"/>
      <x:c r="L222" s="93"/>
      <x:c r="M222" s="93"/>
      <x:c r="N222" s="93"/>
      <x:c r="O222" s="93"/>
      <x:c r="P222" s="93"/>
      <x:c r="Q222" s="93"/>
      <x:c r="R222" s="93"/>
      <x:c r="S222" s="93"/>
      <x:c r="T222" s="93"/>
      <x:c r="U222" s="93"/>
      <x:c r="V222" s="93"/>
      <x:c r="W222" s="93"/>
      <x:c r="X222" s="93"/>
      <x:c r="Y222" s="93"/>
      <x:c r="Z222" s="93"/>
      <x:c r="AA222" s="93"/>
      <x:c r="AB222" s="93"/>
      <x:c r="AC222" s="93"/>
      <x:c r="AD222" s="93"/>
      <x:c r="AE222" s="93"/>
      <x:c r="AF222" s="93"/>
      <x:c r="AG222" s="93"/>
      <x:c r="AH222" s="93"/>
      <x:c r="AI222" s="93"/>
      <x:c r="AJ222" s="93"/>
      <x:c r="AK222" s="93"/>
      <x:c r="AL222" s="93"/>
      <x:c r="AM222" s="93"/>
      <x:c r="AN222" s="93"/>
      <x:c r="AO222" s="93"/>
    </x:row>
    <x:row r="223" ht="15.75" customHeight="1">
      <x:c r="A223" s="93"/>
      <x:c r="B223" s="93"/>
      <x:c r="C223" s="93"/>
      <x:c r="D223" s="93"/>
      <x:c r="E223" s="93"/>
      <x:c r="F223" s="93"/>
      <x:c r="G223" s="93"/>
      <x:c r="H223" s="93"/>
      <x:c r="I223" s="93"/>
      <x:c r="J223" s="93"/>
      <x:c r="K223" s="93"/>
      <x:c r="L223" s="93"/>
      <x:c r="M223" s="93"/>
      <x:c r="N223" s="93"/>
      <x:c r="O223" s="93"/>
      <x:c r="P223" s="93"/>
      <x:c r="Q223" s="93"/>
      <x:c r="R223" s="93"/>
      <x:c r="S223" s="93"/>
      <x:c r="T223" s="93"/>
      <x:c r="U223" s="93"/>
      <x:c r="V223" s="93"/>
      <x:c r="W223" s="93"/>
      <x:c r="X223" s="93"/>
      <x:c r="Y223" s="93"/>
      <x:c r="Z223" s="93"/>
      <x:c r="AA223" s="93"/>
      <x:c r="AB223" s="93"/>
      <x:c r="AC223" s="93"/>
      <x:c r="AD223" s="93"/>
      <x:c r="AE223" s="93"/>
      <x:c r="AF223" s="93"/>
      <x:c r="AG223" s="93"/>
      <x:c r="AH223" s="93"/>
      <x:c r="AI223" s="93"/>
      <x:c r="AJ223" s="93"/>
      <x:c r="AK223" s="93"/>
      <x:c r="AL223" s="93"/>
      <x:c r="AM223" s="93"/>
      <x:c r="AN223" s="93"/>
      <x:c r="AO223" s="93"/>
    </x:row>
    <x:row r="224" ht="15.75" customHeight="1">
      <x:c r="A224" s="93"/>
      <x:c r="B224" s="93"/>
      <x:c r="C224" s="93"/>
      <x:c r="D224" s="93"/>
      <x:c r="E224" s="93"/>
      <x:c r="F224" s="93"/>
      <x:c r="G224" s="93"/>
      <x:c r="H224" s="93"/>
      <x:c r="I224" s="93"/>
      <x:c r="J224" s="93"/>
      <x:c r="K224" s="93"/>
      <x:c r="L224" s="93"/>
      <x:c r="M224" s="93"/>
      <x:c r="N224" s="93"/>
      <x:c r="O224" s="93"/>
      <x:c r="P224" s="93"/>
      <x:c r="Q224" s="93"/>
      <x:c r="R224" s="93"/>
      <x:c r="S224" s="93"/>
      <x:c r="T224" s="93"/>
      <x:c r="U224" s="93"/>
      <x:c r="V224" s="93"/>
      <x:c r="W224" s="93"/>
      <x:c r="X224" s="93"/>
      <x:c r="Y224" s="93"/>
      <x:c r="Z224" s="93"/>
      <x:c r="AA224" s="93"/>
      <x:c r="AB224" s="93"/>
      <x:c r="AC224" s="93"/>
      <x:c r="AD224" s="93"/>
      <x:c r="AE224" s="93"/>
      <x:c r="AF224" s="93"/>
      <x:c r="AG224" s="93"/>
      <x:c r="AH224" s="93"/>
      <x:c r="AI224" s="93"/>
      <x:c r="AJ224" s="93"/>
      <x:c r="AK224" s="93"/>
      <x:c r="AL224" s="93"/>
      <x:c r="AM224" s="93"/>
      <x:c r="AN224" s="93"/>
      <x:c r="AO224" s="93"/>
    </x:row>
    <x:row r="225" ht="15.75" customHeight="1">
      <x:c r="A225" s="93"/>
      <x:c r="B225" s="93"/>
      <x:c r="C225" s="93"/>
      <x:c r="D225" s="93"/>
      <x:c r="E225" s="93"/>
      <x:c r="F225" s="93"/>
      <x:c r="G225" s="93"/>
      <x:c r="H225" s="93"/>
      <x:c r="I225" s="93"/>
      <x:c r="J225" s="93"/>
      <x:c r="K225" s="93"/>
      <x:c r="L225" s="93"/>
      <x:c r="M225" s="93"/>
      <x:c r="N225" s="93"/>
      <x:c r="O225" s="93"/>
      <x:c r="P225" s="93"/>
      <x:c r="Q225" s="93"/>
      <x:c r="R225" s="93"/>
      <x:c r="S225" s="93"/>
      <x:c r="T225" s="93"/>
      <x:c r="U225" s="93"/>
      <x:c r="V225" s="93"/>
      <x:c r="W225" s="93"/>
      <x:c r="X225" s="93"/>
      <x:c r="Y225" s="93"/>
      <x:c r="Z225" s="93"/>
      <x:c r="AA225" s="93"/>
      <x:c r="AB225" s="93"/>
      <x:c r="AC225" s="93"/>
      <x:c r="AD225" s="93"/>
      <x:c r="AE225" s="93"/>
      <x:c r="AF225" s="93"/>
      <x:c r="AG225" s="93"/>
      <x:c r="AH225" s="93"/>
      <x:c r="AI225" s="93"/>
      <x:c r="AJ225" s="93"/>
      <x:c r="AK225" s="93"/>
      <x:c r="AL225" s="93"/>
      <x:c r="AM225" s="93"/>
      <x:c r="AN225" s="93"/>
      <x:c r="AO225" s="93"/>
    </x:row>
    <x:row r="226" ht="15.75" customHeight="1">
      <x:c r="A226" s="93"/>
      <x:c r="B226" s="93"/>
      <x:c r="C226" s="93"/>
      <x:c r="D226" s="93"/>
      <x:c r="E226" s="93"/>
      <x:c r="F226" s="93"/>
      <x:c r="G226" s="93"/>
      <x:c r="H226" s="93"/>
      <x:c r="I226" s="93"/>
      <x:c r="J226" s="93"/>
      <x:c r="K226" s="93"/>
      <x:c r="L226" s="93"/>
      <x:c r="M226" s="93"/>
      <x:c r="N226" s="93"/>
      <x:c r="O226" s="93"/>
      <x:c r="P226" s="93"/>
      <x:c r="Q226" s="93"/>
      <x:c r="R226" s="93"/>
      <x:c r="S226" s="93"/>
      <x:c r="T226" s="93"/>
      <x:c r="U226" s="93"/>
      <x:c r="V226" s="93"/>
      <x:c r="W226" s="93"/>
      <x:c r="X226" s="93"/>
      <x:c r="Y226" s="93"/>
      <x:c r="Z226" s="93"/>
      <x:c r="AA226" s="93"/>
      <x:c r="AB226" s="93"/>
      <x:c r="AC226" s="93"/>
      <x:c r="AD226" s="93"/>
      <x:c r="AE226" s="93"/>
      <x:c r="AF226" s="93"/>
      <x:c r="AG226" s="93"/>
      <x:c r="AH226" s="93"/>
      <x:c r="AI226" s="93"/>
      <x:c r="AJ226" s="93"/>
      <x:c r="AK226" s="93"/>
      <x:c r="AL226" s="93"/>
      <x:c r="AM226" s="93"/>
      <x:c r="AN226" s="93"/>
      <x:c r="AO226" s="93"/>
    </x:row>
    <x:row r="227" ht="15.75" customHeight="1">
      <x:c r="A227" s="93"/>
      <x:c r="B227" s="93"/>
      <x:c r="C227" s="93"/>
      <x:c r="D227" s="93"/>
      <x:c r="E227" s="93"/>
      <x:c r="F227" s="93"/>
      <x:c r="G227" s="93"/>
      <x:c r="H227" s="93"/>
      <x:c r="I227" s="93"/>
      <x:c r="J227" s="93"/>
      <x:c r="K227" s="93"/>
      <x:c r="L227" s="93"/>
      <x:c r="M227" s="93"/>
      <x:c r="N227" s="93"/>
      <x:c r="O227" s="93"/>
      <x:c r="P227" s="93"/>
      <x:c r="Q227" s="93"/>
      <x:c r="R227" s="93"/>
      <x:c r="S227" s="93"/>
      <x:c r="T227" s="93"/>
      <x:c r="U227" s="93"/>
      <x:c r="V227" s="93"/>
      <x:c r="W227" s="93"/>
      <x:c r="X227" s="93"/>
      <x:c r="Y227" s="93"/>
      <x:c r="Z227" s="93"/>
      <x:c r="AA227" s="93"/>
      <x:c r="AB227" s="93"/>
      <x:c r="AC227" s="93"/>
      <x:c r="AD227" s="93"/>
      <x:c r="AE227" s="93"/>
      <x:c r="AF227" s="93"/>
      <x:c r="AG227" s="93"/>
      <x:c r="AH227" s="93"/>
      <x:c r="AI227" s="93"/>
      <x:c r="AJ227" s="93"/>
      <x:c r="AK227" s="93"/>
      <x:c r="AL227" s="93"/>
      <x:c r="AM227" s="93"/>
      <x:c r="AN227" s="93"/>
      <x:c r="AO227" s="93"/>
    </x:row>
    <x:row r="228" ht="15.75" customHeight="1">
      <x:c r="A228" s="93"/>
      <x:c r="B228" s="93"/>
      <x:c r="C228" s="93"/>
      <x:c r="D228" s="93"/>
      <x:c r="E228" s="93"/>
      <x:c r="F228" s="93"/>
      <x:c r="G228" s="93"/>
      <x:c r="H228" s="93"/>
      <x:c r="I228" s="93"/>
      <x:c r="J228" s="93"/>
      <x:c r="K228" s="93"/>
      <x:c r="L228" s="93"/>
      <x:c r="M228" s="93"/>
      <x:c r="N228" s="93"/>
      <x:c r="O228" s="93"/>
      <x:c r="P228" s="93"/>
      <x:c r="Q228" s="93"/>
      <x:c r="R228" s="93"/>
      <x:c r="S228" s="93"/>
      <x:c r="T228" s="93"/>
      <x:c r="U228" s="93"/>
      <x:c r="V228" s="93"/>
      <x:c r="W228" s="93"/>
      <x:c r="X228" s="93"/>
      <x:c r="Y228" s="93"/>
      <x:c r="Z228" s="93"/>
      <x:c r="AA228" s="93"/>
      <x:c r="AB228" s="93"/>
      <x:c r="AC228" s="93"/>
      <x:c r="AD228" s="93"/>
      <x:c r="AE228" s="93"/>
      <x:c r="AF228" s="93"/>
      <x:c r="AG228" s="93"/>
      <x:c r="AH228" s="93"/>
      <x:c r="AI228" s="93"/>
      <x:c r="AJ228" s="93"/>
      <x:c r="AK228" s="93"/>
      <x:c r="AL228" s="93"/>
      <x:c r="AM228" s="93"/>
      <x:c r="AN228" s="93"/>
      <x:c r="AO228" s="93"/>
    </x:row>
    <x:row r="229" ht="15.75" customHeight="1">
      <x:c r="A229" s="93"/>
      <x:c r="B229" s="93"/>
      <x:c r="C229" s="93"/>
      <x:c r="D229" s="93"/>
      <x:c r="E229" s="93"/>
      <x:c r="F229" s="93"/>
      <x:c r="G229" s="93"/>
      <x:c r="H229" s="93"/>
      <x:c r="I229" s="93"/>
      <x:c r="J229" s="93"/>
      <x:c r="K229" s="93"/>
      <x:c r="L229" s="93"/>
      <x:c r="M229" s="93"/>
      <x:c r="N229" s="93"/>
      <x:c r="O229" s="93"/>
      <x:c r="P229" s="93"/>
      <x:c r="Q229" s="93"/>
      <x:c r="R229" s="93"/>
      <x:c r="S229" s="93"/>
      <x:c r="T229" s="93"/>
      <x:c r="U229" s="93"/>
      <x:c r="V229" s="93"/>
      <x:c r="W229" s="93"/>
      <x:c r="X229" s="93"/>
      <x:c r="Y229" s="93"/>
      <x:c r="Z229" s="93"/>
      <x:c r="AA229" s="93"/>
      <x:c r="AB229" s="93"/>
      <x:c r="AC229" s="93"/>
      <x:c r="AD229" s="93"/>
      <x:c r="AE229" s="93"/>
      <x:c r="AF229" s="93"/>
      <x:c r="AG229" s="93"/>
      <x:c r="AH229" s="93"/>
      <x:c r="AI229" s="93"/>
      <x:c r="AJ229" s="93"/>
      <x:c r="AK229" s="93"/>
      <x:c r="AL229" s="93"/>
      <x:c r="AM229" s="93"/>
      <x:c r="AN229" s="93"/>
      <x:c r="AO229" s="93"/>
    </x:row>
    <x:row r="230" ht="15.75" customHeight="1">
      <x:c r="A230" s="93"/>
      <x:c r="B230" s="93"/>
      <x:c r="C230" s="93"/>
      <x:c r="D230" s="93"/>
      <x:c r="E230" s="93"/>
      <x:c r="F230" s="93"/>
      <x:c r="G230" s="93"/>
      <x:c r="H230" s="93"/>
      <x:c r="I230" s="93"/>
      <x:c r="J230" s="93"/>
      <x:c r="K230" s="93"/>
      <x:c r="L230" s="93"/>
      <x:c r="M230" s="93"/>
      <x:c r="N230" s="93"/>
      <x:c r="O230" s="93"/>
      <x:c r="P230" s="93"/>
      <x:c r="Q230" s="93"/>
      <x:c r="R230" s="93"/>
      <x:c r="S230" s="93"/>
      <x:c r="T230" s="93"/>
      <x:c r="U230" s="93"/>
      <x:c r="V230" s="93"/>
      <x:c r="W230" s="93"/>
      <x:c r="X230" s="93"/>
      <x:c r="Y230" s="93"/>
      <x:c r="Z230" s="93"/>
      <x:c r="AA230" s="93"/>
      <x:c r="AB230" s="93"/>
      <x:c r="AC230" s="93"/>
      <x:c r="AD230" s="93"/>
      <x:c r="AE230" s="93"/>
      <x:c r="AF230" s="93"/>
      <x:c r="AG230" s="93"/>
      <x:c r="AH230" s="93"/>
      <x:c r="AI230" s="93"/>
      <x:c r="AJ230" s="93"/>
      <x:c r="AK230" s="93"/>
      <x:c r="AL230" s="93"/>
      <x:c r="AM230" s="93"/>
      <x:c r="AN230" s="93"/>
      <x:c r="AO230" s="93"/>
    </x:row>
    <x:row r="231" ht="15.75" customHeight="1">
      <x:c r="A231" s="93"/>
      <x:c r="B231" s="93"/>
      <x:c r="C231" s="93"/>
      <x:c r="D231" s="93"/>
      <x:c r="E231" s="93"/>
      <x:c r="F231" s="93"/>
      <x:c r="G231" s="93"/>
      <x:c r="H231" s="93"/>
      <x:c r="I231" s="93"/>
      <x:c r="J231" s="93"/>
      <x:c r="K231" s="93"/>
      <x:c r="L231" s="93"/>
      <x:c r="M231" s="93"/>
      <x:c r="N231" s="93"/>
      <x:c r="O231" s="93"/>
      <x:c r="P231" s="93"/>
      <x:c r="Q231" s="93"/>
      <x:c r="R231" s="93"/>
      <x:c r="S231" s="93"/>
      <x:c r="T231" s="93"/>
      <x:c r="U231" s="93"/>
      <x:c r="V231" s="93"/>
      <x:c r="W231" s="93"/>
      <x:c r="X231" s="93"/>
      <x:c r="Y231" s="93"/>
      <x:c r="Z231" s="93"/>
      <x:c r="AA231" s="93"/>
      <x:c r="AB231" s="93"/>
      <x:c r="AC231" s="93"/>
      <x:c r="AD231" s="93"/>
      <x:c r="AE231" s="93"/>
      <x:c r="AF231" s="93"/>
      <x:c r="AG231" s="93"/>
      <x:c r="AH231" s="93"/>
      <x:c r="AI231" s="93"/>
      <x:c r="AJ231" s="93"/>
      <x:c r="AK231" s="93"/>
      <x:c r="AL231" s="93"/>
      <x:c r="AM231" s="93"/>
      <x:c r="AN231" s="93"/>
      <x:c r="AO231" s="93"/>
    </x:row>
    <x:row r="232" ht="15.75" customHeight="1">
      <x:c r="A232" s="93"/>
      <x:c r="B232" s="93"/>
      <x:c r="C232" s="93"/>
      <x:c r="D232" s="93"/>
      <x:c r="E232" s="93"/>
      <x:c r="F232" s="93"/>
      <x:c r="G232" s="93"/>
      <x:c r="H232" s="93"/>
      <x:c r="I232" s="93"/>
      <x:c r="J232" s="93"/>
      <x:c r="K232" s="93"/>
      <x:c r="L232" s="93"/>
      <x:c r="M232" s="93"/>
      <x:c r="N232" s="93"/>
      <x:c r="O232" s="93"/>
      <x:c r="P232" s="93"/>
      <x:c r="Q232" s="93"/>
      <x:c r="R232" s="93"/>
      <x:c r="S232" s="93"/>
      <x:c r="T232" s="93"/>
      <x:c r="U232" s="93"/>
      <x:c r="V232" s="93"/>
      <x:c r="W232" s="93"/>
      <x:c r="X232" s="93"/>
      <x:c r="Y232" s="93"/>
      <x:c r="Z232" s="93"/>
      <x:c r="AA232" s="93"/>
      <x:c r="AB232" s="93"/>
      <x:c r="AC232" s="93"/>
      <x:c r="AD232" s="93"/>
      <x:c r="AE232" s="93"/>
      <x:c r="AF232" s="93"/>
      <x:c r="AG232" s="93"/>
      <x:c r="AH232" s="93"/>
      <x:c r="AI232" s="93"/>
      <x:c r="AJ232" s="93"/>
      <x:c r="AK232" s="93"/>
      <x:c r="AL232" s="93"/>
      <x:c r="AM232" s="93"/>
      <x:c r="AN232" s="93"/>
      <x:c r="AO232" s="93"/>
    </x:row>
    <x:row r="233" ht="15.75" customHeight="1">
      <x:c r="A233" s="93"/>
      <x:c r="B233" s="93"/>
      <x:c r="C233" s="93"/>
      <x:c r="D233" s="93"/>
      <x:c r="E233" s="93"/>
      <x:c r="F233" s="93"/>
      <x:c r="G233" s="93"/>
      <x:c r="H233" s="93"/>
      <x:c r="I233" s="93"/>
      <x:c r="J233" s="93"/>
      <x:c r="K233" s="93"/>
      <x:c r="L233" s="93"/>
      <x:c r="M233" s="93"/>
      <x:c r="N233" s="93"/>
      <x:c r="O233" s="93"/>
      <x:c r="P233" s="93"/>
      <x:c r="Q233" s="93"/>
      <x:c r="R233" s="93"/>
      <x:c r="S233" s="93"/>
      <x:c r="T233" s="93"/>
      <x:c r="U233" s="93"/>
      <x:c r="V233" s="93"/>
      <x:c r="W233" s="93"/>
      <x:c r="X233" s="93"/>
      <x:c r="Y233" s="93"/>
      <x:c r="Z233" s="93"/>
      <x:c r="AA233" s="93"/>
      <x:c r="AB233" s="93"/>
      <x:c r="AC233" s="93"/>
      <x:c r="AD233" s="93"/>
      <x:c r="AE233" s="93"/>
      <x:c r="AF233" s="93"/>
      <x:c r="AG233" s="93"/>
      <x:c r="AH233" s="93"/>
      <x:c r="AI233" s="93"/>
      <x:c r="AJ233" s="93"/>
      <x:c r="AK233" s="93"/>
      <x:c r="AL233" s="93"/>
      <x:c r="AM233" s="93"/>
      <x:c r="AN233" s="93"/>
      <x:c r="AO233" s="93"/>
    </x:row>
    <x:row r="234" ht="15.75" customHeight="1">
      <x:c r="A234" s="93"/>
      <x:c r="B234" s="93"/>
      <x:c r="C234" s="93"/>
      <x:c r="D234" s="93"/>
      <x:c r="E234" s="93"/>
      <x:c r="F234" s="93"/>
      <x:c r="G234" s="93"/>
      <x:c r="H234" s="93"/>
      <x:c r="I234" s="93"/>
      <x:c r="J234" s="93"/>
      <x:c r="K234" s="93"/>
      <x:c r="L234" s="93"/>
      <x:c r="M234" s="93"/>
      <x:c r="N234" s="93"/>
      <x:c r="O234" s="93"/>
      <x:c r="P234" s="93"/>
      <x:c r="Q234" s="93"/>
      <x:c r="R234" s="93"/>
      <x:c r="S234" s="93"/>
      <x:c r="T234" s="93"/>
      <x:c r="U234" s="93"/>
      <x:c r="V234" s="93"/>
      <x:c r="W234" s="93"/>
      <x:c r="X234" s="93"/>
      <x:c r="Y234" s="93"/>
      <x:c r="Z234" s="93"/>
      <x:c r="AA234" s="93"/>
      <x:c r="AB234" s="93"/>
      <x:c r="AC234" s="93"/>
      <x:c r="AD234" s="93"/>
      <x:c r="AE234" s="93"/>
      <x:c r="AF234" s="93"/>
      <x:c r="AG234" s="93"/>
      <x:c r="AH234" s="93"/>
      <x:c r="AI234" s="93"/>
      <x:c r="AJ234" s="93"/>
      <x:c r="AK234" s="93"/>
      <x:c r="AL234" s="93"/>
      <x:c r="AM234" s="93"/>
      <x:c r="AN234" s="93"/>
      <x:c r="AO234" s="93"/>
    </x:row>
    <x:row r="235" ht="15.75" customHeight="1">
      <x:c r="A235" s="93"/>
      <x:c r="B235" s="93"/>
      <x:c r="C235" s="93"/>
      <x:c r="D235" s="93"/>
      <x:c r="E235" s="93"/>
      <x:c r="F235" s="93"/>
      <x:c r="G235" s="93"/>
      <x:c r="H235" s="93"/>
      <x:c r="I235" s="93"/>
      <x:c r="J235" s="93"/>
      <x:c r="K235" s="93"/>
      <x:c r="L235" s="93"/>
      <x:c r="M235" s="93"/>
      <x:c r="N235" s="93"/>
      <x:c r="O235" s="93"/>
      <x:c r="P235" s="93"/>
      <x:c r="Q235" s="93"/>
      <x:c r="R235" s="93"/>
      <x:c r="S235" s="93"/>
      <x:c r="T235" s="93"/>
      <x:c r="U235" s="93"/>
      <x:c r="V235" s="93"/>
      <x:c r="W235" s="93"/>
      <x:c r="X235" s="93"/>
      <x:c r="Y235" s="93"/>
      <x:c r="Z235" s="93"/>
      <x:c r="AA235" s="93"/>
      <x:c r="AB235" s="93"/>
      <x:c r="AC235" s="93"/>
      <x:c r="AD235" s="93"/>
      <x:c r="AE235" s="93"/>
      <x:c r="AF235" s="93"/>
      <x:c r="AG235" s="93"/>
      <x:c r="AH235" s="93"/>
      <x:c r="AI235" s="93"/>
      <x:c r="AJ235" s="93"/>
      <x:c r="AK235" s="93"/>
      <x:c r="AL235" s="93"/>
      <x:c r="AM235" s="93"/>
      <x:c r="AN235" s="93"/>
      <x:c r="AO235" s="93"/>
    </x:row>
    <x:row r="236" ht="15.75" customHeight="1">
      <x:c r="A236" s="93"/>
      <x:c r="B236" s="93"/>
      <x:c r="C236" s="93"/>
      <x:c r="D236" s="93"/>
      <x:c r="E236" s="93"/>
      <x:c r="F236" s="93"/>
      <x:c r="G236" s="93"/>
      <x:c r="H236" s="93"/>
      <x:c r="I236" s="93"/>
      <x:c r="J236" s="93"/>
      <x:c r="K236" s="93"/>
      <x:c r="L236" s="93"/>
      <x:c r="M236" s="93"/>
      <x:c r="N236" s="93"/>
      <x:c r="O236" s="93"/>
      <x:c r="P236" s="93"/>
      <x:c r="Q236" s="93"/>
      <x:c r="R236" s="93"/>
      <x:c r="S236" s="93"/>
      <x:c r="T236" s="93"/>
      <x:c r="U236" s="93"/>
      <x:c r="V236" s="93"/>
      <x:c r="W236" s="93"/>
      <x:c r="X236" s="93"/>
      <x:c r="Y236" s="93"/>
      <x:c r="Z236" s="93"/>
      <x:c r="AA236" s="93"/>
      <x:c r="AB236" s="93"/>
      <x:c r="AC236" s="93"/>
      <x:c r="AD236" s="93"/>
      <x:c r="AE236" s="93"/>
      <x:c r="AF236" s="93"/>
      <x:c r="AG236" s="93"/>
      <x:c r="AH236" s="93"/>
      <x:c r="AI236" s="93"/>
      <x:c r="AJ236" s="93"/>
      <x:c r="AK236" s="93"/>
      <x:c r="AL236" s="93"/>
      <x:c r="AM236" s="93"/>
      <x:c r="AN236" s="93"/>
      <x:c r="AO236" s="93"/>
    </x:row>
    <x:row r="237" ht="15.75" customHeight="1">
      <x:c r="A237" s="93"/>
      <x:c r="B237" s="93"/>
      <x:c r="C237" s="93"/>
      <x:c r="D237" s="93"/>
      <x:c r="E237" s="93"/>
      <x:c r="F237" s="93"/>
      <x:c r="G237" s="93"/>
      <x:c r="H237" s="93"/>
      <x:c r="I237" s="93"/>
      <x:c r="J237" s="93"/>
      <x:c r="K237" s="93"/>
      <x:c r="L237" s="93"/>
      <x:c r="M237" s="93"/>
      <x:c r="N237" s="93"/>
      <x:c r="O237" s="93"/>
      <x:c r="P237" s="93"/>
      <x:c r="Q237" s="93"/>
      <x:c r="R237" s="93"/>
      <x:c r="S237" s="93"/>
      <x:c r="T237" s="93"/>
      <x:c r="U237" s="93"/>
      <x:c r="V237" s="93"/>
      <x:c r="W237" s="93"/>
      <x:c r="X237" s="93"/>
      <x:c r="Y237" s="93"/>
      <x:c r="Z237" s="93"/>
      <x:c r="AA237" s="93"/>
      <x:c r="AB237" s="93"/>
      <x:c r="AC237" s="93"/>
      <x:c r="AD237" s="93"/>
      <x:c r="AE237" s="93"/>
      <x:c r="AF237" s="93"/>
      <x:c r="AG237" s="93"/>
      <x:c r="AH237" s="93"/>
      <x:c r="AI237" s="93"/>
      <x:c r="AJ237" s="93"/>
      <x:c r="AK237" s="93"/>
      <x:c r="AL237" s="93"/>
      <x:c r="AM237" s="93"/>
      <x:c r="AN237" s="93"/>
      <x:c r="AO237" s="93"/>
    </x:row>
    <x:row r="238" ht="15.75" customHeight="1">
      <x:c r="A238" s="93"/>
      <x:c r="B238" s="93"/>
      <x:c r="C238" s="93"/>
      <x:c r="D238" s="93"/>
      <x:c r="E238" s="93"/>
      <x:c r="F238" s="93"/>
      <x:c r="G238" s="93"/>
      <x:c r="H238" s="93"/>
      <x:c r="I238" s="93"/>
      <x:c r="J238" s="93"/>
      <x:c r="K238" s="93"/>
      <x:c r="L238" s="93"/>
      <x:c r="M238" s="93"/>
      <x:c r="N238" s="93"/>
      <x:c r="O238" s="93"/>
      <x:c r="P238" s="93"/>
      <x:c r="Q238" s="93"/>
      <x:c r="R238" s="93"/>
      <x:c r="S238" s="93"/>
      <x:c r="T238" s="93"/>
      <x:c r="U238" s="93"/>
      <x:c r="V238" s="93"/>
      <x:c r="W238" s="93"/>
      <x:c r="X238" s="93"/>
      <x:c r="Y238" s="93"/>
      <x:c r="Z238" s="93"/>
      <x:c r="AA238" s="93"/>
      <x:c r="AB238" s="93"/>
      <x:c r="AC238" s="93"/>
      <x:c r="AD238" s="93"/>
      <x:c r="AE238" s="93"/>
      <x:c r="AF238" s="93"/>
      <x:c r="AG238" s="93"/>
      <x:c r="AH238" s="93"/>
      <x:c r="AI238" s="93"/>
      <x:c r="AJ238" s="93"/>
      <x:c r="AK238" s="93"/>
      <x:c r="AL238" s="93"/>
      <x:c r="AM238" s="93"/>
      <x:c r="AN238" s="93"/>
      <x:c r="AO238" s="93"/>
    </x:row>
    <x:row r="239" ht="15.75" customHeight="1">
      <x:c r="A239" s="93"/>
      <x:c r="B239" s="93"/>
      <x:c r="C239" s="93"/>
      <x:c r="D239" s="93"/>
      <x:c r="E239" s="93"/>
      <x:c r="F239" s="93"/>
      <x:c r="G239" s="93"/>
      <x:c r="H239" s="93"/>
      <x:c r="I239" s="93"/>
      <x:c r="J239" s="93"/>
      <x:c r="K239" s="93"/>
      <x:c r="L239" s="93"/>
      <x:c r="M239" s="93"/>
      <x:c r="N239" s="93"/>
      <x:c r="O239" s="93"/>
      <x:c r="P239" s="93"/>
      <x:c r="Q239" s="93"/>
      <x:c r="R239" s="93"/>
      <x:c r="S239" s="93"/>
      <x:c r="T239" s="93"/>
      <x:c r="U239" s="93"/>
      <x:c r="V239" s="93"/>
      <x:c r="W239" s="93"/>
      <x:c r="X239" s="93"/>
      <x:c r="Y239" s="93"/>
      <x:c r="Z239" s="93"/>
      <x:c r="AA239" s="93"/>
      <x:c r="AB239" s="93"/>
      <x:c r="AC239" s="93"/>
      <x:c r="AD239" s="93"/>
      <x:c r="AE239" s="93"/>
      <x:c r="AF239" s="93"/>
      <x:c r="AG239" s="93"/>
      <x:c r="AH239" s="93"/>
      <x:c r="AI239" s="93"/>
      <x:c r="AJ239" s="93"/>
      <x:c r="AK239" s="93"/>
      <x:c r="AL239" s="93"/>
      <x:c r="AM239" s="93"/>
      <x:c r="AN239" s="93"/>
      <x:c r="AO239" s="93"/>
    </x:row>
    <x:row r="240" ht="15.75" customHeight="1">
      <x:c r="A240" s="93"/>
      <x:c r="B240" s="93"/>
      <x:c r="C240" s="93"/>
      <x:c r="D240" s="93"/>
      <x:c r="E240" s="93"/>
      <x:c r="F240" s="93"/>
      <x:c r="G240" s="93"/>
      <x:c r="H240" s="93"/>
      <x:c r="I240" s="93"/>
      <x:c r="J240" s="93"/>
      <x:c r="K240" s="93"/>
      <x:c r="L240" s="93"/>
      <x:c r="M240" s="93"/>
      <x:c r="N240" s="93"/>
      <x:c r="O240" s="93"/>
      <x:c r="P240" s="93"/>
      <x:c r="Q240" s="93"/>
      <x:c r="R240" s="93"/>
      <x:c r="S240" s="93"/>
      <x:c r="T240" s="93"/>
      <x:c r="U240" s="93"/>
      <x:c r="V240" s="93"/>
      <x:c r="W240" s="93"/>
      <x:c r="X240" s="93"/>
      <x:c r="Y240" s="93"/>
      <x:c r="Z240" s="93"/>
      <x:c r="AA240" s="93"/>
      <x:c r="AB240" s="93"/>
      <x:c r="AC240" s="93"/>
      <x:c r="AD240" s="93"/>
      <x:c r="AE240" s="93"/>
      <x:c r="AF240" s="93"/>
      <x:c r="AG240" s="93"/>
      <x:c r="AH240" s="93"/>
      <x:c r="AI240" s="93"/>
      <x:c r="AJ240" s="93"/>
      <x:c r="AK240" s="93"/>
      <x:c r="AL240" s="93"/>
      <x:c r="AM240" s="93"/>
      <x:c r="AN240" s="93"/>
      <x:c r="AO240" s="93"/>
    </x:row>
    <x:row r="241" ht="15.75" customHeight="1">
      <x:c r="A241" s="93"/>
      <x:c r="B241" s="93"/>
      <x:c r="C241" s="93"/>
      <x:c r="D241" s="93"/>
      <x:c r="E241" s="93"/>
      <x:c r="F241" s="93"/>
      <x:c r="G241" s="93"/>
      <x:c r="H241" s="93"/>
      <x:c r="I241" s="93"/>
      <x:c r="J241" s="93"/>
      <x:c r="K241" s="93"/>
      <x:c r="L241" s="93"/>
      <x:c r="M241" s="93"/>
      <x:c r="N241" s="93"/>
      <x:c r="O241" s="93"/>
      <x:c r="P241" s="93"/>
      <x:c r="Q241" s="93"/>
      <x:c r="R241" s="93"/>
      <x:c r="S241" s="93"/>
      <x:c r="T241" s="93"/>
      <x:c r="U241" s="93"/>
      <x:c r="V241" s="93"/>
      <x:c r="W241" s="93"/>
      <x:c r="X241" s="93"/>
      <x:c r="Y241" s="93"/>
      <x:c r="Z241" s="93"/>
      <x:c r="AA241" s="93"/>
      <x:c r="AB241" s="93"/>
      <x:c r="AC241" s="93"/>
      <x:c r="AD241" s="93"/>
      <x:c r="AE241" s="93"/>
      <x:c r="AF241" s="93"/>
      <x:c r="AG241" s="93"/>
      <x:c r="AH241" s="93"/>
      <x:c r="AI241" s="93"/>
      <x:c r="AJ241" s="93"/>
      <x:c r="AK241" s="93"/>
      <x:c r="AL241" s="93"/>
      <x:c r="AM241" s="93"/>
      <x:c r="AN241" s="93"/>
      <x:c r="AO241" s="93"/>
    </x:row>
    <x:row r="242" ht="15.75" customHeight="1">
      <x:c r="A242" s="93"/>
      <x:c r="B242" s="93"/>
      <x:c r="C242" s="93"/>
      <x:c r="D242" s="93"/>
      <x:c r="E242" s="93"/>
      <x:c r="F242" s="93"/>
      <x:c r="G242" s="93"/>
      <x:c r="H242" s="93"/>
      <x:c r="I242" s="93"/>
      <x:c r="J242" s="93"/>
      <x:c r="K242" s="93"/>
      <x:c r="L242" s="93"/>
      <x:c r="M242" s="93"/>
      <x:c r="N242" s="93"/>
      <x:c r="O242" s="93"/>
      <x:c r="P242" s="93"/>
      <x:c r="Q242" s="93"/>
      <x:c r="R242" s="93"/>
      <x:c r="S242" s="93"/>
      <x:c r="T242" s="93"/>
      <x:c r="U242" s="93"/>
      <x:c r="V242" s="93"/>
      <x:c r="W242" s="93"/>
      <x:c r="X242" s="93"/>
      <x:c r="Y242" s="93"/>
      <x:c r="Z242" s="93"/>
      <x:c r="AA242" s="93"/>
      <x:c r="AB242" s="93"/>
      <x:c r="AC242" s="93"/>
      <x:c r="AD242" s="93"/>
      <x:c r="AE242" s="93"/>
      <x:c r="AF242" s="93"/>
      <x:c r="AG242" s="93"/>
      <x:c r="AH242" s="93"/>
      <x:c r="AI242" s="93"/>
      <x:c r="AJ242" s="93"/>
      <x:c r="AK242" s="93"/>
      <x:c r="AL242" s="93"/>
      <x:c r="AM242" s="93"/>
      <x:c r="AN242" s="93"/>
      <x:c r="AO242" s="93"/>
    </x:row>
    <x:row r="243" ht="15.75" customHeight="1">
      <x:c r="A243" s="93"/>
      <x:c r="B243" s="93"/>
      <x:c r="C243" s="93"/>
      <x:c r="D243" s="93"/>
      <x:c r="E243" s="93"/>
      <x:c r="F243" s="93"/>
      <x:c r="G243" s="93"/>
      <x:c r="H243" s="93"/>
      <x:c r="I243" s="93"/>
      <x:c r="J243" s="93"/>
      <x:c r="K243" s="93"/>
      <x:c r="L243" s="93"/>
      <x:c r="M243" s="93"/>
      <x:c r="N243" s="93"/>
      <x:c r="O243" s="93"/>
      <x:c r="P243" s="93"/>
      <x:c r="Q243" s="93"/>
      <x:c r="R243" s="93"/>
      <x:c r="S243" s="93"/>
      <x:c r="T243" s="93"/>
      <x:c r="U243" s="93"/>
      <x:c r="V243" s="93"/>
      <x:c r="W243" s="93"/>
      <x:c r="X243" s="93"/>
      <x:c r="Y243" s="93"/>
      <x:c r="Z243" s="93"/>
      <x:c r="AA243" s="93"/>
      <x:c r="AB243" s="93"/>
      <x:c r="AC243" s="93"/>
      <x:c r="AD243" s="93"/>
      <x:c r="AE243" s="93"/>
      <x:c r="AF243" s="93"/>
      <x:c r="AG243" s="93"/>
      <x:c r="AH243" s="93"/>
      <x:c r="AI243" s="93"/>
      <x:c r="AJ243" s="93"/>
      <x:c r="AK243" s="93"/>
      <x:c r="AL243" s="93"/>
      <x:c r="AM243" s="93"/>
      <x:c r="AN243" s="93"/>
      <x:c r="AO243" s="93"/>
    </x:row>
    <x:row r="244" ht="15.75" customHeight="1">
      <x:c r="A244" s="93"/>
      <x:c r="B244" s="93"/>
      <x:c r="C244" s="93"/>
      <x:c r="D244" s="93"/>
      <x:c r="E244" s="93"/>
      <x:c r="F244" s="93"/>
      <x:c r="G244" s="93"/>
      <x:c r="H244" s="93"/>
      <x:c r="I244" s="93"/>
      <x:c r="J244" s="93"/>
      <x:c r="K244" s="93"/>
      <x:c r="L244" s="93"/>
      <x:c r="M244" s="93"/>
      <x:c r="N244" s="93"/>
      <x:c r="O244" s="93"/>
      <x:c r="P244" s="93"/>
      <x:c r="Q244" s="93"/>
      <x:c r="R244" s="93"/>
      <x:c r="S244" s="93"/>
      <x:c r="T244" s="93"/>
      <x:c r="U244" s="93"/>
      <x:c r="V244" s="93"/>
      <x:c r="W244" s="93"/>
      <x:c r="X244" s="93"/>
      <x:c r="Y244" s="93"/>
      <x:c r="Z244" s="93"/>
      <x:c r="AA244" s="93"/>
      <x:c r="AB244" s="93"/>
      <x:c r="AC244" s="93"/>
      <x:c r="AD244" s="93"/>
      <x:c r="AE244" s="93"/>
      <x:c r="AF244" s="93"/>
      <x:c r="AG244" s="93"/>
      <x:c r="AH244" s="93"/>
      <x:c r="AI244" s="93"/>
      <x:c r="AJ244" s="93"/>
      <x:c r="AK244" s="93"/>
      <x:c r="AL244" s="93"/>
      <x:c r="AM244" s="93"/>
      <x:c r="AN244" s="93"/>
      <x:c r="AO244" s="93"/>
    </x:row>
    <x:row r="245" ht="15.75" customHeight="1">
      <x:c r="A245" s="93"/>
      <x:c r="B245" s="93"/>
      <x:c r="C245" s="93"/>
      <x:c r="D245" s="93"/>
      <x:c r="E245" s="93"/>
      <x:c r="F245" s="93"/>
      <x:c r="G245" s="93"/>
      <x:c r="H245" s="93"/>
      <x:c r="I245" s="93"/>
      <x:c r="J245" s="93"/>
      <x:c r="K245" s="93"/>
      <x:c r="L245" s="93"/>
      <x:c r="M245" s="93"/>
      <x:c r="N245" s="93"/>
      <x:c r="O245" s="93"/>
      <x:c r="P245" s="93"/>
      <x:c r="Q245" s="93"/>
      <x:c r="R245" s="93"/>
      <x:c r="S245" s="93"/>
      <x:c r="T245" s="93"/>
      <x:c r="U245" s="93"/>
      <x:c r="V245" s="93"/>
      <x:c r="W245" s="93"/>
      <x:c r="X245" s="93"/>
      <x:c r="Y245" s="93"/>
      <x:c r="Z245" s="93"/>
      <x:c r="AA245" s="93"/>
      <x:c r="AB245" s="93"/>
      <x:c r="AC245" s="93"/>
      <x:c r="AD245" s="93"/>
      <x:c r="AE245" s="93"/>
      <x:c r="AF245" s="93"/>
      <x:c r="AG245" s="93"/>
      <x:c r="AH245" s="93"/>
      <x:c r="AI245" s="93"/>
      <x:c r="AJ245" s="93"/>
      <x:c r="AK245" s="93"/>
      <x:c r="AL245" s="93"/>
      <x:c r="AM245" s="93"/>
      <x:c r="AN245" s="93"/>
      <x:c r="AO245" s="93"/>
    </x:row>
    <x:row r="246" ht="15.75" customHeight="1">
      <x:c r="A246" s="93"/>
      <x:c r="B246" s="93"/>
      <x:c r="C246" s="93"/>
      <x:c r="D246" s="93"/>
      <x:c r="E246" s="93"/>
      <x:c r="F246" s="93"/>
      <x:c r="G246" s="93"/>
      <x:c r="H246" s="93"/>
      <x:c r="I246" s="93"/>
      <x:c r="J246" s="93"/>
      <x:c r="K246" s="93"/>
      <x:c r="L246" s="93"/>
      <x:c r="M246" s="93"/>
      <x:c r="N246" s="93"/>
      <x:c r="O246" s="93"/>
      <x:c r="P246" s="93"/>
      <x:c r="Q246" s="93"/>
      <x:c r="R246" s="93"/>
      <x:c r="S246" s="93"/>
      <x:c r="T246" s="93"/>
      <x:c r="U246" s="93"/>
      <x:c r="V246" s="93"/>
      <x:c r="W246" s="93"/>
      <x:c r="X246" s="93"/>
      <x:c r="Y246" s="93"/>
      <x:c r="Z246" s="93"/>
      <x:c r="AA246" s="93"/>
      <x:c r="AB246" s="93"/>
      <x:c r="AC246" s="93"/>
      <x:c r="AD246" s="93"/>
      <x:c r="AE246" s="93"/>
      <x:c r="AF246" s="93"/>
      <x:c r="AG246" s="93"/>
      <x:c r="AH246" s="93"/>
      <x:c r="AI246" s="93"/>
      <x:c r="AJ246" s="93"/>
      <x:c r="AK246" s="93"/>
      <x:c r="AL246" s="93"/>
      <x:c r="AM246" s="93"/>
      <x:c r="AN246" s="93"/>
      <x:c r="AO246" s="93"/>
    </x:row>
    <x:row r="247" ht="15.75" customHeight="1">
      <x:c r="A247" s="93"/>
      <x:c r="B247" s="93"/>
      <x:c r="C247" s="93"/>
      <x:c r="D247" s="93"/>
      <x:c r="E247" s="93"/>
      <x:c r="F247" s="93"/>
      <x:c r="G247" s="93"/>
      <x:c r="H247" s="93"/>
      <x:c r="I247" s="93"/>
      <x:c r="J247" s="93"/>
      <x:c r="K247" s="93"/>
      <x:c r="L247" s="93"/>
      <x:c r="M247" s="93"/>
      <x:c r="N247" s="93"/>
      <x:c r="O247" s="93"/>
      <x:c r="P247" s="93"/>
      <x:c r="Q247" s="93"/>
      <x:c r="R247" s="93"/>
      <x:c r="S247" s="93"/>
      <x:c r="T247" s="93"/>
      <x:c r="U247" s="93"/>
      <x:c r="V247" s="93"/>
      <x:c r="W247" s="93"/>
      <x:c r="X247" s="93"/>
      <x:c r="Y247" s="93"/>
      <x:c r="Z247" s="93"/>
      <x:c r="AA247" s="93"/>
      <x:c r="AB247" s="93"/>
      <x:c r="AC247" s="93"/>
      <x:c r="AD247" s="93"/>
      <x:c r="AE247" s="93"/>
      <x:c r="AF247" s="93"/>
      <x:c r="AG247" s="93"/>
      <x:c r="AH247" s="93"/>
      <x:c r="AI247" s="93"/>
      <x:c r="AJ247" s="93"/>
      <x:c r="AK247" s="93"/>
      <x:c r="AL247" s="93"/>
      <x:c r="AM247" s="93"/>
      <x:c r="AN247" s="93"/>
      <x:c r="AO247" s="93"/>
    </x:row>
    <x:row r="248" ht="15.75" customHeight="1">
      <x:c r="A248" s="93"/>
      <x:c r="B248" s="93"/>
      <x:c r="C248" s="93"/>
      <x:c r="D248" s="93"/>
      <x:c r="E248" s="93"/>
      <x:c r="F248" s="93"/>
      <x:c r="G248" s="93"/>
      <x:c r="H248" s="93"/>
      <x:c r="I248" s="93"/>
      <x:c r="J248" s="93"/>
      <x:c r="K248" s="93"/>
      <x:c r="L248" s="93"/>
      <x:c r="M248" s="93"/>
      <x:c r="N248" s="93"/>
      <x:c r="O248" s="93"/>
      <x:c r="P248" s="93"/>
      <x:c r="Q248" s="93"/>
      <x:c r="R248" s="93"/>
      <x:c r="S248" s="93"/>
      <x:c r="T248" s="93"/>
      <x:c r="U248" s="93"/>
      <x:c r="V248" s="93"/>
      <x:c r="W248" s="93"/>
      <x:c r="X248" s="93"/>
      <x:c r="Y248" s="93"/>
      <x:c r="Z248" s="93"/>
      <x:c r="AA248" s="93"/>
      <x:c r="AB248" s="93"/>
      <x:c r="AC248" s="93"/>
      <x:c r="AD248" s="93"/>
      <x:c r="AE248" s="93"/>
      <x:c r="AF248" s="93"/>
      <x:c r="AG248" s="93"/>
      <x:c r="AH248" s="93"/>
      <x:c r="AI248" s="93"/>
      <x:c r="AJ248" s="93"/>
      <x:c r="AK248" s="93"/>
      <x:c r="AL248" s="93"/>
      <x:c r="AM248" s="93"/>
      <x:c r="AN248" s="93"/>
      <x:c r="AO248" s="93"/>
    </x:row>
    <x:row r="249" ht="15.75" customHeight="1">
      <x:c r="A249" s="93"/>
      <x:c r="B249" s="93"/>
      <x:c r="C249" s="93"/>
      <x:c r="D249" s="93"/>
      <x:c r="E249" s="93"/>
      <x:c r="F249" s="93"/>
      <x:c r="G249" s="93"/>
      <x:c r="H249" s="93"/>
      <x:c r="I249" s="93"/>
      <x:c r="J249" s="93"/>
      <x:c r="K249" s="93"/>
      <x:c r="L249" s="93"/>
      <x:c r="M249" s="93"/>
      <x:c r="N249" s="93"/>
      <x:c r="O249" s="93"/>
      <x:c r="P249" s="93"/>
      <x:c r="Q249" s="93"/>
      <x:c r="R249" s="93"/>
      <x:c r="S249" s="93"/>
      <x:c r="T249" s="93"/>
      <x:c r="U249" s="93"/>
      <x:c r="V249" s="93"/>
      <x:c r="W249" s="93"/>
      <x:c r="X249" s="93"/>
      <x:c r="Y249" s="93"/>
      <x:c r="Z249" s="93"/>
      <x:c r="AA249" s="93"/>
      <x:c r="AB249" s="93"/>
      <x:c r="AC249" s="93"/>
      <x:c r="AD249" s="93"/>
      <x:c r="AE249" s="93"/>
      <x:c r="AF249" s="93"/>
      <x:c r="AG249" s="93"/>
      <x:c r="AH249" s="93"/>
      <x:c r="AI249" s="93"/>
      <x:c r="AJ249" s="93"/>
      <x:c r="AK249" s="93"/>
      <x:c r="AL249" s="93"/>
      <x:c r="AM249" s="93"/>
      <x:c r="AN249" s="93"/>
      <x:c r="AO249" s="93"/>
    </x:row>
    <x:row r="250" ht="15.75" customHeight="1">
      <x:c r="A250" s="93"/>
      <x:c r="B250" s="93"/>
      <x:c r="C250" s="93"/>
      <x:c r="D250" s="93"/>
      <x:c r="E250" s="93"/>
      <x:c r="F250" s="93"/>
      <x:c r="G250" s="93"/>
      <x:c r="H250" s="93"/>
      <x:c r="I250" s="93"/>
      <x:c r="J250" s="93"/>
      <x:c r="K250" s="93"/>
      <x:c r="L250" s="93"/>
      <x:c r="M250" s="93"/>
      <x:c r="N250" s="93"/>
      <x:c r="O250" s="93"/>
      <x:c r="P250" s="93"/>
      <x:c r="Q250" s="93"/>
      <x:c r="R250" s="93"/>
      <x:c r="S250" s="93"/>
      <x:c r="T250" s="93"/>
      <x:c r="U250" s="93"/>
      <x:c r="V250" s="93"/>
      <x:c r="W250" s="93"/>
      <x:c r="X250" s="93"/>
      <x:c r="Y250" s="93"/>
      <x:c r="Z250" s="93"/>
      <x:c r="AA250" s="93"/>
      <x:c r="AB250" s="93"/>
      <x:c r="AC250" s="93"/>
      <x:c r="AD250" s="93"/>
      <x:c r="AE250" s="93"/>
      <x:c r="AF250" s="93"/>
      <x:c r="AG250" s="93"/>
      <x:c r="AH250" s="93"/>
      <x:c r="AI250" s="93"/>
      <x:c r="AJ250" s="93"/>
      <x:c r="AK250" s="93"/>
      <x:c r="AL250" s="93"/>
      <x:c r="AM250" s="93"/>
      <x:c r="AN250" s="93"/>
      <x:c r="AO250" s="93"/>
    </x:row>
    <x:row r="251" ht="15.75" customHeight="1">
      <x:c r="A251" s="93"/>
      <x:c r="B251" s="93"/>
      <x:c r="C251" s="93"/>
      <x:c r="D251" s="93"/>
      <x:c r="E251" s="93"/>
      <x:c r="F251" s="93"/>
      <x:c r="G251" s="93"/>
      <x:c r="H251" s="93"/>
      <x:c r="I251" s="93"/>
      <x:c r="J251" s="93"/>
      <x:c r="K251" s="93"/>
      <x:c r="L251" s="93"/>
      <x:c r="M251" s="93"/>
      <x:c r="N251" s="93"/>
      <x:c r="O251" s="93"/>
      <x:c r="P251" s="93"/>
      <x:c r="Q251" s="93"/>
      <x:c r="R251" s="93"/>
      <x:c r="S251" s="93"/>
      <x:c r="T251" s="93"/>
      <x:c r="U251" s="93"/>
      <x:c r="V251" s="93"/>
      <x:c r="W251" s="93"/>
      <x:c r="X251" s="93"/>
      <x:c r="Y251" s="93"/>
      <x:c r="Z251" s="93"/>
      <x:c r="AA251" s="93"/>
      <x:c r="AB251" s="93"/>
      <x:c r="AC251" s="93"/>
      <x:c r="AD251" s="93"/>
      <x:c r="AE251" s="93"/>
      <x:c r="AF251" s="93"/>
      <x:c r="AG251" s="93"/>
      <x:c r="AH251" s="93"/>
      <x:c r="AI251" s="93"/>
      <x:c r="AJ251" s="93"/>
      <x:c r="AK251" s="93"/>
      <x:c r="AL251" s="93"/>
      <x:c r="AM251" s="93"/>
      <x:c r="AN251" s="93"/>
      <x:c r="AO251" s="93"/>
    </x:row>
    <x:row r="252" ht="15.75" customHeight="1">
      <x:c r="A252" s="93"/>
      <x:c r="B252" s="93"/>
      <x:c r="C252" s="93"/>
      <x:c r="D252" s="93"/>
      <x:c r="E252" s="93"/>
      <x:c r="F252" s="93"/>
      <x:c r="G252" s="93"/>
      <x:c r="H252" s="93"/>
      <x:c r="I252" s="93"/>
      <x:c r="J252" s="93"/>
      <x:c r="K252" s="93"/>
      <x:c r="L252" s="93"/>
      <x:c r="M252" s="93"/>
      <x:c r="N252" s="93"/>
      <x:c r="O252" s="93"/>
      <x:c r="P252" s="93"/>
      <x:c r="Q252" s="93"/>
      <x:c r="R252" s="93"/>
      <x:c r="S252" s="93"/>
      <x:c r="T252" s="93"/>
      <x:c r="U252" s="93"/>
      <x:c r="V252" s="93"/>
      <x:c r="W252" s="93"/>
      <x:c r="X252" s="93"/>
      <x:c r="Y252" s="93"/>
      <x:c r="Z252" s="93"/>
      <x:c r="AA252" s="93"/>
      <x:c r="AB252" s="93"/>
      <x:c r="AC252" s="93"/>
      <x:c r="AD252" s="93"/>
      <x:c r="AE252" s="93"/>
      <x:c r="AF252" s="93"/>
      <x:c r="AG252" s="93"/>
      <x:c r="AH252" s="93"/>
      <x:c r="AI252" s="93"/>
      <x:c r="AJ252" s="93"/>
      <x:c r="AK252" s="93"/>
      <x:c r="AL252" s="93"/>
      <x:c r="AM252" s="93"/>
      <x:c r="AN252" s="93"/>
      <x:c r="AO252" s="93"/>
    </x:row>
    <x:row r="253" ht="15.75" customHeight="1">
      <x:c r="A253" s="93"/>
      <x:c r="B253" s="93"/>
      <x:c r="C253" s="93"/>
      <x:c r="D253" s="93"/>
      <x:c r="E253" s="93"/>
      <x:c r="F253" s="93"/>
      <x:c r="G253" s="93"/>
      <x:c r="H253" s="93"/>
      <x:c r="I253" s="93"/>
      <x:c r="J253" s="93"/>
      <x:c r="K253" s="93"/>
      <x:c r="L253" s="93"/>
      <x:c r="M253" s="93"/>
      <x:c r="N253" s="93"/>
      <x:c r="O253" s="93"/>
      <x:c r="P253" s="93"/>
      <x:c r="Q253" s="93"/>
      <x:c r="R253" s="93"/>
      <x:c r="S253" s="93"/>
      <x:c r="T253" s="93"/>
      <x:c r="U253" s="93"/>
      <x:c r="V253" s="93"/>
      <x:c r="W253" s="93"/>
      <x:c r="X253" s="93"/>
      <x:c r="Y253" s="93"/>
      <x:c r="Z253" s="93"/>
      <x:c r="AA253" s="93"/>
      <x:c r="AB253" s="93"/>
      <x:c r="AC253" s="93"/>
      <x:c r="AD253" s="93"/>
      <x:c r="AE253" s="93"/>
      <x:c r="AF253" s="93"/>
      <x:c r="AG253" s="93"/>
      <x:c r="AH253" s="93"/>
      <x:c r="AI253" s="93"/>
      <x:c r="AJ253" s="93"/>
      <x:c r="AK253" s="93"/>
      <x:c r="AL253" s="93"/>
      <x:c r="AM253" s="93"/>
      <x:c r="AN253" s="93"/>
      <x:c r="AO253" s="93"/>
    </x:row>
    <x:row r="254" ht="15.75" customHeight="1">
      <x:c r="A254" s="93"/>
      <x:c r="B254" s="93"/>
      <x:c r="C254" s="93"/>
      <x:c r="D254" s="93"/>
      <x:c r="E254" s="93"/>
      <x:c r="F254" s="93"/>
      <x:c r="G254" s="93"/>
      <x:c r="H254" s="93"/>
      <x:c r="I254" s="93"/>
      <x:c r="J254" s="93"/>
      <x:c r="K254" s="93"/>
      <x:c r="L254" s="93"/>
      <x:c r="M254" s="93"/>
      <x:c r="N254" s="93"/>
      <x:c r="O254" s="93"/>
      <x:c r="P254" s="93"/>
      <x:c r="Q254" s="93"/>
      <x:c r="R254" s="93"/>
      <x:c r="S254" s="93"/>
      <x:c r="T254" s="93"/>
      <x:c r="U254" s="93"/>
      <x:c r="V254" s="93"/>
      <x:c r="W254" s="93"/>
      <x:c r="X254" s="93"/>
      <x:c r="Y254" s="93"/>
      <x:c r="Z254" s="93"/>
      <x:c r="AA254" s="93"/>
      <x:c r="AB254" s="93"/>
      <x:c r="AC254" s="93"/>
      <x:c r="AD254" s="93"/>
      <x:c r="AE254" s="93"/>
      <x:c r="AF254" s="93"/>
      <x:c r="AG254" s="93"/>
      <x:c r="AH254" s="93"/>
      <x:c r="AI254" s="93"/>
      <x:c r="AJ254" s="93"/>
      <x:c r="AK254" s="93"/>
      <x:c r="AL254" s="93"/>
      <x:c r="AM254" s="93"/>
      <x:c r="AN254" s="93"/>
      <x:c r="AO254" s="93"/>
    </x:row>
    <x:row r="255" ht="15.75" customHeight="1">
      <x:c r="A255" s="93"/>
      <x:c r="B255" s="93"/>
      <x:c r="C255" s="93"/>
      <x:c r="D255" s="93"/>
      <x:c r="E255" s="93"/>
      <x:c r="F255" s="93"/>
      <x:c r="G255" s="93"/>
      <x:c r="H255" s="93"/>
      <x:c r="I255" s="93"/>
      <x:c r="J255" s="93"/>
      <x:c r="K255" s="93"/>
      <x:c r="L255" s="93"/>
      <x:c r="M255" s="93"/>
      <x:c r="N255" s="93"/>
      <x:c r="O255" s="93"/>
      <x:c r="P255" s="93"/>
      <x:c r="Q255" s="93"/>
      <x:c r="R255" s="93"/>
      <x:c r="S255" s="93"/>
      <x:c r="T255" s="93"/>
      <x:c r="U255" s="93"/>
      <x:c r="V255" s="93"/>
      <x:c r="W255" s="93"/>
      <x:c r="X255" s="93"/>
      <x:c r="Y255" s="93"/>
      <x:c r="Z255" s="93"/>
      <x:c r="AA255" s="93"/>
      <x:c r="AB255" s="93"/>
      <x:c r="AC255" s="93"/>
      <x:c r="AD255" s="93"/>
      <x:c r="AE255" s="93"/>
      <x:c r="AF255" s="93"/>
      <x:c r="AG255" s="93"/>
      <x:c r="AH255" s="93"/>
      <x:c r="AI255" s="93"/>
      <x:c r="AJ255" s="93"/>
      <x:c r="AK255" s="93"/>
      <x:c r="AL255" s="93"/>
      <x:c r="AM255" s="93"/>
      <x:c r="AN255" s="93"/>
      <x:c r="AO255" s="93"/>
    </x:row>
    <x:row r="256" ht="15.75" customHeight="1">
      <x:c r="A256" s="93"/>
      <x:c r="B256" s="93"/>
      <x:c r="C256" s="93"/>
      <x:c r="D256" s="93"/>
      <x:c r="E256" s="93"/>
      <x:c r="F256" s="93"/>
      <x:c r="G256" s="93"/>
      <x:c r="H256" s="93"/>
      <x:c r="I256" s="93"/>
      <x:c r="J256" s="93"/>
      <x:c r="K256" s="93"/>
      <x:c r="L256" s="93"/>
      <x:c r="M256" s="93"/>
      <x:c r="N256" s="93"/>
      <x:c r="O256" s="93"/>
      <x:c r="P256" s="93"/>
      <x:c r="Q256" s="93"/>
      <x:c r="R256" s="93"/>
      <x:c r="S256" s="93"/>
      <x:c r="T256" s="93"/>
      <x:c r="U256" s="93"/>
      <x:c r="V256" s="93"/>
      <x:c r="W256" s="93"/>
      <x:c r="X256" s="93"/>
      <x:c r="Y256" s="93"/>
      <x:c r="Z256" s="93"/>
      <x:c r="AA256" s="93"/>
      <x:c r="AB256" s="93"/>
      <x:c r="AC256" s="93"/>
      <x:c r="AD256" s="93"/>
      <x:c r="AE256" s="93"/>
      <x:c r="AF256" s="93"/>
      <x:c r="AG256" s="93"/>
      <x:c r="AH256" s="93"/>
      <x:c r="AI256" s="93"/>
      <x:c r="AJ256" s="93"/>
      <x:c r="AK256" s="93"/>
      <x:c r="AL256" s="93"/>
      <x:c r="AM256" s="93"/>
      <x:c r="AN256" s="93"/>
      <x:c r="AO256" s="93"/>
    </x:row>
    <x:row r="257" ht="15.75" customHeight="1">
      <x:c r="A257" s="93"/>
      <x:c r="B257" s="93"/>
      <x:c r="C257" s="93"/>
      <x:c r="D257" s="93"/>
      <x:c r="E257" s="93"/>
      <x:c r="F257" s="93"/>
      <x:c r="G257" s="93"/>
      <x:c r="H257" s="93"/>
      <x:c r="I257" s="93"/>
      <x:c r="J257" s="93"/>
      <x:c r="K257" s="93"/>
      <x:c r="L257" s="93"/>
      <x:c r="M257" s="93"/>
      <x:c r="N257" s="93"/>
      <x:c r="O257" s="93"/>
      <x:c r="P257" s="93"/>
      <x:c r="Q257" s="93"/>
      <x:c r="R257" s="93"/>
      <x:c r="S257" s="93"/>
      <x:c r="T257" s="93"/>
      <x:c r="U257" s="93"/>
      <x:c r="V257" s="93"/>
      <x:c r="W257" s="93"/>
      <x:c r="X257" s="93"/>
      <x:c r="Y257" s="93"/>
      <x:c r="Z257" s="93"/>
      <x:c r="AA257" s="93"/>
      <x:c r="AB257" s="93"/>
      <x:c r="AC257" s="93"/>
      <x:c r="AD257" s="93"/>
      <x:c r="AE257" s="93"/>
      <x:c r="AF257" s="93"/>
      <x:c r="AG257" s="93"/>
      <x:c r="AH257" s="93"/>
      <x:c r="AI257" s="93"/>
      <x:c r="AJ257" s="93"/>
      <x:c r="AK257" s="93"/>
      <x:c r="AL257" s="93"/>
      <x:c r="AM257" s="93"/>
      <x:c r="AN257" s="93"/>
      <x:c r="AO257" s="93"/>
    </x:row>
    <x:row r="258" ht="15.75" customHeight="1">
      <x:c r="A258" s="93"/>
      <x:c r="B258" s="93"/>
      <x:c r="C258" s="93"/>
      <x:c r="D258" s="93"/>
      <x:c r="E258" s="93"/>
      <x:c r="F258" s="93"/>
      <x:c r="G258" s="93"/>
      <x:c r="H258" s="93"/>
      <x:c r="I258" s="93"/>
      <x:c r="J258" s="93"/>
      <x:c r="K258" s="93"/>
      <x:c r="L258" s="93"/>
      <x:c r="M258" s="93"/>
      <x:c r="N258" s="93"/>
      <x:c r="O258" s="93"/>
      <x:c r="P258" s="93"/>
      <x:c r="Q258" s="93"/>
      <x:c r="R258" s="93"/>
      <x:c r="S258" s="93"/>
      <x:c r="T258" s="93"/>
      <x:c r="U258" s="93"/>
      <x:c r="V258" s="93"/>
      <x:c r="W258" s="93"/>
      <x:c r="X258" s="93"/>
      <x:c r="Y258" s="93"/>
      <x:c r="Z258" s="93"/>
      <x:c r="AA258" s="93"/>
      <x:c r="AB258" s="93"/>
      <x:c r="AC258" s="93"/>
      <x:c r="AD258" s="93"/>
      <x:c r="AE258" s="93"/>
      <x:c r="AF258" s="93"/>
      <x:c r="AG258" s="93"/>
      <x:c r="AH258" s="93"/>
      <x:c r="AI258" s="93"/>
      <x:c r="AJ258" s="93"/>
      <x:c r="AK258" s="93"/>
      <x:c r="AL258" s="93"/>
      <x:c r="AM258" s="93"/>
      <x:c r="AN258" s="93"/>
      <x:c r="AO258" s="93"/>
    </x:row>
    <x:row r="259" ht="15.75" customHeight="1">
      <x:c r="A259" s="93"/>
      <x:c r="B259" s="93"/>
      <x:c r="C259" s="93"/>
      <x:c r="D259" s="93"/>
      <x:c r="E259" s="93"/>
      <x:c r="F259" s="93"/>
      <x:c r="G259" s="93"/>
      <x:c r="H259" s="93"/>
      <x:c r="I259" s="93"/>
      <x:c r="J259" s="93"/>
      <x:c r="K259" s="93"/>
      <x:c r="L259" s="93"/>
      <x:c r="M259" s="93"/>
      <x:c r="N259" s="93"/>
      <x:c r="O259" s="93"/>
      <x:c r="P259" s="93"/>
      <x:c r="Q259" s="93"/>
      <x:c r="R259" s="93"/>
      <x:c r="S259" s="93"/>
      <x:c r="T259" s="93"/>
      <x:c r="U259" s="93"/>
      <x:c r="V259" s="93"/>
      <x:c r="W259" s="93"/>
      <x:c r="X259" s="93"/>
      <x:c r="Y259" s="93"/>
      <x:c r="Z259" s="93"/>
      <x:c r="AA259" s="93"/>
      <x:c r="AB259" s="93"/>
      <x:c r="AC259" s="93"/>
      <x:c r="AD259" s="93"/>
      <x:c r="AE259" s="93"/>
      <x:c r="AF259" s="93"/>
      <x:c r="AG259" s="93"/>
      <x:c r="AH259" s="93"/>
      <x:c r="AI259" s="93"/>
      <x:c r="AJ259" s="93"/>
      <x:c r="AK259" s="93"/>
      <x:c r="AL259" s="93"/>
      <x:c r="AM259" s="93"/>
      <x:c r="AN259" s="93"/>
      <x:c r="AO259" s="93"/>
    </x:row>
    <x:row r="260" ht="15.75" customHeight="1">
      <x:c r="A260" s="93"/>
      <x:c r="B260" s="93"/>
      <x:c r="C260" s="93"/>
      <x:c r="D260" s="93"/>
      <x:c r="E260" s="93"/>
      <x:c r="F260" s="93"/>
      <x:c r="G260" s="93"/>
      <x:c r="H260" s="93"/>
      <x:c r="I260" s="93"/>
      <x:c r="J260" s="93"/>
      <x:c r="K260" s="93"/>
      <x:c r="L260" s="93"/>
      <x:c r="M260" s="93"/>
      <x:c r="N260" s="93"/>
      <x:c r="O260" s="93"/>
      <x:c r="P260" s="93"/>
      <x:c r="Q260" s="93"/>
      <x:c r="R260" s="93"/>
      <x:c r="S260" s="93"/>
      <x:c r="T260" s="93"/>
      <x:c r="U260" s="93"/>
      <x:c r="V260" s="93"/>
      <x:c r="W260" s="93"/>
      <x:c r="X260" s="93"/>
      <x:c r="Y260" s="93"/>
      <x:c r="Z260" s="93"/>
      <x:c r="AA260" s="93"/>
      <x:c r="AB260" s="93"/>
      <x:c r="AC260" s="93"/>
      <x:c r="AD260" s="93"/>
      <x:c r="AE260" s="93"/>
      <x:c r="AF260" s="93"/>
      <x:c r="AG260" s="93"/>
      <x:c r="AH260" s="93"/>
      <x:c r="AI260" s="93"/>
      <x:c r="AJ260" s="93"/>
      <x:c r="AK260" s="93"/>
      <x:c r="AL260" s="93"/>
      <x:c r="AM260" s="93"/>
      <x:c r="AN260" s="93"/>
      <x:c r="AO260" s="93"/>
    </x:row>
    <x:row r="261" ht="15.75" customHeight="1">
      <x:c r="A261" s="93"/>
      <x:c r="B261" s="93"/>
      <x:c r="C261" s="93"/>
      <x:c r="D261" s="93"/>
      <x:c r="E261" s="93"/>
      <x:c r="F261" s="93"/>
      <x:c r="G261" s="93"/>
      <x:c r="H261" s="93"/>
      <x:c r="I261" s="93"/>
      <x:c r="J261" s="93"/>
      <x:c r="K261" s="93"/>
      <x:c r="L261" s="93"/>
      <x:c r="M261" s="93"/>
      <x:c r="N261" s="93"/>
      <x:c r="O261" s="93"/>
      <x:c r="P261" s="93"/>
      <x:c r="Q261" s="93"/>
      <x:c r="R261" s="93"/>
      <x:c r="S261" s="93"/>
      <x:c r="T261" s="93"/>
      <x:c r="U261" s="93"/>
      <x:c r="V261" s="93"/>
      <x:c r="W261" s="93"/>
      <x:c r="X261" s="93"/>
      <x:c r="Y261" s="93"/>
      <x:c r="Z261" s="93"/>
      <x:c r="AA261" s="93"/>
      <x:c r="AB261" s="93"/>
      <x:c r="AC261" s="93"/>
      <x:c r="AD261" s="93"/>
      <x:c r="AE261" s="93"/>
      <x:c r="AF261" s="93"/>
      <x:c r="AG261" s="93"/>
      <x:c r="AH261" s="93"/>
      <x:c r="AI261" s="93"/>
      <x:c r="AJ261" s="93"/>
      <x:c r="AK261" s="93"/>
      <x:c r="AL261" s="93"/>
      <x:c r="AM261" s="93"/>
      <x:c r="AN261" s="93"/>
      <x:c r="AO261" s="93"/>
    </x:row>
    <x:row r="262" ht="15.75" customHeight="1">
      <x:c r="A262" s="93"/>
      <x:c r="B262" s="93"/>
      <x:c r="C262" s="93"/>
      <x:c r="D262" s="93"/>
      <x:c r="E262" s="93"/>
      <x:c r="F262" s="93"/>
      <x:c r="G262" s="93"/>
      <x:c r="H262" s="93"/>
      <x:c r="I262" s="93"/>
      <x:c r="J262" s="93"/>
      <x:c r="K262" s="93"/>
      <x:c r="L262" s="93"/>
      <x:c r="M262" s="93"/>
      <x:c r="N262" s="93"/>
      <x:c r="O262" s="93"/>
      <x:c r="P262" s="93"/>
      <x:c r="Q262" s="93"/>
      <x:c r="R262" s="93"/>
      <x:c r="S262" s="93"/>
      <x:c r="T262" s="93"/>
      <x:c r="U262" s="93"/>
      <x:c r="V262" s="93"/>
      <x:c r="W262" s="93"/>
      <x:c r="X262" s="93"/>
      <x:c r="Y262" s="93"/>
      <x:c r="Z262" s="93"/>
      <x:c r="AA262" s="93"/>
      <x:c r="AB262" s="93"/>
      <x:c r="AC262" s="93"/>
      <x:c r="AD262" s="93"/>
      <x:c r="AE262" s="93"/>
      <x:c r="AF262" s="93"/>
      <x:c r="AG262" s="93"/>
      <x:c r="AH262" s="93"/>
      <x:c r="AI262" s="93"/>
      <x:c r="AJ262" s="93"/>
      <x:c r="AK262" s="93"/>
      <x:c r="AL262" s="93"/>
      <x:c r="AM262" s="93"/>
      <x:c r="AN262" s="93"/>
      <x:c r="AO262" s="93"/>
    </x:row>
    <x:row r="263" ht="15.75" customHeight="1">
      <x:c r="A263" s="93"/>
      <x:c r="B263" s="93"/>
      <x:c r="C263" s="93"/>
      <x:c r="D263" s="93"/>
      <x:c r="E263" s="93"/>
      <x:c r="F263" s="93"/>
      <x:c r="G263" s="93"/>
      <x:c r="H263" s="93"/>
      <x:c r="I263" s="93"/>
      <x:c r="J263" s="93"/>
      <x:c r="K263" s="93"/>
      <x:c r="L263" s="93"/>
      <x:c r="M263" s="93"/>
      <x:c r="N263" s="93"/>
      <x:c r="O263" s="93"/>
      <x:c r="P263" s="93"/>
      <x:c r="Q263" s="93"/>
      <x:c r="R263" s="93"/>
      <x:c r="S263" s="93"/>
      <x:c r="T263" s="93"/>
      <x:c r="U263" s="93"/>
      <x:c r="V263" s="93"/>
      <x:c r="W263" s="93"/>
      <x:c r="X263" s="93"/>
      <x:c r="Y263" s="93"/>
      <x:c r="Z263" s="93"/>
      <x:c r="AA263" s="93"/>
      <x:c r="AB263" s="93"/>
      <x:c r="AC263" s="93"/>
      <x:c r="AD263" s="93"/>
      <x:c r="AE263" s="93"/>
      <x:c r="AF263" s="93"/>
      <x:c r="AG263" s="93"/>
      <x:c r="AH263" s="93"/>
      <x:c r="AI263" s="93"/>
      <x:c r="AJ263" s="93"/>
      <x:c r="AK263" s="93"/>
      <x:c r="AL263" s="93"/>
      <x:c r="AM263" s="93"/>
      <x:c r="AN263" s="93"/>
      <x:c r="AO263" s="93"/>
    </x:row>
    <x:row r="264" ht="15.75" customHeight="1">
      <x:c r="A264" s="93"/>
      <x:c r="B264" s="93"/>
      <x:c r="C264" s="93"/>
      <x:c r="D264" s="93"/>
      <x:c r="E264" s="93"/>
      <x:c r="F264" s="93"/>
      <x:c r="G264" s="93"/>
      <x:c r="H264" s="93"/>
      <x:c r="I264" s="93"/>
      <x:c r="J264" s="93"/>
      <x:c r="K264" s="93"/>
      <x:c r="L264" s="93"/>
      <x:c r="M264" s="93"/>
      <x:c r="N264" s="93"/>
      <x:c r="O264" s="93"/>
      <x:c r="P264" s="93"/>
      <x:c r="Q264" s="93"/>
      <x:c r="R264" s="93"/>
      <x:c r="S264" s="93"/>
      <x:c r="T264" s="93"/>
      <x:c r="U264" s="93"/>
      <x:c r="V264" s="93"/>
      <x:c r="W264" s="93"/>
      <x:c r="X264" s="93"/>
      <x:c r="Y264" s="93"/>
      <x:c r="Z264" s="93"/>
      <x:c r="AA264" s="93"/>
      <x:c r="AB264" s="93"/>
      <x:c r="AC264" s="93"/>
      <x:c r="AD264" s="93"/>
      <x:c r="AE264" s="93"/>
      <x:c r="AF264" s="93"/>
      <x:c r="AG264" s="93"/>
      <x:c r="AH264" s="93"/>
      <x:c r="AI264" s="93"/>
      <x:c r="AJ264" s="93"/>
      <x:c r="AK264" s="93"/>
      <x:c r="AL264" s="93"/>
      <x:c r="AM264" s="93"/>
      <x:c r="AN264" s="93"/>
      <x:c r="AO264" s="93"/>
    </x:row>
    <x:row r="265" ht="15.75" customHeight="1">
      <x:c r="A265" s="93"/>
      <x:c r="B265" s="93"/>
      <x:c r="C265" s="93"/>
      <x:c r="D265" s="93"/>
      <x:c r="E265" s="93"/>
      <x:c r="F265" s="93"/>
      <x:c r="G265" s="93"/>
      <x:c r="H265" s="93"/>
      <x:c r="I265" s="93"/>
      <x:c r="J265" s="93"/>
      <x:c r="K265" s="93"/>
      <x:c r="L265" s="93"/>
      <x:c r="M265" s="93"/>
      <x:c r="N265" s="93"/>
      <x:c r="O265" s="93"/>
      <x:c r="P265" s="93"/>
      <x:c r="Q265" s="93"/>
      <x:c r="R265" s="93"/>
      <x:c r="S265" s="93"/>
      <x:c r="T265" s="93"/>
      <x:c r="U265" s="93"/>
      <x:c r="V265" s="93"/>
      <x:c r="W265" s="93"/>
      <x:c r="X265" s="93"/>
      <x:c r="Y265" s="93"/>
      <x:c r="Z265" s="93"/>
      <x:c r="AA265" s="93"/>
      <x:c r="AB265" s="93"/>
      <x:c r="AC265" s="93"/>
      <x:c r="AD265" s="93"/>
      <x:c r="AE265" s="93"/>
      <x:c r="AF265" s="93"/>
      <x:c r="AG265" s="93"/>
      <x:c r="AH265" s="93"/>
      <x:c r="AI265" s="93"/>
      <x:c r="AJ265" s="93"/>
      <x:c r="AK265" s="93"/>
      <x:c r="AL265" s="93"/>
      <x:c r="AM265" s="93"/>
      <x:c r="AN265" s="93"/>
      <x:c r="AO265" s="93"/>
    </x:row>
    <x:row r="266" ht="15.75" customHeight="1">
      <x:c r="A266" s="93"/>
      <x:c r="B266" s="93"/>
      <x:c r="C266" s="93"/>
      <x:c r="D266" s="93"/>
      <x:c r="E266" s="93"/>
      <x:c r="F266" s="93"/>
      <x:c r="G266" s="93"/>
      <x:c r="H266" s="93"/>
      <x:c r="I266" s="93"/>
      <x:c r="J266" s="93"/>
      <x:c r="K266" s="93"/>
      <x:c r="L266" s="93"/>
      <x:c r="M266" s="93"/>
      <x:c r="N266" s="93"/>
      <x:c r="O266" s="93"/>
      <x:c r="P266" s="93"/>
      <x:c r="Q266" s="93"/>
      <x:c r="R266" s="93"/>
      <x:c r="S266" s="93"/>
      <x:c r="T266" s="93"/>
      <x:c r="U266" s="93"/>
      <x:c r="V266" s="93"/>
      <x:c r="W266" s="93"/>
      <x:c r="X266" s="93"/>
      <x:c r="Y266" s="93"/>
      <x:c r="Z266" s="93"/>
      <x:c r="AA266" s="93"/>
      <x:c r="AB266" s="93"/>
      <x:c r="AC266" s="93"/>
      <x:c r="AD266" s="93"/>
      <x:c r="AE266" s="93"/>
      <x:c r="AF266" s="93"/>
      <x:c r="AG266" s="93"/>
      <x:c r="AH266" s="93"/>
      <x:c r="AI266" s="93"/>
      <x:c r="AJ266" s="93"/>
      <x:c r="AK266" s="93"/>
      <x:c r="AL266" s="93"/>
      <x:c r="AM266" s="93"/>
      <x:c r="AN266" s="93"/>
      <x:c r="AO266" s="93"/>
    </x:row>
    <x:row r="267" ht="15.75" customHeight="1">
      <x:c r="A267" s="93"/>
      <x:c r="B267" s="93"/>
      <x:c r="C267" s="93"/>
      <x:c r="D267" s="93"/>
      <x:c r="E267" s="93"/>
      <x:c r="F267" s="93"/>
      <x:c r="G267" s="93"/>
      <x:c r="H267" s="93"/>
      <x:c r="I267" s="93"/>
      <x:c r="J267" s="93"/>
      <x:c r="K267" s="93"/>
      <x:c r="L267" s="93"/>
      <x:c r="M267" s="93"/>
      <x:c r="N267" s="93"/>
      <x:c r="O267" s="93"/>
      <x:c r="P267" s="93"/>
      <x:c r="Q267" s="93"/>
      <x:c r="R267" s="93"/>
      <x:c r="S267" s="93"/>
      <x:c r="T267" s="93"/>
      <x:c r="U267" s="93"/>
      <x:c r="V267" s="93"/>
      <x:c r="W267" s="93"/>
      <x:c r="X267" s="93"/>
      <x:c r="Y267" s="93"/>
      <x:c r="Z267" s="93"/>
      <x:c r="AA267" s="93"/>
      <x:c r="AB267" s="93"/>
      <x:c r="AC267" s="93"/>
      <x:c r="AD267" s="93"/>
      <x:c r="AE267" s="93"/>
      <x:c r="AF267" s="93"/>
      <x:c r="AG267" s="93"/>
      <x:c r="AH267" s="93"/>
      <x:c r="AI267" s="93"/>
      <x:c r="AJ267" s="93"/>
      <x:c r="AK267" s="93"/>
      <x:c r="AL267" s="93"/>
      <x:c r="AM267" s="93"/>
      <x:c r="AN267" s="93"/>
      <x:c r="AO267" s="93"/>
    </x:row>
    <x:row r="268" ht="15.75" customHeight="1">
      <x:c r="A268" s="93"/>
      <x:c r="B268" s="93"/>
      <x:c r="C268" s="93"/>
      <x:c r="D268" s="93"/>
      <x:c r="E268" s="93"/>
      <x:c r="F268" s="93"/>
      <x:c r="G268" s="93"/>
      <x:c r="H268" s="93"/>
      <x:c r="I268" s="93"/>
      <x:c r="J268" s="93"/>
      <x:c r="K268" s="93"/>
      <x:c r="L268" s="93"/>
      <x:c r="M268" s="93"/>
      <x:c r="N268" s="93"/>
      <x:c r="O268" s="93"/>
      <x:c r="P268" s="93"/>
      <x:c r="Q268" s="93"/>
      <x:c r="R268" s="93"/>
      <x:c r="S268" s="93"/>
      <x:c r="T268" s="93"/>
      <x:c r="U268" s="93"/>
      <x:c r="V268" s="93"/>
      <x:c r="W268" s="93"/>
      <x:c r="X268" s="93"/>
      <x:c r="Y268" s="93"/>
      <x:c r="Z268" s="93"/>
      <x:c r="AA268" s="93"/>
      <x:c r="AB268" s="93"/>
      <x:c r="AC268" s="93"/>
      <x:c r="AD268" s="93"/>
      <x:c r="AE268" s="93"/>
      <x:c r="AF268" s="93"/>
      <x:c r="AG268" s="93"/>
      <x:c r="AH268" s="93"/>
      <x:c r="AI268" s="93"/>
      <x:c r="AJ268" s="93"/>
      <x:c r="AK268" s="93"/>
      <x:c r="AL268" s="93"/>
      <x:c r="AM268" s="93"/>
      <x:c r="AN268" s="93"/>
      <x:c r="AO268" s="93"/>
    </x:row>
    <x:row r="269" ht="15.75" customHeight="1">
      <x:c r="A269" s="93"/>
      <x:c r="B269" s="93"/>
      <x:c r="C269" s="93"/>
      <x:c r="D269" s="93"/>
      <x:c r="E269" s="93"/>
      <x:c r="F269" s="93"/>
      <x:c r="G269" s="93"/>
      <x:c r="H269" s="93"/>
      <x:c r="I269" s="93"/>
      <x:c r="J269" s="93"/>
      <x:c r="K269" s="93"/>
      <x:c r="L269" s="93"/>
      <x:c r="M269" s="93"/>
      <x:c r="N269" s="93"/>
      <x:c r="O269" s="93"/>
      <x:c r="P269" s="93"/>
      <x:c r="Q269" s="93"/>
      <x:c r="R269" s="93"/>
      <x:c r="S269" s="93"/>
      <x:c r="T269" s="93"/>
      <x:c r="U269" s="93"/>
      <x:c r="V269" s="93"/>
      <x:c r="W269" s="93"/>
      <x:c r="X269" s="93"/>
      <x:c r="Y269" s="93"/>
      <x:c r="Z269" s="93"/>
      <x:c r="AA269" s="93"/>
      <x:c r="AB269" s="93"/>
      <x:c r="AC269" s="93"/>
      <x:c r="AD269" s="93"/>
      <x:c r="AE269" s="93"/>
      <x:c r="AF269" s="93"/>
      <x:c r="AG269" s="93"/>
      <x:c r="AH269" s="93"/>
      <x:c r="AI269" s="93"/>
      <x:c r="AJ269" s="93"/>
      <x:c r="AK269" s="93"/>
      <x:c r="AL269" s="93"/>
      <x:c r="AM269" s="93"/>
      <x:c r="AN269" s="93"/>
      <x:c r="AO269" s="93"/>
    </x:row>
    <x:row r="270" ht="15.75" customHeight="1">
      <x:c r="A270" s="93"/>
      <x:c r="B270" s="93"/>
      <x:c r="C270" s="93"/>
      <x:c r="D270" s="93"/>
      <x:c r="E270" s="93"/>
      <x:c r="F270" s="93"/>
      <x:c r="G270" s="93"/>
      <x:c r="H270" s="93"/>
      <x:c r="I270" s="93"/>
      <x:c r="J270" s="93"/>
      <x:c r="K270" s="93"/>
      <x:c r="L270" s="93"/>
      <x:c r="M270" s="93"/>
      <x:c r="N270" s="93"/>
      <x:c r="O270" s="93"/>
      <x:c r="P270" s="93"/>
      <x:c r="Q270" s="93"/>
      <x:c r="R270" s="93"/>
      <x:c r="S270" s="93"/>
      <x:c r="T270" s="93"/>
      <x:c r="U270" s="93"/>
      <x:c r="V270" s="93"/>
      <x:c r="W270" s="93"/>
      <x:c r="X270" s="93"/>
      <x:c r="Y270" s="93"/>
      <x:c r="Z270" s="93"/>
      <x:c r="AA270" s="93"/>
      <x:c r="AB270" s="93"/>
      <x:c r="AC270" s="93"/>
      <x:c r="AD270" s="93"/>
      <x:c r="AE270" s="93"/>
      <x:c r="AF270" s="93"/>
      <x:c r="AG270" s="93"/>
      <x:c r="AH270" s="93"/>
      <x:c r="AI270" s="93"/>
      <x:c r="AJ270" s="93"/>
      <x:c r="AK270" s="93"/>
      <x:c r="AL270" s="93"/>
      <x:c r="AM270" s="93"/>
      <x:c r="AN270" s="93"/>
      <x:c r="AO270" s="93"/>
    </x:row>
    <x:row r="271" ht="15.75" customHeight="1">
      <x:c r="A271" s="93"/>
      <x:c r="B271" s="93"/>
      <x:c r="C271" s="93"/>
      <x:c r="D271" s="93"/>
      <x:c r="E271" s="93"/>
      <x:c r="F271" s="93"/>
      <x:c r="G271" s="93"/>
      <x:c r="H271" s="93"/>
      <x:c r="I271" s="93"/>
      <x:c r="J271" s="93"/>
      <x:c r="K271" s="93"/>
      <x:c r="L271" s="93"/>
      <x:c r="M271" s="93"/>
      <x:c r="N271" s="93"/>
      <x:c r="O271" s="93"/>
      <x:c r="P271" s="93"/>
      <x:c r="Q271" s="93"/>
      <x:c r="R271" s="93"/>
      <x:c r="S271" s="93"/>
      <x:c r="T271" s="93"/>
      <x:c r="U271" s="93"/>
      <x:c r="V271" s="93"/>
      <x:c r="W271" s="93"/>
      <x:c r="X271" s="93"/>
      <x:c r="Y271" s="93"/>
      <x:c r="Z271" s="93"/>
      <x:c r="AA271" s="93"/>
      <x:c r="AB271" s="93"/>
      <x:c r="AC271" s="93"/>
      <x:c r="AD271" s="93"/>
      <x:c r="AE271" s="93"/>
      <x:c r="AF271" s="93"/>
      <x:c r="AG271" s="93"/>
      <x:c r="AH271" s="93"/>
      <x:c r="AI271" s="93"/>
      <x:c r="AJ271" s="93"/>
      <x:c r="AK271" s="93"/>
      <x:c r="AL271" s="93"/>
      <x:c r="AM271" s="93"/>
      <x:c r="AN271" s="93"/>
      <x:c r="AO271" s="93"/>
    </x:row>
    <x:row r="272" ht="15.75" customHeight="1">
      <x:c r="A272" s="93"/>
      <x:c r="B272" s="93"/>
      <x:c r="C272" s="93"/>
      <x:c r="D272" s="93"/>
      <x:c r="E272" s="93"/>
      <x:c r="F272" s="93"/>
      <x:c r="G272" s="93"/>
      <x:c r="H272" s="93"/>
      <x:c r="I272" s="93"/>
      <x:c r="J272" s="93"/>
      <x:c r="K272" s="93"/>
      <x:c r="L272" s="93"/>
      <x:c r="M272" s="93"/>
      <x:c r="N272" s="93"/>
      <x:c r="O272" s="93"/>
      <x:c r="P272" s="93"/>
      <x:c r="Q272" s="93"/>
      <x:c r="R272" s="93"/>
      <x:c r="S272" s="93"/>
      <x:c r="T272" s="93"/>
      <x:c r="U272" s="93"/>
      <x:c r="V272" s="93"/>
      <x:c r="W272" s="93"/>
      <x:c r="X272" s="93"/>
      <x:c r="Y272" s="93"/>
      <x:c r="Z272" s="93"/>
      <x:c r="AA272" s="93"/>
      <x:c r="AB272" s="93"/>
      <x:c r="AC272" s="93"/>
      <x:c r="AD272" s="93"/>
      <x:c r="AE272" s="93"/>
      <x:c r="AF272" s="93"/>
      <x:c r="AG272" s="93"/>
      <x:c r="AH272" s="93"/>
      <x:c r="AI272" s="93"/>
      <x:c r="AJ272" s="93"/>
      <x:c r="AK272" s="93"/>
      <x:c r="AL272" s="93"/>
      <x:c r="AM272" s="93"/>
      <x:c r="AN272" s="93"/>
      <x:c r="AO272" s="93"/>
    </x:row>
    <x:row r="273" ht="15.75" customHeight="1">
      <x:c r="A273" s="93"/>
      <x:c r="B273" s="93"/>
      <x:c r="C273" s="93"/>
      <x:c r="D273" s="93"/>
      <x:c r="E273" s="93"/>
      <x:c r="F273" s="93"/>
      <x:c r="G273" s="93"/>
      <x:c r="H273" s="93"/>
      <x:c r="I273" s="93"/>
      <x:c r="J273" s="93"/>
      <x:c r="K273" s="93"/>
      <x:c r="L273" s="93"/>
      <x:c r="M273" s="93"/>
      <x:c r="N273" s="93"/>
      <x:c r="O273" s="93"/>
      <x:c r="P273" s="93"/>
      <x:c r="Q273" s="93"/>
      <x:c r="R273" s="93"/>
      <x:c r="S273" s="93"/>
      <x:c r="T273" s="93"/>
      <x:c r="U273" s="93"/>
      <x:c r="V273" s="93"/>
      <x:c r="W273" s="93"/>
      <x:c r="X273" s="93"/>
      <x:c r="Y273" s="93"/>
      <x:c r="Z273" s="93"/>
      <x:c r="AA273" s="93"/>
      <x:c r="AB273" s="93"/>
      <x:c r="AC273" s="93"/>
      <x:c r="AD273" s="93"/>
      <x:c r="AE273" s="93"/>
      <x:c r="AF273" s="93"/>
      <x:c r="AG273" s="93"/>
      <x:c r="AH273" s="93"/>
      <x:c r="AI273" s="93"/>
      <x:c r="AJ273" s="93"/>
      <x:c r="AK273" s="93"/>
      <x:c r="AL273" s="93"/>
      <x:c r="AM273" s="93"/>
      <x:c r="AN273" s="93"/>
      <x:c r="AO273" s="93"/>
    </x:row>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conditionalFormatting sqref="AT2:BA73">
    <x:cfRule type="expression" dxfId="0" priority="1">
      <x:formula>AT2="Résistant"</x:formula>
    </x:cfRule>
  </x:conditionalFormatting>
  <x:conditionalFormatting sqref="AT2:BA73">
    <x:cfRule type="expression" dxfId="1" priority="2">
      <x:formula>AT2="Vulnérable"</x:formula>
    </x:cfRule>
  </x:conditionalFormatting>
  <x:conditionalFormatting sqref="AT2:BA73">
    <x:cfRule type="expression" dxfId="2" priority="3">
      <x:formula>AT2="Neutre"</x:formula>
    </x:cfRule>
  </x:conditionalFormatting>
  <x:dataValidations count="2">
    <x:dataValidation type="list" allowBlank="1" sqref="AT2:BA73">
      <x:formula1>"Neutre,Résistant,Vulnérable"</x:formula1>
    </x:dataValidation>
    <x:dataValidation type="list" allowBlank="1" sqref="BC2:BF73">
      <x:formula1>"Non,Oui"</x:formula1>
    </x:dataValidation>
  </x:dataValidations>
  <x:pageMargins left="0.7" right="0.7" top="0.75" bottom="0.75" header="0.3" footer="0.3"/>
</x:worksheet>
</file>

<file path=xl/worksheets/sheet7.xml><?xml version="1.0" encoding="utf-8"?>
<x:worksheet xmlns:x="http://schemas.openxmlformats.org/spreadsheetml/2006/main">
  <x:sheetFormatPr defaultColWidth="12.630000114440918" defaultRowHeight="15"/>
  <x:cols>
    <x:col min="1" max="1" width="10.25" customWidth="1"/>
    <x:col min="2" max="2" width="4.25" customWidth="1"/>
    <x:col min="3" max="3" width="3.880000114440918" customWidth="1"/>
    <x:col min="4" max="5" width="3.25" customWidth="1"/>
    <x:col min="6" max="6" width="3.630000114440918" customWidth="1"/>
    <x:col min="7" max="7" width="3.130000114440918" customWidth="1"/>
    <x:col min="8" max="8" width="3" customWidth="1"/>
    <x:col min="9" max="9" width="7" customWidth="1"/>
    <x:col min="10" max="10" width="3" customWidth="1"/>
    <x:col min="11" max="11" width="2.75" customWidth="1"/>
  </x:cols>
  <x:sheetData>
    <x:row r="1" ht="14.25" customHeight="1">
      <x:c r="A1" s="33" t="s">
        <x:v>19</x:v>
      </x:c>
      <x:c r="B1" s="33" t="s">
        <x:v>345</x:v>
      </x:c>
      <x:c r="C1" s="33" t="s">
        <x:v>346</x:v>
      </x:c>
      <x:c r="D1" s="33" t="s">
        <x:v>7</x:v>
      </x:c>
      <x:c r="E1" s="33" t="s">
        <x:v>10</x:v>
      </x:c>
      <x:c r="F1" s="33" t="s">
        <x:v>14</x:v>
      </x:c>
      <x:c r="G1" s="33" t="s">
        <x:v>30</x:v>
      </x:c>
      <x:c r="H1" s="33" t="s">
        <x:v>176</x:v>
      </x:c>
      <x:c r="I1" s="33" t="s">
        <x:v>175</x:v>
      </x:c>
      <x:c r="J1" s="33" t="s">
        <x:v>177</x:v>
      </x:c>
      <x:c r="K1" s="33" t="s">
        <x:v>37</x:v>
      </x:c>
    </x:row>
    <x:row r="2" ht="14.25" customHeight="1">
      <x:c r="A2" s="15" t="s">
        <x:v>347</x:v>
      </x:c>
      <x:c r="B2" s="15" t="s">
        <x:v>348</x:v>
      </x:c>
      <x:c r="C2" s="15" t="s">
        <x:v>347</x:v>
      </x:c>
      <x:c r="D2" s="15">
        <x:v>-3.0</x:v>
      </x:c>
      <x:c r="E2" s="15">
        <x:v>3.0</x:v>
      </x:c>
      <x:c r="F2" s="15">
        <x:v>-1.0</x:v>
      </x:c>
      <x:c r="G2" s="15">
        <x:v>2.0</x:v>
      </x:c>
      <x:c r="H2" s="15">
        <x:v>0.0</x:v>
      </x:c>
      <x:c r="I2" s="15">
        <x:v>0.5</x:v>
      </x:c>
      <x:c r="J2" s="15">
        <x:v>-2.0</x:v>
      </x:c>
      <x:c r="K2" s="15">
        <x:v>2.0</x:v>
      </x:c>
    </x:row>
    <x:row r="3" ht="14.25" customHeight="1">
      <x:c r="A3" s="15" t="s">
        <x:v>349</x:v>
      </x:c>
      <x:c r="B3" s="15" t="s">
        <x:v>350</x:v>
      </x:c>
      <x:c r="C3" s="15" t="s">
        <x:v>349</x:v>
      </x:c>
      <x:c r="D3" s="15">
        <x:v>-1.0</x:v>
      </x:c>
      <x:c r="E3" s="15">
        <x:v>1.0</x:v>
      </x:c>
      <x:c r="F3" s="15">
        <x:v>0.0</x:v>
      </x:c>
      <x:c r="G3" s="15">
        <x:v>1.0</x:v>
      </x:c>
      <x:c r="H3" s="15">
        <x:v>0.0</x:v>
      </x:c>
      <x:c r="I3" s="15">
        <x:v>0.8</x:v>
      </x:c>
      <x:c r="J3" s="15">
        <x:v>-1.0</x:v>
      </x:c>
      <x:c r="K3" s="15">
        <x:v>1.0</x:v>
      </x:c>
    </x:row>
    <x:row r="4" ht="14.25" customHeight="1">
      <x:c r="A4" s="15" t="s">
        <x:v>20</x:v>
      </x:c>
      <x:c r="B4" s="15" t="s">
        <x:v>351</x:v>
      </x:c>
      <x:c r="C4" s="15" t="s">
        <x:v>20</x:v>
      </x:c>
      <x:c r="D4" s="15">
        <x:v>0.0</x:v>
      </x:c>
      <x:c r="E4" s="15">
        <x:v>0.0</x:v>
      </x:c>
      <x:c r="F4" s="15">
        <x:v>0.0</x:v>
      </x:c>
      <x:c r="G4" s="15">
        <x:v>0.0</x:v>
      </x:c>
      <x:c r="H4" s="15">
        <x:v>0.0</x:v>
      </x:c>
      <x:c r="I4" s="15">
        <x:v>1.0</x:v>
      </x:c>
      <x:c r="J4" s="15">
        <x:v>0.0</x:v>
      </x:c>
      <x:c r="K4" s="15">
        <x:v>0.0</x:v>
      </x:c>
    </x:row>
    <x:row r="5" ht="14.25" customHeight="1">
      <x:c r="A5" s="15" t="s">
        <x:v>352</x:v>
      </x:c>
      <x:c r="B5" s="15" t="s">
        <x:v>353</x:v>
      </x:c>
      <x:c r="C5" s="15" t="s">
        <x:v>352</x:v>
      </x:c>
      <x:c r="D5" s="15">
        <x:v>2.0</x:v>
      </x:c>
      <x:c r="E5" s="15">
        <x:v>-1.0</x:v>
      </x:c>
      <x:c r="F5" s="15">
        <x:v>1.0</x:v>
      </x:c>
      <x:c r="G5" s="15">
        <x:v>-1.0</x:v>
      </x:c>
      <x:c r="H5" s="15">
        <x:v>0.0</x:v>
      </x:c>
      <x:c r="I5" s="15">
        <x:v>1.3</x:v>
      </x:c>
      <x:c r="J5" s="15">
        <x:v>1.0</x:v>
      </x:c>
      <x:c r="K5" s="15">
        <x:v>-1.0</x:v>
      </x:c>
    </x:row>
    <x:row r="6" ht="14.25" customHeight="1">
      <x:c r="A6" s="15" t="s">
        <x:v>354</x:v>
      </x:c>
      <x:c r="B6" s="15" t="s">
        <x:v>355</x:v>
      </x:c>
      <x:c r="C6" s="15" t="s">
        <x:v>354</x:v>
      </x:c>
      <x:c r="D6" s="15">
        <x:v>4.0</x:v>
      </x:c>
      <x:c r="E6" s="15">
        <x:v>-2.0</x:v>
      </x:c>
      <x:c r="F6" s="15">
        <x:v>2.0</x:v>
      </x:c>
      <x:c r="G6" s="15">
        <x:v>-2.0</x:v>
      </x:c>
      <x:c r="H6" s="15">
        <x:v>0.0</x:v>
      </x:c>
      <x:c r="I6" s="15">
        <x:v>1.7</x:v>
      </x:c>
      <x:c r="J6" s="15">
        <x:v>2.0</x:v>
      </x:c>
      <x:c r="K6" s="15">
        <x:v>-2.0</x:v>
      </x:c>
    </x:row>
    <x:row r="7" ht="14.25" customHeight="1">
      <x:c r="A7" s="15" t="s">
        <x:v>356</x:v>
      </x:c>
      <x:c r="B7" s="15" t="s">
        <x:v>357</x:v>
      </x:c>
      <x:c r="C7" s="15" t="s">
        <x:v>356</x:v>
      </x:c>
      <x:c r="D7" s="15">
        <x:v>6.0</x:v>
      </x:c>
      <x:c r="E7" s="15">
        <x:v>-3.0</x:v>
      </x:c>
      <x:c r="F7" s="15">
        <x:v>3.0</x:v>
      </x:c>
      <x:c r="G7" s="15">
        <x:v>-3.0</x:v>
      </x:c>
      <x:c r="H7" s="15">
        <x:v>-1.0</x:v>
      </x:c>
      <x:c r="I7" s="15">
        <x:v>2.2</x:v>
      </x:c>
      <x:c r="J7" s="15">
        <x:v>3.0</x:v>
      </x:c>
      <x:c r="K7" s="15">
        <x:v>-3.0</x:v>
      </x:c>
    </x:row>
    <x:row r="8" ht="14.25" customHeight="1"/>
    <x:row r="9" ht="14.25" customHeight="1"/>
    <x:row r="10" ht="14.25" customHeight="1"/>
    <x:row r="11" ht="14.25" customHeight="1"/>
    <x:row r="12" ht="14.25" customHeight="1"/>
    <x:row r="13" ht="14.25" customHeight="1"/>
    <x:row r="14" ht="14.25" customHeight="1"/>
    <x:row r="15" ht="14.25" customHeight="1"/>
    <x:row r="16" ht="14.25" customHeight="1"/>
    <x:row r="17" ht="14.25" customHeight="1"/>
    <x:row r="18" ht="14.25" customHeight="1"/>
    <x:row r="19" ht="14.25" customHeight="1"/>
    <x:row r="20" ht="14.25" customHeight="1"/>
    <x:row r="21" ht="14.25" customHeight="1"/>
    <x:row r="22" ht="14.25" customHeight="1"/>
    <x:row r="23" ht="14.25" customHeight="1"/>
    <x:row r="24" ht="14.25" customHeight="1"/>
    <x:row r="25" ht="14.25" customHeight="1"/>
    <x:row r="26" ht="14.25" customHeight="1"/>
    <x:row r="27" ht="14.25" customHeight="1"/>
    <x:row r="28" ht="14.25" customHeight="1"/>
    <x:row r="29" ht="14.25" customHeight="1"/>
    <x:row r="30" ht="14.25" customHeight="1"/>
    <x:row r="31" ht="14.25" customHeight="1"/>
    <x:row r="32" ht="14.25" customHeight="1"/>
    <x:row r="33" ht="14.25" customHeight="1"/>
    <x:row r="34" ht="14.25" customHeight="1"/>
    <x:row r="35" ht="14.25" customHeight="1"/>
    <x:row r="36" ht="14.25" customHeight="1"/>
    <x:row r="37" ht="14.25" customHeight="1"/>
    <x:row r="38" ht="14.25" customHeight="1"/>
    <x:row r="39" ht="14.25" customHeight="1"/>
    <x:row r="40" ht="14.25" customHeight="1"/>
    <x:row r="41" ht="14.25" customHeight="1"/>
    <x:row r="42" ht="14.25" customHeight="1"/>
    <x:row r="43" ht="14.25" customHeight="1"/>
    <x:row r="44" ht="14.25" customHeight="1"/>
    <x:row r="45" ht="14.25" customHeight="1"/>
    <x:row r="46" ht="14.25" customHeight="1"/>
    <x:row r="47" ht="14.25" customHeight="1"/>
    <x:row r="48" ht="14.25" customHeight="1"/>
    <x:row r="49" ht="14.25" customHeight="1"/>
    <x:row r="50" ht="14.25" customHeight="1"/>
    <x:row r="51" ht="14.25" customHeight="1"/>
    <x:row r="52" ht="14.25" customHeight="1"/>
    <x:row r="53" ht="14.25" customHeight="1"/>
    <x:row r="54" ht="14.25" customHeight="1"/>
    <x:row r="55" ht="14.25" customHeight="1"/>
    <x:row r="56" ht="14.25" customHeight="1"/>
    <x:row r="57" ht="14.25" customHeight="1"/>
    <x:row r="58" ht="14.25" customHeight="1"/>
    <x:row r="59" ht="14.25" customHeight="1"/>
    <x:row r="60" ht="14.25" customHeight="1"/>
    <x:row r="61" ht="14.25" customHeight="1"/>
    <x:row r="62" ht="14.25" customHeight="1"/>
    <x:row r="63" ht="14.25" customHeight="1"/>
    <x:row r="64" ht="14.25" customHeight="1"/>
    <x:row r="65" ht="14.25" customHeight="1"/>
    <x:row r="66" ht="14.25" customHeight="1"/>
    <x:row r="67" ht="14.25" customHeight="1"/>
    <x:row r="68" ht="14.25" customHeight="1"/>
    <x:row r="69" ht="14.25" customHeight="1"/>
    <x:row r="70" ht="14.25" customHeight="1"/>
    <x:row r="71" ht="14.25" customHeight="1"/>
    <x:row r="72" ht="14.25" customHeight="1"/>
    <x:row r="73" ht="14.25" customHeight="1"/>
    <x:row r="74" ht="14.25" customHeight="1"/>
    <x:row r="75" ht="14.25" customHeight="1"/>
    <x:row r="76" ht="14.25" customHeight="1"/>
    <x:row r="77" ht="14.25" customHeight="1"/>
    <x:row r="78" ht="14.25" customHeight="1"/>
    <x:row r="79" ht="14.25" customHeight="1"/>
    <x:row r="80" ht="14.25" customHeight="1"/>
    <x:row r="81" ht="14.25" customHeight="1"/>
    <x:row r="82" ht="14.25" customHeight="1"/>
    <x:row r="83" ht="14.25" customHeight="1"/>
    <x:row r="84" ht="14.25" customHeight="1"/>
    <x:row r="85" ht="14.25" customHeight="1"/>
    <x:row r="86" ht="14.25" customHeight="1"/>
    <x:row r="87" ht="14.25" customHeight="1"/>
    <x:row r="88" ht="14.25" customHeight="1"/>
    <x:row r="89" ht="14.25" customHeight="1"/>
    <x:row r="90" ht="14.25" customHeight="1"/>
    <x:row r="91" ht="14.25" customHeight="1"/>
    <x:row r="92" ht="14.25" customHeight="1"/>
    <x:row r="93" ht="14.25" customHeight="1"/>
    <x:row r="94" ht="14.25" customHeight="1"/>
    <x:row r="95" ht="14.25" customHeight="1"/>
    <x:row r="96" ht="14.25" customHeight="1"/>
    <x:row r="97" ht="14.25" customHeight="1"/>
    <x:row r="98" ht="14.25" customHeight="1"/>
    <x:row r="99" ht="14.25" customHeight="1"/>
    <x:row r="100" ht="14.25" customHeight="1"/>
    <x:row r="101" ht="14.25" customHeight="1"/>
    <x:row r="102" ht="14.25" customHeight="1"/>
    <x:row r="103" ht="14.25" customHeight="1"/>
    <x:row r="104" ht="14.25" customHeight="1"/>
    <x:row r="105" ht="14.25" customHeight="1"/>
    <x:row r="106" ht="14.25" customHeight="1"/>
    <x:row r="107" ht="14.25" customHeight="1"/>
    <x:row r="108" ht="14.25" customHeight="1"/>
    <x:row r="109" ht="14.25" customHeight="1"/>
    <x:row r="110" ht="14.25" customHeight="1"/>
    <x:row r="111" ht="14.25" customHeight="1"/>
    <x:row r="112" ht="14.25" customHeight="1"/>
    <x:row r="113" ht="14.25" customHeight="1"/>
    <x:row r="114" ht="14.25" customHeight="1"/>
    <x:row r="115" ht="14.25" customHeight="1"/>
    <x:row r="116" ht="14.25" customHeight="1"/>
    <x:row r="117" ht="14.25" customHeight="1"/>
    <x:row r="118" ht="14.25" customHeight="1"/>
    <x:row r="119" ht="14.25" customHeight="1"/>
    <x:row r="120" ht="14.25" customHeight="1"/>
    <x:row r="121" ht="14.25" customHeight="1"/>
    <x:row r="122" ht="14.25" customHeight="1"/>
    <x:row r="123" ht="14.25" customHeight="1"/>
    <x:row r="124" ht="14.25" customHeight="1"/>
    <x:row r="125" ht="14.25" customHeight="1"/>
    <x:row r="126" ht="14.25" customHeight="1"/>
    <x:row r="127" ht="14.25" customHeight="1"/>
    <x:row r="128" ht="14.25" customHeight="1"/>
    <x:row r="129" ht="14.25" customHeight="1"/>
    <x:row r="130" ht="14.25" customHeight="1"/>
    <x:row r="131" ht="14.25" customHeight="1"/>
    <x:row r="132" ht="14.25" customHeight="1"/>
    <x:row r="133" ht="14.25" customHeight="1"/>
    <x:row r="134" ht="14.25" customHeight="1"/>
    <x:row r="135" ht="14.25" customHeight="1"/>
    <x:row r="136" ht="14.25" customHeight="1"/>
    <x:row r="137" ht="14.25" customHeight="1"/>
    <x:row r="138" ht="14.25" customHeight="1"/>
    <x:row r="139" ht="14.25" customHeight="1"/>
    <x:row r="140" ht="14.25" customHeight="1"/>
    <x:row r="141" ht="14.25" customHeight="1"/>
    <x:row r="142" ht="14.25" customHeight="1"/>
    <x:row r="143" ht="14.25" customHeight="1"/>
    <x:row r="144" ht="14.25" customHeight="1"/>
    <x:row r="145" ht="14.25" customHeight="1"/>
    <x:row r="146" ht="14.25" customHeight="1"/>
    <x:row r="147" ht="14.25" customHeight="1"/>
    <x:row r="148" ht="14.25" customHeight="1"/>
    <x:row r="149" ht="14.25" customHeight="1"/>
    <x:row r="150" ht="14.25" customHeight="1"/>
    <x:row r="151" ht="14.25" customHeight="1"/>
    <x:row r="152" ht="14.25" customHeight="1"/>
    <x:row r="153" ht="14.25" customHeight="1"/>
    <x:row r="154" ht="14.25" customHeight="1"/>
    <x:row r="155" ht="14.25" customHeight="1"/>
    <x:row r="156" ht="14.25" customHeight="1"/>
    <x:row r="157" ht="14.25" customHeight="1"/>
    <x:row r="158" ht="14.25" customHeight="1"/>
    <x:row r="159" ht="14.25" customHeight="1"/>
    <x:row r="160" ht="14.25" customHeight="1"/>
    <x:row r="161" ht="14.25" customHeight="1"/>
    <x:row r="162" ht="14.25" customHeight="1"/>
    <x:row r="163" ht="14.25" customHeight="1"/>
    <x:row r="164" ht="14.25" customHeight="1"/>
    <x:row r="165" ht="14.25" customHeight="1"/>
    <x:row r="166" ht="14.25" customHeight="1"/>
    <x:row r="167" ht="14.25" customHeight="1"/>
    <x:row r="168" ht="14.25" customHeight="1"/>
    <x:row r="169" ht="14.25" customHeight="1"/>
    <x:row r="170" ht="14.25" customHeight="1"/>
    <x:row r="171" ht="14.25" customHeight="1"/>
    <x:row r="172" ht="14.25" customHeight="1"/>
    <x:row r="173" ht="14.25" customHeight="1"/>
    <x:row r="174" ht="14.25" customHeight="1"/>
    <x:row r="175" ht="14.25" customHeight="1"/>
    <x:row r="176" ht="14.25" customHeight="1"/>
    <x:row r="177" ht="14.25" customHeight="1"/>
    <x:row r="178" ht="14.25" customHeight="1"/>
    <x:row r="179" ht="14.25" customHeight="1"/>
    <x:row r="180" ht="14.25" customHeight="1"/>
    <x:row r="181" ht="14.25" customHeight="1"/>
    <x:row r="182" ht="14.25" customHeight="1"/>
    <x:row r="183" ht="14.25" customHeight="1"/>
    <x:row r="184" ht="14.25" customHeight="1"/>
    <x:row r="185" ht="14.25" customHeight="1"/>
    <x:row r="186" ht="14.25" customHeight="1"/>
    <x:row r="187" ht="14.25" customHeight="1"/>
    <x:row r="188" ht="14.25" customHeight="1"/>
    <x:row r="189" ht="14.25" customHeight="1"/>
    <x:row r="190" ht="14.25" customHeight="1"/>
    <x:row r="191" ht="14.25" customHeight="1"/>
    <x:row r="192" ht="14.25" customHeight="1"/>
    <x:row r="193" ht="14.25" customHeight="1"/>
    <x:row r="194" ht="14.25" customHeight="1"/>
    <x:row r="195" ht="14.25" customHeight="1"/>
    <x:row r="196" ht="14.25" customHeight="1"/>
    <x:row r="197" ht="14.25" customHeight="1"/>
    <x:row r="198" ht="14.25" customHeight="1"/>
    <x:row r="199" ht="14.25" customHeight="1"/>
    <x:row r="200" ht="14.25" customHeight="1"/>
    <x:row r="201" ht="14.25" customHeight="1"/>
    <x:row r="202" ht="14.25" customHeight="1"/>
    <x:row r="203" ht="14.25" customHeight="1"/>
    <x:row r="204" ht="14.25" customHeight="1"/>
    <x:row r="205" ht="14.25" customHeight="1"/>
    <x:row r="206" ht="14.25" customHeight="1"/>
    <x:row r="207" ht="14.25" customHeight="1"/>
    <x:row r="208" ht="14.25" customHeight="1"/>
    <x:row r="209" ht="14.25" customHeight="1"/>
    <x:row r="210" ht="14.25" customHeight="1"/>
    <x:row r="211" ht="14.25" customHeight="1"/>
    <x:row r="212" ht="14.25" customHeight="1"/>
    <x:row r="213" ht="14.25" customHeight="1"/>
    <x:row r="214" ht="14.25" customHeight="1"/>
    <x:row r="215" ht="14.25" customHeight="1"/>
    <x:row r="216" ht="14.25" customHeight="1"/>
    <x:row r="217" ht="14.25" customHeight="1"/>
    <x:row r="218" ht="14.25" customHeight="1"/>
    <x:row r="219" ht="14.25" customHeight="1"/>
    <x:row r="220" ht="14.2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pageMargins left="0.7" right="0.7" top="0.75" bottom="0.75" header="0.3" footer="0.3"/>
</x:worksheet>
</file>

<file path=xl/worksheets/sheet8.xml><?xml version="1.0" encoding="utf-8"?>
<x:worksheet xmlns:x="http://schemas.openxmlformats.org/spreadsheetml/2006/main">
  <x:sheetFormatPr defaultColWidth="12.630000114440918" defaultRowHeight="15"/>
  <x:cols>
    <x:col min="1" max="1" width="22" customWidth="1"/>
    <x:col min="2" max="2" width="16" customWidth="1"/>
    <x:col min="3" max="3" width="10" customWidth="1"/>
    <x:col min="4" max="4" width="161.1300048828125" customWidth="1"/>
    <x:col min="5" max="5" width="18" customWidth="1"/>
    <x:col min="6" max="6" width="70" customWidth="1"/>
    <x:col min="7" max="7" width="223.25" customWidth="1"/>
  </x:cols>
  <x:sheetData>
    <x:row r="1" ht="14.25" customHeight="1">
      <x:c r="A1" s="33" t="s">
        <x:v>5</x:v>
      </x:c>
      <x:c r="B1" s="33" t="s">
        <x:v>58</x:v>
      </x:c>
      <x:c r="C1" s="33" t="s">
        <x:v>12</x:v>
      </x:c>
      <x:c r="D1" s="33" t="s">
        <x:v>358</x:v>
      </x:c>
      <x:c r="E1" s="33" t="s">
        <x:v>44</x:v>
      </x:c>
      <x:c r="F1" s="33" t="s">
        <x:v>59</x:v>
      </x:c>
      <x:c r="G1" s="91" t="s">
        <x:v>359</x:v>
      </x:c>
    </x:row>
    <x:row r="2" ht="14.25" customHeight="1">
      <x:c r="A2" s="15" t="s">
        <x:v>360</x:v>
      </x:c>
      <x:c r="B2" s="15" t="s">
        <x:v>361</x:v>
      </x:c>
      <x:c r="C2" s="15" t="s">
        <x:v>362</x:v>
      </x:c>
      <x:c r="D2" s="15" t="s">
        <x:v>363</x:v>
      </x:c>
      <x:c r="E2" s="15" t="s">
        <x:v>364</x:v>
      </x:c>
      <x:c r="F2" s="15" t="s">
        <x:v>365</x:v>
      </x:c>
      <x:c r="G2" s="93" t="s">
        <x:v>366</x:v>
      </x:c>
    </x:row>
    <x:row r="3" ht="14.25" customHeight="1">
      <x:c r="A3" s="15" t="s">
        <x:v>367</x:v>
      </x:c>
      <x:c r="B3" s="15" t="s">
        <x:v>361</x:v>
      </x:c>
      <x:c r="C3" s="15" t="s">
        <x:v>362</x:v>
      </x:c>
      <x:c r="D3" s="15" t="s">
        <x:v>368</x:v>
      </x:c>
      <x:c r="E3" s="15" t="s">
        <x:v>364</x:v>
      </x:c>
      <x:c r="F3" s="15" t="s">
        <x:v>369</x:v>
      </x:c>
      <x:c r="G3" s="93" t="s">
        <x:v>370</x:v>
      </x:c>
    </x:row>
    <x:row r="4" ht="14.25" customHeight="1">
      <x:c r="A4" s="15" t="s">
        <x:v>371</x:v>
      </x:c>
      <x:c r="B4" s="15" t="s">
        <x:v>361</x:v>
      </x:c>
      <x:c r="C4" s="15" t="s">
        <x:v>362</x:v>
      </x:c>
      <x:c r="D4" s="15" t="s">
        <x:v>372</x:v>
      </x:c>
      <x:c r="E4" s="15" t="s">
        <x:v>364</x:v>
      </x:c>
      <x:c r="F4" s="15" t="s">
        <x:v>373</x:v>
      </x:c>
      <x:c r="G4" s="93" t="s">
        <x:v>374</x:v>
      </x:c>
    </x:row>
    <x:row r="5" ht="14.25" customHeight="1">
      <x:c r="A5" s="15" t="s">
        <x:v>375</x:v>
      </x:c>
      <x:c r="B5" s="15" t="s">
        <x:v>376</x:v>
      </x:c>
      <x:c r="C5" s="15" t="s">
        <x:v>362</x:v>
      </x:c>
      <x:c r="D5" s="15" t="s">
        <x:v>377</x:v>
      </x:c>
      <x:c r="E5" s="15" t="s">
        <x:v>364</x:v>
      </x:c>
      <x:c r="F5" s="15" t="s">
        <x:v>378</x:v>
      </x:c>
      <x:c r="G5" s="93" t="s">
        <x:v>379</x:v>
      </x:c>
    </x:row>
    <x:row r="6" ht="14.25" customHeight="1">
      <x:c r="A6" s="15" t="s">
        <x:v>380</x:v>
      </x:c>
      <x:c r="B6" s="15" t="s">
        <x:v>381</x:v>
      </x:c>
      <x:c r="C6" s="15" t="s">
        <x:v>362</x:v>
      </x:c>
      <x:c r="D6" s="15" t="s">
        <x:v>382</x:v>
      </x:c>
      <x:c r="E6" s="15" t="s">
        <x:v>364</x:v>
      </x:c>
      <x:c r="F6" s="15" t="s">
        <x:v>383</x:v>
      </x:c>
      <x:c r="G6" s="93" t="s">
        <x:v>384</x:v>
      </x:c>
    </x:row>
    <x:row r="7" ht="14.25" customHeight="1">
      <x:c r="A7" s="15" t="s">
        <x:v>385</x:v>
      </x:c>
      <x:c r="B7" s="15" t="s">
        <x:v>386</x:v>
      </x:c>
      <x:c r="C7" s="15" t="s">
        <x:v>362</x:v>
      </x:c>
      <x:c r="D7" s="15" t="s">
        <x:v>387</x:v>
      </x:c>
      <x:c r="E7" s="15" t="s">
        <x:v>364</x:v>
      </x:c>
      <x:c r="F7" s="15" t="s">
        <x:v>388</x:v>
      </x:c>
      <x:c r="G7" s="93" t="s">
        <x:v>389</x:v>
      </x:c>
    </x:row>
    <x:row r="8" ht="14.25" customHeight="1">
      <x:c r="A8" s="15" t="s">
        <x:v>390</x:v>
      </x:c>
      <x:c r="B8" s="15" t="s">
        <x:v>386</x:v>
      </x:c>
      <x:c r="C8" s="15" t="s">
        <x:v>362</x:v>
      </x:c>
      <x:c r="D8" s="15" t="s">
        <x:v>391</x:v>
      </x:c>
      <x:c r="E8" s="15" t="s">
        <x:v>364</x:v>
      </x:c>
      <x:c r="F8" s="15" t="s">
        <x:v>392</x:v>
      </x:c>
      <x:c r="G8" s="93" t="s">
        <x:v>393</x:v>
      </x:c>
    </x:row>
    <x:row r="9" ht="14.25" customHeight="1">
      <x:c r="A9" s="15" t="s">
        <x:v>394</x:v>
      </x:c>
      <x:c r="B9" s="15" t="s">
        <x:v>386</x:v>
      </x:c>
      <x:c r="C9" s="15" t="s">
        <x:v>362</x:v>
      </x:c>
      <x:c r="D9" s="15" t="s">
        <x:v>395</x:v>
      </x:c>
      <x:c r="E9" s="15" t="s">
        <x:v>364</x:v>
      </x:c>
      <x:c r="F9" s="15" t="s">
        <x:v>396</x:v>
      </x:c>
      <x:c r="G9" s="93" t="s">
        <x:v>397</x:v>
      </x:c>
    </x:row>
    <x:row r="10" ht="14.25" customHeight="1">
      <x:c r="A10" s="15" t="s">
        <x:v>398</x:v>
      </x:c>
      <x:c r="B10" s="15" t="s">
        <x:v>399</x:v>
      </x:c>
      <x:c r="C10" s="15" t="s">
        <x:v>362</x:v>
      </x:c>
      <x:c r="D10" s="15" t="s">
        <x:v>400</x:v>
      </x:c>
      <x:c r="E10" s="15" t="s">
        <x:v>364</x:v>
      </x:c>
      <x:c r="F10" s="15" t="s">
        <x:v>401</x:v>
      </x:c>
      <x:c r="G10" s="93" t="s">
        <x:v>402</x:v>
      </x:c>
    </x:row>
    <x:row r="11" ht="14.25" customHeight="1">
      <x:c r="A11" s="15" t="s">
        <x:v>403</x:v>
      </x:c>
      <x:c r="B11" s="15" t="s">
        <x:v>404</x:v>
      </x:c>
      <x:c r="C11" s="15" t="s">
        <x:v>362</x:v>
      </x:c>
      <x:c r="D11" s="15" t="s">
        <x:v>405</x:v>
      </x:c>
      <x:c r="E11" s="15" t="s">
        <x:v>364</x:v>
      </x:c>
      <x:c r="F11" s="15" t="s">
        <x:v>406</x:v>
      </x:c>
      <x:c r="G11" s="93" t="s">
        <x:v>407</x:v>
      </x:c>
    </x:row>
    <x:row r="12" ht="14.25" customHeight="1">
      <x:c r="A12" s="15" t="s">
        <x:v>408</x:v>
      </x:c>
      <x:c r="B12" s="15" t="s">
        <x:v>409</x:v>
      </x:c>
      <x:c r="C12" s="15" t="s">
        <x:v>362</x:v>
      </x:c>
      <x:c r="D12" s="15" t="s">
        <x:v>410</x:v>
      </x:c>
      <x:c r="E12" s="15" t="s">
        <x:v>364</x:v>
      </x:c>
      <x:c r="F12" s="15" t="s">
        <x:v>411</x:v>
      </x:c>
      <x:c r="G12" s="93" t="s">
        <x:v>412</x:v>
      </x:c>
    </x:row>
    <x:row r="13" ht="14.25" customHeight="1">
      <x:c r="A13" s="15" t="s">
        <x:v>413</x:v>
      </x:c>
      <x:c r="B13" s="15" t="s">
        <x:v>414</x:v>
      </x:c>
      <x:c r="C13" s="15" t="s">
        <x:v>362</x:v>
      </x:c>
      <x:c r="D13" s="15" t="s">
        <x:v>415</x:v>
      </x:c>
      <x:c r="E13" s="15" t="s">
        <x:v>364</x:v>
      </x:c>
      <x:c r="F13" s="15" t="s">
        <x:v>416</x:v>
      </x:c>
      <x:c r="G13" s="93" t="s">
        <x:v>417</x:v>
      </x:c>
    </x:row>
    <x:row r="14" ht="14.25" customHeight="1">
      <x:c r="A14" s="15" t="s">
        <x:v>418</x:v>
      </x:c>
      <x:c r="B14" s="15" t="s">
        <x:v>386</x:v>
      </x:c>
      <x:c r="C14" s="15" t="s">
        <x:v>362</x:v>
      </x:c>
      <x:c r="D14" s="15" t="s">
        <x:v>419</x:v>
      </x:c>
      <x:c r="E14" s="15" t="s">
        <x:v>364</x:v>
      </x:c>
      <x:c r="F14" s="15" t="s">
        <x:v>420</x:v>
      </x:c>
      <x:c r="G14" s="93" t="s">
        <x:v>421</x:v>
      </x:c>
    </x:row>
    <x:row r="15" ht="14.25" customHeight="1">
      <x:c r="A15" s="15" t="s">
        <x:v>422</x:v>
      </x:c>
      <x:c r="B15" s="15" t="s">
        <x:v>404</x:v>
      </x:c>
      <x:c r="C15" s="15" t="s">
        <x:v>362</x:v>
      </x:c>
      <x:c r="D15" s="15" t="s">
        <x:v>423</x:v>
      </x:c>
      <x:c r="E15" s="15" t="s">
        <x:v>364</x:v>
      </x:c>
      <x:c r="F15" s="15" t="s">
        <x:v>424</x:v>
      </x:c>
      <x:c r="G15" s="93" t="s">
        <x:v>425</x:v>
      </x:c>
    </x:row>
    <x:row r="16" ht="14.25" customHeight="1">
      <x:c r="A16" s="15" t="s">
        <x:v>426</x:v>
      </x:c>
      <x:c r="B16" s="15" t="s">
        <x:v>427</x:v>
      </x:c>
      <x:c r="C16" s="15" t="s">
        <x:v>362</x:v>
      </x:c>
      <x:c r="D16" s="15" t="s">
        <x:v>428</x:v>
      </x:c>
      <x:c r="E16" s="15" t="s">
        <x:v>429</x:v>
      </x:c>
      <x:c r="F16" s="15" t="s">
        <x:v>430</x:v>
      </x:c>
      <x:c r="G16" s="93" t="s">
        <x:v>431</x:v>
      </x:c>
    </x:row>
    <x:row r="17" ht="14.25" customHeight="1">
      <x:c r="A17" s="15" t="s">
        <x:v>432</x:v>
      </x:c>
      <x:c r="B17" s="15" t="s">
        <x:v>427</x:v>
      </x:c>
      <x:c r="C17" s="15" t="s">
        <x:v>362</x:v>
      </x:c>
      <x:c r="D17" s="15" t="s">
        <x:v>433</x:v>
      </x:c>
      <x:c r="E17" s="15" t="s">
        <x:v>429</x:v>
      </x:c>
      <x:c r="F17" s="15" t="s">
        <x:v>434</x:v>
      </x:c>
      <x:c r="G17" s="93" t="s">
        <x:v>435</x:v>
      </x:c>
    </x:row>
    <x:row r="18" ht="14.25" customHeight="1">
      <x:c r="A18" s="15" t="s">
        <x:v>436</x:v>
      </x:c>
      <x:c r="B18" s="15" t="s">
        <x:v>437</x:v>
      </x:c>
      <x:c r="C18" s="15" t="s">
        <x:v>362</x:v>
      </x:c>
      <x:c r="D18" s="15" t="s">
        <x:v>438</x:v>
      </x:c>
      <x:c r="E18" s="15" t="s">
        <x:v>439</x:v>
      </x:c>
      <x:c r="F18" s="15" t="s">
        <x:v>440</x:v>
      </x:c>
      <x:c r="G18" s="93" t="s">
        <x:v>441</x:v>
      </x:c>
    </x:row>
    <x:row r="19" ht="14.25" customHeight="1">
      <x:c r="A19" s="15" t="s">
        <x:v>442</x:v>
      </x:c>
      <x:c r="B19" s="15" t="s">
        <x:v>443</x:v>
      </x:c>
      <x:c r="C19" s="15" t="s">
        <x:v>362</x:v>
      </x:c>
      <x:c r="D19" s="15" t="s">
        <x:v>444</x:v>
      </x:c>
      <x:c r="E19" s="15" t="s">
        <x:v>445</x:v>
      </x:c>
      <x:c r="F19" s="15" t="s">
        <x:v>446</x:v>
      </x:c>
      <x:c r="G19" s="93" t="s">
        <x:v>447</x:v>
      </x:c>
    </x:row>
    <x:row r="20" ht="14.25" customHeight="1">
      <x:c r="A20" s="15" t="s">
        <x:v>448</x:v>
      </x:c>
      <x:c r="B20" s="15" t="s">
        <x:v>449</x:v>
      </x:c>
      <x:c r="C20" s="15" t="s">
        <x:v>362</x:v>
      </x:c>
      <x:c r="D20" s="15" t="s">
        <x:v>450</x:v>
      </x:c>
      <x:c r="E20" s="15" t="s">
        <x:v>445</x:v>
      </x:c>
      <x:c r="F20" s="15" t="s">
        <x:v>451</x:v>
      </x:c>
      <x:c r="G20" s="93" t="s">
        <x:v>452</x:v>
      </x:c>
    </x:row>
    <x:row r="21" ht="14.25" customHeight="1">
      <x:c r="A21" s="15" t="s">
        <x:v>453</x:v>
      </x:c>
      <x:c r="B21" s="15" t="s">
        <x:v>454</x:v>
      </x:c>
      <x:c r="C21" s="15" t="s">
        <x:v>362</x:v>
      </x:c>
      <x:c r="D21" s="15" t="s">
        <x:v>455</x:v>
      </x:c>
      <x:c r="E21" s="15" t="s">
        <x:v>456</x:v>
      </x:c>
      <x:c r="F21" s="15" t="s">
        <x:v>457</x:v>
      </x:c>
      <x:c r="G21" s="93" t="s">
        <x:v>458</x:v>
      </x:c>
    </x:row>
    <x:row r="22" ht="14.25" customHeight="1">
      <x:c r="A22" s="15" t="s">
        <x:v>459</x:v>
      </x:c>
      <x:c r="B22" s="15" t="s">
        <x:v>460</x:v>
      </x:c>
      <x:c r="C22" s="15" t="s">
        <x:v>461</x:v>
      </x:c>
      <x:c r="D22" s="15" t="s">
        <x:v>462</x:v>
      </x:c>
      <x:c r="E22" s="15" t="s">
        <x:v>463</x:v>
      </x:c>
      <x:c r="F22" s="15" t="s">
        <x:v>464</x:v>
      </x:c>
      <x:c r="G22" s="15" t="s">
        <x:v>465</x:v>
      </x:c>
    </x:row>
    <x:row r="23" ht="14.25" customHeight="1">
      <x:c r="A23" s="15" t="s">
        <x:v>466</x:v>
      </x:c>
      <x:c r="B23" s="15" t="s">
        <x:v>386</x:v>
      </x:c>
      <x:c r="C23" s="15" t="s">
        <x:v>461</x:v>
      </x:c>
      <x:c r="D23" s="15" t="s">
        <x:v>467</x:v>
      </x:c>
      <x:c r="E23" s="15" t="s">
        <x:v>468</x:v>
      </x:c>
      <x:c r="F23" s="15" t="s">
        <x:v>469</x:v>
      </x:c>
      <x:c r="G23" s="15" t="s">
        <x:v>470</x:v>
      </x:c>
    </x:row>
    <x:row r="24" ht="14.25" customHeight="1">
      <x:c r="A24" s="15" t="s">
        <x:v>471</x:v>
      </x:c>
      <x:c r="B24" s="15" t="s">
        <x:v>386</x:v>
      </x:c>
      <x:c r="C24" s="15" t="s">
        <x:v>461</x:v>
      </x:c>
      <x:c r="D24" s="15" t="s">
        <x:v>472</x:v>
      </x:c>
      <x:c r="E24" s="15" t="s">
        <x:v>468</x:v>
      </x:c>
      <x:c r="F24" s="15" t="s">
        <x:v>473</x:v>
      </x:c>
      <x:c r="G24" s="15" t="s">
        <x:v>474</x:v>
      </x:c>
    </x:row>
    <x:row r="25" ht="14.25" customHeight="1">
      <x:c r="A25" s="15" t="s">
        <x:v>475</x:v>
      </x:c>
      <x:c r="B25" s="15" t="s">
        <x:v>427</x:v>
      </x:c>
      <x:c r="C25" s="15" t="s">
        <x:v>461</x:v>
      </x:c>
      <x:c r="D25" s="15" t="s">
        <x:v>476</x:v>
      </x:c>
      <x:c r="E25" s="15" t="s">
        <x:v>429</x:v>
      </x:c>
      <x:c r="F25" s="15" t="s">
        <x:v>477</x:v>
      </x:c>
      <x:c r="G25" s="15" t="s">
        <x:v>478</x:v>
      </x:c>
    </x:row>
    <x:row r="26" ht="14.25" customHeight="1">
      <x:c r="A26" s="15" t="s">
        <x:v>479</x:v>
      </x:c>
      <x:c r="B26" s="15" t="s">
        <x:v>99</x:v>
      </x:c>
      <x:c r="C26" s="15" t="s">
        <x:v>461</x:v>
      </x:c>
      <x:c r="D26" s="15" t="s">
        <x:v>480</x:v>
      </x:c>
      <x:c r="E26" s="15" t="s">
        <x:v>481</x:v>
      </x:c>
      <x:c r="F26" s="15" t="s">
        <x:v>482</x:v>
      </x:c>
      <x:c r="G26" s="15" t="s">
        <x:v>483</x:v>
      </x:c>
    </x:row>
    <x:row r="27" ht="14.25" customHeight="1">
      <x:c r="A27" s="15" t="s">
        <x:v>484</x:v>
      </x:c>
      <x:c r="B27" s="15" t="s">
        <x:v>414</x:v>
      </x:c>
      <x:c r="C27" s="15" t="s">
        <x:v>485</x:v>
      </x:c>
      <x:c r="D27" s="15" t="s">
        <x:v>486</x:v>
      </x:c>
      <x:c r="E27" s="15" t="s">
        <x:v>364</x:v>
      </x:c>
      <x:c r="F27" s="15" t="s">
        <x:v>487</x:v>
      </x:c>
      <x:c r="G27" s="15" t="s">
        <x:v>488</x:v>
      </x:c>
    </x:row>
    <x:row r="28" ht="14.25" customHeight="1">
      <x:c r="A28" s="15" t="s">
        <x:v>489</x:v>
      </x:c>
      <x:c r="B28" s="15" t="s">
        <x:v>386</x:v>
      </x:c>
      <x:c r="C28" s="15" t="s">
        <x:v>485</x:v>
      </x:c>
      <x:c r="D28" s="15" t="s">
        <x:v>490</x:v>
      </x:c>
      <x:c r="E28" s="15" t="s">
        <x:v>364</x:v>
      </x:c>
      <x:c r="F28" s="15" t="s">
        <x:v>491</x:v>
      </x:c>
      <x:c r="G28" s="15" t="s">
        <x:v>492</x:v>
      </x:c>
    </x:row>
    <x:row r="29" ht="14.25" customHeight="1">
      <x:c r="A29" s="15" t="s">
        <x:v>493</x:v>
      </x:c>
      <x:c r="B29" s="15" t="s">
        <x:v>494</x:v>
      </x:c>
      <x:c r="C29" s="15" t="s">
        <x:v>485</x:v>
      </x:c>
      <x:c r="D29" s="15" t="s">
        <x:v>495</x:v>
      </x:c>
      <x:c r="E29" s="15" t="s">
        <x:v>445</x:v>
      </x:c>
      <x:c r="F29" s="15" t="s">
        <x:v>496</x:v>
      </x:c>
      <x:c r="G29" s="15" t="s">
        <x:v>497</x:v>
      </x:c>
    </x:row>
    <x:row r="30" ht="14.25" customHeight="1">
      <x:c r="A30" s="15" t="s">
        <x:v>498</x:v>
      </x:c>
      <x:c r="B30" s="15" t="s">
        <x:v>449</x:v>
      </x:c>
      <x:c r="C30" s="15" t="s">
        <x:v>485</x:v>
      </x:c>
      <x:c r="D30" s="15" t="s">
        <x:v>499</x:v>
      </x:c>
      <x:c r="E30" s="15" t="s">
        <x:v>445</x:v>
      </x:c>
      <x:c r="F30" s="15" t="s">
        <x:v>500</x:v>
      </x:c>
      <x:c r="G30" s="15" t="s">
        <x:v>501</x:v>
      </x:c>
    </x:row>
    <x:row r="31" ht="14.25" customHeight="1">
      <x:c r="A31" s="15" t="s">
        <x:v>502</x:v>
      </x:c>
      <x:c r="B31" s="15" t="s">
        <x:v>454</x:v>
      </x:c>
      <x:c r="C31" s="15" t="s">
        <x:v>485</x:v>
      </x:c>
      <x:c r="D31" s="15" t="s">
        <x:v>503</x:v>
      </x:c>
      <x:c r="E31" s="15" t="s">
        <x:v>456</x:v>
      </x:c>
      <x:c r="F31" s="15" t="s">
        <x:v>504</x:v>
      </x:c>
      <x:c r="G31" s="15" t="s">
        <x:v>505</x:v>
      </x:c>
    </x:row>
    <x:row r="32" ht="14.25" customHeight="1">
      <x:c r="A32" s="15" t="s">
        <x:v>506</x:v>
      </x:c>
      <x:c r="B32" s="15" t="s">
        <x:v>376</x:v>
      </x:c>
      <x:c r="C32" s="15" t="s">
        <x:v>507</x:v>
      </x:c>
      <x:c r="D32" s="15" t="s">
        <x:v>508</x:v>
      </x:c>
      <x:c r="E32" s="15" t="s">
        <x:v>364</x:v>
      </x:c>
      <x:c r="F32" s="15" t="s">
        <x:v>509</x:v>
      </x:c>
      <x:c r="G32" s="15" t="s">
        <x:v>510</x:v>
      </x:c>
    </x:row>
    <x:row r="33" ht="14.25" customHeight="1">
      <x:c r="A33" s="15" t="s">
        <x:v>511</x:v>
      </x:c>
      <x:c r="B33" s="15" t="s">
        <x:v>386</x:v>
      </x:c>
      <x:c r="C33" s="15" t="s">
        <x:v>507</x:v>
      </x:c>
      <x:c r="D33" s="15" t="s">
        <x:v>512</x:v>
      </x:c>
      <x:c r="E33" s="15" t="s">
        <x:v>364</x:v>
      </x:c>
      <x:c r="F33" s="15" t="s">
        <x:v>513</x:v>
      </x:c>
      <x:c r="G33" s="15" t="s">
        <x:v>514</x:v>
      </x:c>
    </x:row>
    <x:row r="34" ht="14.25" customHeight="1">
      <x:c r="A34" s="15" t="s">
        <x:v>515</x:v>
      </x:c>
      <x:c r="B34" s="15" t="s">
        <x:v>404</x:v>
      </x:c>
      <x:c r="C34" s="15" t="s">
        <x:v>507</x:v>
      </x:c>
      <x:c r="D34" s="15" t="s">
        <x:v>516</x:v>
      </x:c>
      <x:c r="E34" s="15" t="s">
        <x:v>364</x:v>
      </x:c>
      <x:c r="F34" s="15" t="s">
        <x:v>517</x:v>
      </x:c>
      <x:c r="G34" s="15" t="s">
        <x:v>518</x:v>
      </x:c>
    </x:row>
    <x:row r="35" ht="14.25" customHeight="1">
      <x:c r="A35" s="15" t="s">
        <x:v>519</x:v>
      </x:c>
      <x:c r="B35" s="15" t="s">
        <x:v>427</x:v>
      </x:c>
      <x:c r="C35" s="15" t="s">
        <x:v>507</x:v>
      </x:c>
      <x:c r="D35" s="15" t="s">
        <x:v>520</x:v>
      </x:c>
      <x:c r="E35" s="15" t="s">
        <x:v>429</x:v>
      </x:c>
      <x:c r="F35" s="15" t="s">
        <x:v>521</x:v>
      </x:c>
      <x:c r="G35" s="15" t="s">
        <x:v>522</x:v>
      </x:c>
    </x:row>
    <x:row r="36" ht="14.25" customHeight="1">
      <x:c r="A36" s="15" t="s">
        <x:v>523</x:v>
      </x:c>
      <x:c r="B36" s="15" t="s">
        <x:v>524</x:v>
      </x:c>
      <x:c r="C36" s="15" t="s">
        <x:v>507</x:v>
      </x:c>
      <x:c r="D36" s="15" t="s">
        <x:v>525</x:v>
      </x:c>
      <x:c r="E36" s="15" t="s">
        <x:v>445</x:v>
      </x:c>
      <x:c r="F36" s="15" t="s">
        <x:v>526</x:v>
      </x:c>
      <x:c r="G36" s="15" t="s">
        <x:v>527</x:v>
      </x:c>
    </x:row>
    <x:row r="37" ht="14.25" customHeight="1">
      <x:c r="A37" s="15" t="s">
        <x:v>528</x:v>
      </x:c>
      <x:c r="B37" s="15" t="s">
        <x:v>449</x:v>
      </x:c>
      <x:c r="C37" s="15" t="s">
        <x:v>529</x:v>
      </x:c>
      <x:c r="D37" s="15" t="s">
        <x:v>530</x:v>
      </x:c>
      <x:c r="E37" s="15" t="s">
        <x:v>445</x:v>
      </x:c>
      <x:c r="F37" s="15" t="s">
        <x:v>531</x:v>
      </x:c>
      <x:c r="G37" s="15" t="s">
        <x:v>532</x:v>
      </x:c>
    </x:row>
    <x:row r="38" ht="14.25" customHeight="1">
      <x:c r="A38" s="15" t="s">
        <x:v>533</x:v>
      </x:c>
      <x:c r="B38" s="15" t="s">
        <x:v>427</x:v>
      </x:c>
      <x:c r="C38" s="15" t="s">
        <x:v>529</x:v>
      </x:c>
      <x:c r="D38" s="15" t="s">
        <x:v>534</x:v>
      </x:c>
      <x:c r="E38" s="15" t="s">
        <x:v>429</x:v>
      </x:c>
      <x:c r="F38" s="15" t="s">
        <x:v>535</x:v>
      </x:c>
      <x:c r="G38" s="15" t="s">
        <x:v>536</x:v>
      </x:c>
    </x:row>
    <x:row r="39" ht="14.25" customHeight="1">
      <x:c r="A39" s="15" t="s">
        <x:v>537</x:v>
      </x:c>
      <x:c r="B39" s="15" t="s">
        <x:v>386</x:v>
      </x:c>
      <x:c r="C39" s="15" t="s">
        <x:v>529</x:v>
      </x:c>
      <x:c r="D39" s="15" t="s">
        <x:v>538</x:v>
      </x:c>
      <x:c r="E39" s="15" t="s">
        <x:v>539</x:v>
      </x:c>
      <x:c r="F39" s="15" t="s">
        <x:v>540</x:v>
      </x:c>
      <x:c r="G39" s="15" t="s">
        <x:v>541</x:v>
      </x:c>
    </x:row>
    <x:row r="40" ht="14.25" customHeight="1">
      <x:c r="A40" s="15" t="s">
        <x:v>542</x:v>
      </x:c>
      <x:c r="B40" s="15" t="s">
        <x:v>386</x:v>
      </x:c>
      <x:c r="C40" s="15" t="s">
        <x:v>529</x:v>
      </x:c>
      <x:c r="D40" s="15" t="s">
        <x:v>543</x:v>
      </x:c>
      <x:c r="E40" s="15" t="s">
        <x:v>364</x:v>
      </x:c>
      <x:c r="F40" s="15" t="s">
        <x:v>544</x:v>
      </x:c>
      <x:c r="G40" s="15" t="s">
        <x:v>545</x:v>
      </x:c>
    </x:row>
    <x:row r="41" ht="14.25" customHeight="1">
      <x:c r="A41" s="15" t="s">
        <x:v>546</x:v>
      </x:c>
      <x:c r="B41" s="15" t="s">
        <x:v>494</x:v>
      </x:c>
      <x:c r="C41" s="15" t="s">
        <x:v>529</x:v>
      </x:c>
      <x:c r="D41" s="15" t="s">
        <x:v>547</x:v>
      </x:c>
      <x:c r="E41" s="15" t="s">
        <x:v>445</x:v>
      </x:c>
      <x:c r="F41" s="15" t="s">
        <x:v>548</x:v>
      </x:c>
      <x:c r="G41" s="15" t="s">
        <x:v>549</x:v>
      </x:c>
    </x:row>
    <x:row r="42" ht="14.25" customHeight="1">
      <x:c r="A42" s="15" t="s">
        <x:v>550</x:v>
      </x:c>
      <x:c r="B42" s="15" t="s">
        <x:v>386</x:v>
      </x:c>
      <x:c r="C42" s="15" t="s">
        <x:v>551</x:v>
      </x:c>
      <x:c r="D42" s="15" t="s">
        <x:v>552</x:v>
      </x:c>
      <x:c r="E42" s="15" t="s">
        <x:v>364</x:v>
      </x:c>
      <x:c r="F42" s="15" t="s">
        <x:v>553</x:v>
      </x:c>
      <x:c r="G42" s="15" t="s">
        <x:v>554</x:v>
      </x:c>
    </x:row>
    <x:row r="43" ht="14.25" customHeight="1">
      <x:c r="A43" s="15" t="s">
        <x:v>555</x:v>
      </x:c>
      <x:c r="B43" s="15" t="s">
        <x:v>556</x:v>
      </x:c>
      <x:c r="C43" s="15" t="s">
        <x:v>551</x:v>
      </x:c>
      <x:c r="D43" s="15" t="s">
        <x:v>557</x:v>
      </x:c>
      <x:c r="E43" s="15" t="s">
        <x:v>364</x:v>
      </x:c>
      <x:c r="F43" s="15" t="s">
        <x:v>558</x:v>
      </x:c>
      <x:c r="G43" s="15" t="s">
        <x:v>559</x:v>
      </x:c>
    </x:row>
    <x:row r="44" ht="14.25" customHeight="1">
      <x:c r="A44" s="15" t="s">
        <x:v>560</x:v>
      </x:c>
      <x:c r="B44" s="15" t="s">
        <x:v>561</x:v>
      </x:c>
      <x:c r="C44" s="15" t="s">
        <x:v>551</x:v>
      </x:c>
      <x:c r="D44" s="15" t="s">
        <x:v>562</x:v>
      </x:c>
      <x:c r="E44" s="15" t="s">
        <x:v>445</x:v>
      </x:c>
      <x:c r="F44" s="15" t="s">
        <x:v>563</x:v>
      </x:c>
      <x:c r="G44" s="15" t="s">
        <x:v>564</x:v>
      </x:c>
    </x:row>
    <x:row r="45" ht="14.25" customHeight="1">
      <x:c r="A45" s="15" t="s">
        <x:v>565</x:v>
      </x:c>
      <x:c r="B45" s="15" t="s">
        <x:v>566</x:v>
      </x:c>
      <x:c r="C45" s="15" t="s">
        <x:v>551</x:v>
      </x:c>
      <x:c r="D45" s="15" t="s">
        <x:v>567</x:v>
      </x:c>
      <x:c r="E45" s="15" t="s">
        <x:v>568</x:v>
      </x:c>
      <x:c r="F45" s="15" t="s">
        <x:v>569</x:v>
      </x:c>
      <x:c r="G45" s="15" t="s">
        <x:v>570</x:v>
      </x:c>
    </x:row>
    <x:row r="46" ht="14.25" customHeight="1">
      <x:c r="A46" s="15" t="s">
        <x:v>571</x:v>
      </x:c>
      <x:c r="B46" s="15" t="s">
        <x:v>386</x:v>
      </x:c>
      <x:c r="C46" s="15" t="s">
        <x:v>551</x:v>
      </x:c>
      <x:c r="D46" s="15" t="s">
        <x:v>572</x:v>
      </x:c>
      <x:c r="E46" s="15" t="s">
        <x:v>364</x:v>
      </x:c>
      <x:c r="F46" s="15" t="s">
        <x:v>573</x:v>
      </x:c>
      <x:c r="G46" s="15" t="s">
        <x:v>574</x:v>
      </x:c>
    </x:row>
    <x:row r="47" ht="14.25" customHeight="1">
      <x:c r="A47" s="15" t="s">
        <x:v>575</x:v>
      </x:c>
      <x:c r="B47" s="15" t="s">
        <x:v>427</x:v>
      </x:c>
      <x:c r="C47" s="15" t="s">
        <x:v>576</x:v>
      </x:c>
      <x:c r="D47" s="15" t="s">
        <x:v>577</x:v>
      </x:c>
      <x:c r="E47" s="15" t="s">
        <x:v>429</x:v>
      </x:c>
      <x:c r="F47" s="15" t="s">
        <x:v>578</x:v>
      </x:c>
      <x:c r="G47" s="15" t="s">
        <x:v>579</x:v>
      </x:c>
    </x:row>
    <x:row r="48" ht="14.25" customHeight="1">
      <x:c r="A48" s="15" t="s">
        <x:v>580</x:v>
      </x:c>
      <x:c r="B48" s="15" t="s">
        <x:v>386</x:v>
      </x:c>
      <x:c r="C48" s="15" t="s">
        <x:v>576</x:v>
      </x:c>
      <x:c r="D48" s="15" t="s">
        <x:v>581</x:v>
      </x:c>
      <x:c r="E48" s="15" t="s">
        <x:v>539</x:v>
      </x:c>
      <x:c r="F48" s="15" t="s">
        <x:v>582</x:v>
      </x:c>
      <x:c r="G48" s="15" t="s">
        <x:v>583</x:v>
      </x:c>
    </x:row>
    <x:row r="49" ht="14.25" customHeight="1">
      <x:c r="A49" s="15" t="s">
        <x:v>584</x:v>
      </x:c>
      <x:c r="B49" s="15" t="s">
        <x:v>449</x:v>
      </x:c>
      <x:c r="C49" s="15" t="s">
        <x:v>576</x:v>
      </x:c>
      <x:c r="D49" s="15" t="s">
        <x:v>585</x:v>
      </x:c>
      <x:c r="E49" s="15" t="s">
        <x:v>445</x:v>
      </x:c>
      <x:c r="F49" s="15" t="s">
        <x:v>586</x:v>
      </x:c>
      <x:c r="G49" s="15" t="s">
        <x:v>587</x:v>
      </x:c>
    </x:row>
    <x:row r="50" ht="14.25" customHeight="1">
      <x:c r="A50" s="15" t="s">
        <x:v>588</x:v>
      </x:c>
      <x:c r="B50" s="15" t="s">
        <x:v>404</x:v>
      </x:c>
      <x:c r="C50" s="15" t="s">
        <x:v>576</x:v>
      </x:c>
      <x:c r="D50" s="15" t="s">
        <x:v>589</x:v>
      </x:c>
      <x:c r="E50" s="15" t="s">
        <x:v>364</x:v>
      </x:c>
      <x:c r="F50" s="15" t="s">
        <x:v>590</x:v>
      </x:c>
      <x:c r="G50" s="15" t="s">
        <x:v>591</x:v>
      </x:c>
    </x:row>
    <x:row r="51" ht="14.25" customHeight="1">
      <x:c r="A51" s="15" t="s">
        <x:v>592</x:v>
      </x:c>
      <x:c r="B51" s="15" t="s">
        <x:v>561</x:v>
      </x:c>
      <x:c r="C51" s="15" t="s">
        <x:v>576</x:v>
      </x:c>
      <x:c r="D51" s="15" t="s">
        <x:v>593</x:v>
      </x:c>
      <x:c r="E51" s="15" t="s">
        <x:v>445</x:v>
      </x:c>
      <x:c r="F51" s="15" t="s">
        <x:v>594</x:v>
      </x:c>
      <x:c r="G51" s="15" t="s">
        <x:v>595</x:v>
      </x:c>
    </x:row>
    <x:row r="52" ht="14.25" customHeight="1">
      <x:c r="A52" s="15" t="s">
        <x:v>596</x:v>
      </x:c>
      <x:c r="B52" s="15" t="s">
        <x:v>561</x:v>
      </x:c>
      <x:c r="C52" s="15" t="s">
        <x:v>597</x:v>
      </x:c>
      <x:c r="D52" s="15" t="s">
        <x:v>598</x:v>
      </x:c>
      <x:c r="E52" s="15" t="s">
        <x:v>445</x:v>
      </x:c>
      <x:c r="F52" s="15" t="s">
        <x:v>599</x:v>
      </x:c>
      <x:c r="G52" s="15" t="s">
        <x:v>600</x:v>
      </x:c>
    </x:row>
    <x:row r="53" ht="14.25" customHeight="1">
      <x:c r="A53" s="15" t="s">
        <x:v>601</x:v>
      </x:c>
      <x:c r="B53" s="15" t="s">
        <x:v>602</x:v>
      </x:c>
      <x:c r="C53" s="15" t="s">
        <x:v>597</x:v>
      </x:c>
      <x:c r="D53" s="15" t="s">
        <x:v>603</x:v>
      </x:c>
      <x:c r="E53" s="15" t="s">
        <x:v>445</x:v>
      </x:c>
      <x:c r="F53" s="15" t="s">
        <x:v>604</x:v>
      </x:c>
      <x:c r="G53" s="15" t="s">
        <x:v>605</x:v>
      </x:c>
    </x:row>
    <x:row r="54" ht="14.25" customHeight="1">
      <x:c r="A54" s="15" t="s">
        <x:v>606</x:v>
      </x:c>
      <x:c r="B54" s="15" t="s">
        <x:v>386</x:v>
      </x:c>
      <x:c r="C54" s="15" t="s">
        <x:v>597</x:v>
      </x:c>
      <x:c r="D54" s="15" t="s">
        <x:v>607</x:v>
      </x:c>
      <x:c r="E54" s="15" t="s">
        <x:v>364</x:v>
      </x:c>
      <x:c r="F54" s="15" t="s">
        <x:v>608</x:v>
      </x:c>
      <x:c r="G54" s="15" t="s">
        <x:v>609</x:v>
      </x:c>
    </x:row>
    <x:row r="55" ht="14.25" customHeight="1">
      <x:c r="A55" s="15" t="s">
        <x:v>610</x:v>
      </x:c>
      <x:c r="B55" s="15" t="s">
        <x:v>611</x:v>
      </x:c>
      <x:c r="C55" s="15" t="s">
        <x:v>597</x:v>
      </x:c>
      <x:c r="D55" s="15" t="s">
        <x:v>612</x:v>
      </x:c>
      <x:c r="E55" s="15" t="s">
        <x:v>429</x:v>
      </x:c>
      <x:c r="F55" s="15" t="s">
        <x:v>613</x:v>
      </x:c>
      <x:c r="G55" s="15" t="s">
        <x:v>614</x:v>
      </x:c>
    </x:row>
    <x:row r="56" ht="14.25" customHeight="1">
      <x:c r="A56" s="15" t="s">
        <x:v>615</x:v>
      </x:c>
      <x:c r="B56" s="15" t="s">
        <x:v>454</x:v>
      </x:c>
      <x:c r="C56" s="15" t="s">
        <x:v>597</x:v>
      </x:c>
      <x:c r="D56" s="15" t="s">
        <x:v>616</x:v>
      </x:c>
      <x:c r="E56" s="15" t="s">
        <x:v>456</x:v>
      </x:c>
      <x:c r="F56" s="15" t="s">
        <x:v>617</x:v>
      </x:c>
      <x:c r="G56" s="15" t="s">
        <x:v>618</x:v>
      </x:c>
    </x:row>
    <x:row r="57" ht="14.25" customHeight="1">
      <x:c r="A57" s="15" t="s">
        <x:v>619</x:v>
      </x:c>
      <x:c r="B57" s="15" t="s">
        <x:v>376</x:v>
      </x:c>
      <x:c r="C57" s="15" t="s">
        <x:v>620</x:v>
      </x:c>
      <x:c r="D57" s="15" t="s">
        <x:v>621</x:v>
      </x:c>
      <x:c r="E57" s="15" t="s">
        <x:v>364</x:v>
      </x:c>
      <x:c r="F57" s="15" t="s">
        <x:v>622</x:v>
      </x:c>
      <x:c r="G57" s="15" t="s">
        <x:v>623</x:v>
      </x:c>
    </x:row>
    <x:row r="58" ht="14.25" customHeight="1">
      <x:c r="A58" s="15" t="s">
        <x:v>624</x:v>
      </x:c>
      <x:c r="B58" s="15" t="s">
        <x:v>561</x:v>
      </x:c>
      <x:c r="C58" s="15" t="s">
        <x:v>620</x:v>
      </x:c>
      <x:c r="D58" s="15" t="s">
        <x:v>625</x:v>
      </x:c>
      <x:c r="E58" s="15" t="s">
        <x:v>445</x:v>
      </x:c>
      <x:c r="F58" s="15" t="s">
        <x:v>626</x:v>
      </x:c>
      <x:c r="G58" s="15" t="s">
        <x:v>627</x:v>
      </x:c>
    </x:row>
    <x:row r="59" ht="14.25" customHeight="1">
      <x:c r="A59" s="15" t="s">
        <x:v>628</x:v>
      </x:c>
      <x:c r="B59" s="15" t="s">
        <x:v>409</x:v>
      </x:c>
      <x:c r="C59" s="15" t="s">
        <x:v>620</x:v>
      </x:c>
      <x:c r="D59" s="15" t="s">
        <x:v>629</x:v>
      </x:c>
      <x:c r="E59" s="15" t="s">
        <x:v>539</x:v>
      </x:c>
      <x:c r="F59" s="15" t="s">
        <x:v>630</x:v>
      </x:c>
      <x:c r="G59" s="15" t="s">
        <x:v>631</x:v>
      </x:c>
    </x:row>
    <x:row r="60" ht="14.25" customHeight="1">
      <x:c r="A60" s="15" t="s">
        <x:v>632</x:v>
      </x:c>
      <x:c r="B60" s="15" t="s">
        <x:v>99</x:v>
      </x:c>
      <x:c r="C60" s="15" t="s">
        <x:v>620</x:v>
      </x:c>
      <x:c r="D60" s="15" t="s">
        <x:v>633</x:v>
      </x:c>
      <x:c r="E60" s="15" t="s">
        <x:v>481</x:v>
      </x:c>
      <x:c r="F60" s="15" t="s">
        <x:v>634</x:v>
      </x:c>
      <x:c r="G60" s="15" t="s">
        <x:v>635</x:v>
      </x:c>
    </x:row>
    <x:row r="61" ht="14.25" customHeight="1">
      <x:c r="A61" s="15" t="s">
        <x:v>636</x:v>
      </x:c>
      <x:c r="B61" s="15" t="s">
        <x:v>449</x:v>
      </x:c>
      <x:c r="C61" s="15" t="s">
        <x:v>620</x:v>
      </x:c>
      <x:c r="D61" s="15" t="s">
        <x:v>637</x:v>
      </x:c>
      <x:c r="E61" s="15" t="s">
        <x:v>445</x:v>
      </x:c>
      <x:c r="F61" s="15" t="s">
        <x:v>638</x:v>
      </x:c>
      <x:c r="G61" s="15" t="s">
        <x:v>639</x:v>
      </x:c>
    </x:row>
    <x:row r="62" ht="14.25" customHeight="1">
      <x:c r="A62" s="15" t="s">
        <x:v>515</x:v>
      </x:c>
      <x:c r="B62" s="15" t="s">
        <x:v>404</x:v>
      </x:c>
      <x:c r="C62" s="15" t="s">
        <x:v>640</x:v>
      </x:c>
      <x:c r="D62" s="15" t="s">
        <x:v>641</x:v>
      </x:c>
      <x:c r="E62" s="15" t="s">
        <x:v>364</x:v>
      </x:c>
      <x:c r="F62" s="15" t="s">
        <x:v>642</x:v>
      </x:c>
      <x:c r="G62" s="15" t="s">
        <x:v>643</x:v>
      </x:c>
    </x:row>
    <x:row r="63" ht="14.25" customHeight="1">
      <x:c r="A63" s="15" t="s">
        <x:v>644</x:v>
      </x:c>
      <x:c r="B63" s="15" t="s">
        <x:v>386</x:v>
      </x:c>
      <x:c r="C63" s="15" t="s">
        <x:v>640</x:v>
      </x:c>
      <x:c r="D63" s="15" t="s">
        <x:v>645</x:v>
      </x:c>
      <x:c r="E63" s="15" t="s">
        <x:v>364</x:v>
      </x:c>
      <x:c r="F63" s="15" t="s">
        <x:v>646</x:v>
      </x:c>
      <x:c r="G63" s="15" t="s">
        <x:v>647</x:v>
      </x:c>
    </x:row>
    <x:row r="64" ht="14.25" customHeight="1">
      <x:c r="A64" s="15" t="s">
        <x:v>648</x:v>
      </x:c>
      <x:c r="B64" s="15" t="s">
        <x:v>561</x:v>
      </x:c>
      <x:c r="C64" s="15" t="s">
        <x:v>640</x:v>
      </x:c>
      <x:c r="D64" s="15" t="s">
        <x:v>649</x:v>
      </x:c>
      <x:c r="E64" s="15" t="s">
        <x:v>445</x:v>
      </x:c>
      <x:c r="F64" s="15" t="s">
        <x:v>650</x:v>
      </x:c>
      <x:c r="G64" s="15" t="s">
        <x:v>651</x:v>
      </x:c>
    </x:row>
    <x:row r="65" ht="14.25" customHeight="1">
      <x:c r="A65" s="15" t="s">
        <x:v>652</x:v>
      </x:c>
      <x:c r="B65" s="15" t="s">
        <x:v>427</x:v>
      </x:c>
      <x:c r="C65" s="15" t="s">
        <x:v>640</x:v>
      </x:c>
      <x:c r="D65" s="15" t="s">
        <x:v>653</x:v>
      </x:c>
      <x:c r="E65" s="15" t="s">
        <x:v>429</x:v>
      </x:c>
      <x:c r="F65" s="15" t="s">
        <x:v>654</x:v>
      </x:c>
      <x:c r="G65" s="15" t="s">
        <x:v>655</x:v>
      </x:c>
    </x:row>
    <x:row r="66" ht="14.25" customHeight="1">
      <x:c r="A66" s="15" t="s">
        <x:v>656</x:v>
      </x:c>
      <x:c r="B66" s="15" t="s">
        <x:v>404</x:v>
      </x:c>
      <x:c r="C66" s="15" t="s">
        <x:v>640</x:v>
      </x:c>
      <x:c r="D66" s="15" t="s">
        <x:v>657</x:v>
      </x:c>
      <x:c r="E66" s="15" t="s">
        <x:v>364</x:v>
      </x:c>
      <x:c r="F66" s="15" t="s">
        <x:v>658</x:v>
      </x:c>
      <x:c r="G66" s="15" t="s">
        <x:v>659</x:v>
      </x:c>
    </x:row>
    <x:row r="67" ht="14.25" customHeight="1">
      <x:c r="A67" s="15" t="s">
        <x:v>660</x:v>
      </x:c>
      <x:c r="B67" s="15" t="s">
        <x:v>404</x:v>
      </x:c>
      <x:c r="C67" s="15" t="s">
        <x:v>661</x:v>
      </x:c>
      <x:c r="D67" s="15" t="s">
        <x:v>662</x:v>
      </x:c>
      <x:c r="E67" s="15" t="s">
        <x:v>364</x:v>
      </x:c>
      <x:c r="F67" s="15" t="s">
        <x:v>663</x:v>
      </x:c>
      <x:c r="G67" s="15" t="s">
        <x:v>664</x:v>
      </x:c>
    </x:row>
    <x:row r="68" ht="14.25" customHeight="1">
      <x:c r="A68" s="15" t="s">
        <x:v>665</x:v>
      </x:c>
      <x:c r="B68" s="15" t="s">
        <x:v>602</x:v>
      </x:c>
      <x:c r="C68" s="15" t="s">
        <x:v>661</x:v>
      </x:c>
      <x:c r="D68" s="15" t="s">
        <x:v>666</x:v>
      </x:c>
      <x:c r="E68" s="15" t="s">
        <x:v>445</x:v>
      </x:c>
      <x:c r="F68" s="15" t="s">
        <x:v>667</x:v>
      </x:c>
      <x:c r="G68" s="15" t="s">
        <x:v>668</x:v>
      </x:c>
    </x:row>
    <x:row r="69" ht="14.25" customHeight="1">
      <x:c r="A69" s="15" t="s">
        <x:v>669</x:v>
      </x:c>
      <x:c r="B69" s="15" t="s">
        <x:v>611</x:v>
      </x:c>
      <x:c r="C69" s="15" t="s">
        <x:v>661</x:v>
      </x:c>
      <x:c r="D69" s="15" t="s">
        <x:v>670</x:v>
      </x:c>
      <x:c r="E69" s="15" t="s">
        <x:v>429</x:v>
      </x:c>
      <x:c r="F69" s="15" t="s">
        <x:v>671</x:v>
      </x:c>
      <x:c r="G69" s="15" t="s">
        <x:v>672</x:v>
      </x:c>
    </x:row>
    <x:row r="70" ht="14.25" customHeight="1">
      <x:c r="A70" s="15" t="s">
        <x:v>673</x:v>
      </x:c>
      <x:c r="B70" s="15" t="s">
        <x:v>524</x:v>
      </x:c>
      <x:c r="C70" s="15" t="s">
        <x:v>661</x:v>
      </x:c>
      <x:c r="D70" s="15" t="s">
        <x:v>674</x:v>
      </x:c>
      <x:c r="E70" s="15" t="s">
        <x:v>445</x:v>
      </x:c>
      <x:c r="F70" s="15" t="s">
        <x:v>675</x:v>
      </x:c>
      <x:c r="G70" s="15" t="s">
        <x:v>676</x:v>
      </x:c>
    </x:row>
    <x:row r="71" ht="14.25" customHeight="1">
      <x:c r="A71" s="15" t="s">
        <x:v>677</x:v>
      </x:c>
      <x:c r="B71" s="15" t="s">
        <x:v>454</x:v>
      </x:c>
      <x:c r="C71" s="15" t="s">
        <x:v>661</x:v>
      </x:c>
      <x:c r="D71" s="15" t="s">
        <x:v>678</x:v>
      </x:c>
      <x:c r="E71" s="15" t="s">
        <x:v>456</x:v>
      </x:c>
      <x:c r="F71" s="15" t="s">
        <x:v>679</x:v>
      </x:c>
      <x:c r="G71" s="15" t="s">
        <x:v>680</x:v>
      </x:c>
    </x:row>
    <x:row r="72" ht="14.25" customHeight="1">
      <x:c r="A72" s="15" t="s">
        <x:v>398</x:v>
      </x:c>
      <x:c r="B72" s="15" t="s">
        <x:v>399</x:v>
      </x:c>
      <x:c r="C72" s="15" t="s">
        <x:v>13</x:v>
      </x:c>
      <x:c r="D72" s="15" t="s">
        <x:v>681</x:v>
      </x:c>
      <x:c r="E72" s="15" t="s">
        <x:v>364</x:v>
      </x:c>
      <x:c r="F72" s="15" t="s">
        <x:v>682</x:v>
      </x:c>
      <x:c r="G72" s="15" t="s">
        <x:v>683</x:v>
      </x:c>
    </x:row>
    <x:row r="73" ht="14.25" customHeight="1">
      <x:c r="A73" s="15" t="s">
        <x:v>684</x:v>
      </x:c>
      <x:c r="B73" s="15" t="s">
        <x:v>494</x:v>
      </x:c>
      <x:c r="C73" s="15" t="s">
        <x:v>13</x:v>
      </x:c>
      <x:c r="D73" s="15" t="s">
        <x:v>685</x:v>
      </x:c>
      <x:c r="E73" s="15" t="s">
        <x:v>445</x:v>
      </x:c>
      <x:c r="F73" s="15" t="s">
        <x:v>686</x:v>
      </x:c>
      <x:c r="G73" s="15" t="s">
        <x:v>687</x:v>
      </x:c>
    </x:row>
    <x:row r="74" ht="14.25" customHeight="1">
      <x:c r="A74" s="15" t="s">
        <x:v>484</x:v>
      </x:c>
      <x:c r="B74" s="15" t="s">
        <x:v>414</x:v>
      </x:c>
      <x:c r="C74" s="15" t="s">
        <x:v>13</x:v>
      </x:c>
      <x:c r="D74" s="15" t="s">
        <x:v>688</x:v>
      </x:c>
      <x:c r="E74" s="15" t="s">
        <x:v>364</x:v>
      </x:c>
      <x:c r="F74" s="15" t="s">
        <x:v>689</x:v>
      </x:c>
      <x:c r="G74" s="15" t="s">
        <x:v>690</x:v>
      </x:c>
    </x:row>
    <x:row r="75" ht="14.25" customHeight="1">
      <x:c r="A75" s="15" t="s">
        <x:v>691</x:v>
      </x:c>
      <x:c r="B75" s="15" t="s">
        <x:v>561</x:v>
      </x:c>
      <x:c r="C75" s="15" t="s">
        <x:v>13</x:v>
      </x:c>
      <x:c r="D75" s="15" t="s">
        <x:v>692</x:v>
      </x:c>
      <x:c r="E75" s="15" t="s">
        <x:v>445</x:v>
      </x:c>
      <x:c r="F75" s="15" t="s">
        <x:v>693</x:v>
      </x:c>
      <x:c r="G75" s="15" t="s">
        <x:v>694</x:v>
      </x:c>
    </x:row>
    <x:row r="76" ht="14.25" customHeight="1">
      <x:c r="A76" s="15" t="s">
        <x:v>695</x:v>
      </x:c>
      <x:c r="B76" s="15" t="s">
        <x:v>696</x:v>
      </x:c>
      <x:c r="C76" s="15" t="s">
        <x:v>13</x:v>
      </x:c>
      <x:c r="D76" s="15" t="s">
        <x:v>697</x:v>
      </x:c>
      <x:c r="E76" s="15" t="s">
        <x:v>429</x:v>
      </x:c>
      <x:c r="F76" s="15" t="s">
        <x:v>698</x:v>
      </x:c>
      <x:c r="G76" s="15" t="s">
        <x:v>699</x:v>
      </x:c>
    </x:row>
    <x:row r="77" ht="14.25" customHeight="1">
      <x:c r="A77" s="15" t="s">
        <x:v>700</x:v>
      </x:c>
      <x:c r="B77" s="15" t="s">
        <x:v>561</x:v>
      </x:c>
      <x:c r="C77" s="15" t="s">
        <x:v>701</x:v>
      </x:c>
      <x:c r="D77" s="15" t="s">
        <x:v>702</x:v>
      </x:c>
      <x:c r="E77" s="15" t="s">
        <x:v>445</x:v>
      </x:c>
      <x:c r="F77" s="15" t="s">
        <x:v>703</x:v>
      </x:c>
      <x:c r="G77" s="15" t="s">
        <x:v>704</x:v>
      </x:c>
    </x:row>
    <x:row r="78" ht="14.25" customHeight="1">
      <x:c r="A78" s="15" t="s">
        <x:v>705</x:v>
      </x:c>
      <x:c r="B78" s="15" t="s">
        <x:v>386</x:v>
      </x:c>
      <x:c r="C78" s="15" t="s">
        <x:v>701</x:v>
      </x:c>
      <x:c r="D78" s="15" t="s">
        <x:v>706</x:v>
      </x:c>
      <x:c r="E78" s="15" t="s">
        <x:v>364</x:v>
      </x:c>
      <x:c r="F78" s="15" t="s">
        <x:v>707</x:v>
      </x:c>
      <x:c r="G78" s="15" t="s">
        <x:v>708</x:v>
      </x:c>
    </x:row>
    <x:row r="79" ht="14.25" customHeight="1">
      <x:c r="A79" s="15" t="s">
        <x:v>709</x:v>
      </x:c>
      <x:c r="B79" s="15" t="s">
        <x:v>710</x:v>
      </x:c>
      <x:c r="C79" s="15" t="s">
        <x:v>701</x:v>
      </x:c>
      <x:c r="D79" s="15" t="s">
        <x:v>711</x:v>
      </x:c>
      <x:c r="E79" s="15" t="s">
        <x:v>445</x:v>
      </x:c>
      <x:c r="F79" s="15" t="s">
        <x:v>712</x:v>
      </x:c>
      <x:c r="G79" s="15" t="s">
        <x:v>713</x:v>
      </x:c>
    </x:row>
    <x:row r="80" ht="14.25" customHeight="1">
      <x:c r="A80" s="15" t="s">
        <x:v>714</x:v>
      </x:c>
      <x:c r="B80" s="15" t="s">
        <x:v>404</x:v>
      </x:c>
      <x:c r="C80" s="15" t="s">
        <x:v>701</x:v>
      </x:c>
      <x:c r="D80" s="15" t="s">
        <x:v>715</x:v>
      </x:c>
      <x:c r="E80" s="15" t="s">
        <x:v>364</x:v>
      </x:c>
      <x:c r="F80" s="15" t="s">
        <x:v>716</x:v>
      </x:c>
      <x:c r="G80" s="15" t="s">
        <x:v>717</x:v>
      </x:c>
    </x:row>
    <x:row r="81" ht="14.25" customHeight="1">
      <x:c r="A81" s="15" t="s">
        <x:v>718</x:v>
      </x:c>
      <x:c r="B81" s="15" t="s">
        <x:v>719</x:v>
      </x:c>
      <x:c r="C81" s="15" t="s">
        <x:v>701</x:v>
      </x:c>
      <x:c r="D81" s="15" t="s">
        <x:v>720</x:v>
      </x:c>
      <x:c r="E81" s="15" t="s">
        <x:v>568</x:v>
      </x:c>
      <x:c r="F81" s="15" t="s">
        <x:v>721</x:v>
      </x:c>
      <x:c r="G81" s="15" t="s">
        <x:v>722</x:v>
      </x:c>
    </x:row>
    <x:row r="82" ht="14.25" customHeight="1">
      <x:c r="A82" s="15" t="s">
        <x:v>723</x:v>
      </x:c>
      <x:c r="B82" s="15" t="s">
        <x:v>724</x:v>
      </x:c>
      <x:c r="C82" s="15" t="s">
        <x:v>725</x:v>
      </x:c>
      <x:c r="D82" s="15" t="s">
        <x:v>726</x:v>
      </x:c>
      <x:c r="E82" s="15" t="s">
        <x:v>439</x:v>
      </x:c>
      <x:c r="F82" s="15" t="s">
        <x:v>727</x:v>
      </x:c>
      <x:c r="G82" s="15" t="s">
        <x:v>728</x:v>
      </x:c>
    </x:row>
    <x:row r="83" ht="14.25" customHeight="1">
      <x:c r="A83" s="15" t="s">
        <x:v>729</x:v>
      </x:c>
      <x:c r="B83" s="15" t="s">
        <x:v>449</x:v>
      </x:c>
      <x:c r="C83" s="15" t="s">
        <x:v>725</x:v>
      </x:c>
      <x:c r="D83" s="15" t="s">
        <x:v>730</x:v>
      </x:c>
      <x:c r="E83" s="15" t="s">
        <x:v>445</x:v>
      </x:c>
      <x:c r="F83" s="15" t="s">
        <x:v>731</x:v>
      </x:c>
      <x:c r="G83" s="15" t="s">
        <x:v>732</x:v>
      </x:c>
    </x:row>
    <x:row r="84" ht="14.25" customHeight="1">
      <x:c r="A84" s="15" t="s">
        <x:v>733</x:v>
      </x:c>
      <x:c r="B84" s="15" t="s">
        <x:v>524</x:v>
      </x:c>
      <x:c r="C84" s="15" t="s">
        <x:v>725</x:v>
      </x:c>
      <x:c r="D84" s="15" t="s">
        <x:v>674</x:v>
      </x:c>
      <x:c r="E84" s="15" t="s">
        <x:v>445</x:v>
      </x:c>
      <x:c r="F84" s="15" t="s">
        <x:v>734</x:v>
      </x:c>
      <x:c r="G84" s="15" t="s">
        <x:v>735</x:v>
      </x:c>
    </x:row>
    <x:row r="85" ht="14.25" customHeight="1">
      <x:c r="A85" s="15" t="s">
        <x:v>736</x:v>
      </x:c>
      <x:c r="B85" s="15" t="s">
        <x:v>386</x:v>
      </x:c>
      <x:c r="C85" s="15" t="s">
        <x:v>725</x:v>
      </x:c>
      <x:c r="D85" s="15" t="s">
        <x:v>737</x:v>
      </x:c>
      <x:c r="E85" s="15" t="s">
        <x:v>364</x:v>
      </x:c>
      <x:c r="F85" s="15" t="s">
        <x:v>738</x:v>
      </x:c>
      <x:c r="G85" s="15" t="s">
        <x:v>739</x:v>
      </x:c>
    </x:row>
    <x:row r="86" ht="14.25" customHeight="1">
      <x:c r="A86" s="15" t="s">
        <x:v>740</x:v>
      </x:c>
      <x:c r="B86" s="15" t="s">
        <x:v>99</x:v>
      </x:c>
      <x:c r="C86" s="15" t="s">
        <x:v>725</x:v>
      </x:c>
      <x:c r="D86" s="15" t="s">
        <x:v>741</x:v>
      </x:c>
      <x:c r="E86" s="15" t="s">
        <x:v>481</x:v>
      </x:c>
      <x:c r="F86" s="15" t="s">
        <x:v>742</x:v>
      </x:c>
      <x:c r="G86" s="15" t="s">
        <x:v>743</x:v>
      </x:c>
    </x:row>
    <x:row r="87" ht="14.25" customHeight="1">
      <x:c r="A87" s="15" t="s">
        <x:v>744</x:v>
      </x:c>
      <x:c r="B87" s="15" t="s">
        <x:v>745</x:v>
      </x:c>
      <x:c r="C87" s="15" t="s">
        <x:v>746</x:v>
      </x:c>
      <x:c r="D87" s="15" t="s">
        <x:v>747</x:v>
      </x:c>
      <x:c r="E87" s="15" t="s">
        <x:v>481</x:v>
      </x:c>
      <x:c r="F87" s="15" t="s">
        <x:v>748</x:v>
      </x:c>
      <x:c r="G87" s="15" t="s">
        <x:v>749</x:v>
      </x:c>
    </x:row>
    <x:row r="88" ht="14.25" customHeight="1">
      <x:c r="A88" s="15" t="s">
        <x:v>360</x:v>
      </x:c>
      <x:c r="B88" s="15" t="s">
        <x:v>361</x:v>
      </x:c>
      <x:c r="C88" s="15" t="s">
        <x:v>746</x:v>
      </x:c>
      <x:c r="D88" s="15" t="s">
        <x:v>750</x:v>
      </x:c>
      <x:c r="E88" s="15" t="s">
        <x:v>364</x:v>
      </x:c>
      <x:c r="F88" s="15" t="s">
        <x:v>751</x:v>
      </x:c>
      <x:c r="G88" s="15" t="s">
        <x:v>752</x:v>
      </x:c>
    </x:row>
    <x:row r="89" ht="14.25" customHeight="1">
      <x:c r="A89" s="15" t="s">
        <x:v>459</x:v>
      </x:c>
      <x:c r="B89" s="15" t="s">
        <x:v>460</x:v>
      </x:c>
      <x:c r="C89" s="15" t="s">
        <x:v>746</x:v>
      </x:c>
      <x:c r="D89" s="15" t="s">
        <x:v>753</x:v>
      </x:c>
      <x:c r="E89" s="15" t="s">
        <x:v>463</x:v>
      </x:c>
      <x:c r="F89" s="15" t="s">
        <x:v>754</x:v>
      </x:c>
      <x:c r="G89" s="15" t="s">
        <x:v>755</x:v>
      </x:c>
    </x:row>
    <x:row r="90" ht="14.25" customHeight="1">
      <x:c r="A90" s="15" t="s">
        <x:v>756</x:v>
      </x:c>
      <x:c r="B90" s="15" t="s">
        <x:v>409</x:v>
      </x:c>
      <x:c r="C90" s="15" t="s">
        <x:v>746</x:v>
      </x:c>
      <x:c r="D90" s="15" t="s">
        <x:v>757</x:v>
      </x:c>
      <x:c r="E90" s="15" t="s">
        <x:v>539</x:v>
      </x:c>
      <x:c r="F90" s="15" t="s">
        <x:v>758</x:v>
      </x:c>
      <x:c r="G90" s="15" t="s">
        <x:v>759</x:v>
      </x:c>
    </x:row>
    <x:row r="91" ht="14.25" customHeight="1">
      <x:c r="A91" s="15" t="s">
        <x:v>760</x:v>
      </x:c>
      <x:c r="B91" s="15" t="s">
        <x:v>761</x:v>
      </x:c>
      <x:c r="C91" s="15" t="s">
        <x:v>746</x:v>
      </x:c>
      <x:c r="D91" s="15" t="s">
        <x:v>762</x:v>
      </x:c>
      <x:c r="E91" s="15" t="s">
        <x:v>481</x:v>
      </x:c>
      <x:c r="F91" s="15" t="s">
        <x:v>763</x:v>
      </x:c>
      <x:c r="G91" s="15" t="s">
        <x:v>764</x:v>
      </x:c>
    </x:row>
    <x:row r="92" ht="14.25" customHeight="1">
      <x:c r="A92" s="15" t="s">
        <x:v>765</x:v>
      </x:c>
      <x:c r="B92" s="15" t="s">
        <x:v>386</x:v>
      </x:c>
      <x:c r="C92" s="15" t="s">
        <x:v>766</x:v>
      </x:c>
      <x:c r="D92" s="15" t="s">
        <x:v>767</x:v>
      </x:c>
      <x:c r="E92" s="15" t="s">
        <x:v>364</x:v>
      </x:c>
      <x:c r="F92" s="15" t="s">
        <x:v>768</x:v>
      </x:c>
      <x:c r="G92" s="15" t="s">
        <x:v>769</x:v>
      </x:c>
    </x:row>
    <x:row r="93" ht="14.25" customHeight="1">
      <x:c r="A93" s="15" t="s">
        <x:v>770</x:v>
      </x:c>
      <x:c r="B93" s="15" t="s">
        <x:v>386</x:v>
      </x:c>
      <x:c r="C93" s="15" t="s">
        <x:v>766</x:v>
      </x:c>
      <x:c r="D93" s="15" t="s">
        <x:v>771</x:v>
      </x:c>
      <x:c r="E93" s="15" t="s">
        <x:v>364</x:v>
      </x:c>
      <x:c r="F93" s="15" t="s">
        <x:v>772</x:v>
      </x:c>
      <x:c r="G93" s="15" t="s">
        <x:v>773</x:v>
      </x:c>
    </x:row>
    <x:row r="94" ht="14.25" customHeight="1">
      <x:c r="A94" s="15" t="s">
        <x:v>774</x:v>
      </x:c>
      <x:c r="B94" s="15" t="s">
        <x:v>99</x:v>
      </x:c>
      <x:c r="C94" s="15" t="s">
        <x:v>766</x:v>
      </x:c>
      <x:c r="D94" s="15" t="s">
        <x:v>775</x:v>
      </x:c>
      <x:c r="E94" s="15" t="s">
        <x:v>481</x:v>
      </x:c>
      <x:c r="F94" s="15" t="s">
        <x:v>776</x:v>
      </x:c>
      <x:c r="G94" s="15" t="s">
        <x:v>777</x:v>
      </x:c>
    </x:row>
    <x:row r="95" ht="14.25" customHeight="1">
      <x:c r="A95" s="15" t="s">
        <x:v>778</x:v>
      </x:c>
      <x:c r="B95" s="15" t="s">
        <x:v>524</x:v>
      </x:c>
      <x:c r="C95" s="15" t="s">
        <x:v>766</x:v>
      </x:c>
      <x:c r="D95" s="15" t="s">
        <x:v>674</x:v>
      </x:c>
      <x:c r="E95" s="15" t="s">
        <x:v>445</x:v>
      </x:c>
      <x:c r="F95" s="15" t="s">
        <x:v>779</x:v>
      </x:c>
      <x:c r="G95" s="15" t="s">
        <x:v>780</x:v>
      </x:c>
    </x:row>
    <x:row r="96" ht="14.25" customHeight="1">
      <x:c r="A96" s="15" t="s">
        <x:v>781</x:v>
      </x:c>
      <x:c r="B96" s="15" t="s">
        <x:v>454</x:v>
      </x:c>
      <x:c r="C96" s="15" t="s">
        <x:v>766</x:v>
      </x:c>
      <x:c r="D96" s="15" t="s">
        <x:v>782</x:v>
      </x:c>
      <x:c r="E96" s="15" t="s">
        <x:v>456</x:v>
      </x:c>
      <x:c r="F96" s="15" t="s">
        <x:v>783</x:v>
      </x:c>
      <x:c r="G96" s="15" t="s">
        <x:v>784</x:v>
      </x:c>
    </x:row>
    <x:row r="97" ht="14.25" customHeight="1">
      <x:c r="A97" s="15" t="s">
        <x:v>785</x:v>
      </x:c>
      <x:c r="B97" s="15" t="s">
        <x:v>786</x:v>
      </x:c>
      <x:c r="C97" s="15" t="s">
        <x:v>787</x:v>
      </x:c>
      <x:c r="D97" s="15" t="s">
        <x:v>788</x:v>
      </x:c>
      <x:c r="E97" s="15" t="s">
        <x:v>364</x:v>
      </x:c>
      <x:c r="F97" s="15" t="s">
        <x:v>789</x:v>
      </x:c>
      <x:c r="G97" s="15" t="s">
        <x:v>790</x:v>
      </x:c>
    </x:row>
    <x:row r="98" ht="14.25" customHeight="1">
      <x:c r="A98" s="15" t="s">
        <x:v>756</x:v>
      </x:c>
      <x:c r="B98" s="15" t="s">
        <x:v>409</x:v>
      </x:c>
      <x:c r="C98" s="15" t="s">
        <x:v>787</x:v>
      </x:c>
      <x:c r="D98" s="15" t="s">
        <x:v>757</x:v>
      </x:c>
      <x:c r="E98" s="15" t="s">
        <x:v>539</x:v>
      </x:c>
      <x:c r="F98" s="15" t="s">
        <x:v>791</x:v>
      </x:c>
      <x:c r="G98" s="15" t="s">
        <x:v>792</x:v>
      </x:c>
    </x:row>
    <x:row r="99" ht="14.25" customHeight="1">
      <x:c r="A99" s="15" t="s">
        <x:v>793</x:v>
      </x:c>
      <x:c r="B99" s="15" t="s">
        <x:v>399</x:v>
      </x:c>
      <x:c r="C99" s="15" t="s">
        <x:v>787</x:v>
      </x:c>
      <x:c r="D99" s="15" t="s">
        <x:v>794</x:v>
      </x:c>
      <x:c r="E99" s="15" t="s">
        <x:v>364</x:v>
      </x:c>
      <x:c r="F99" s="15" t="s">
        <x:v>795</x:v>
      </x:c>
      <x:c r="G99" s="15" t="s">
        <x:v>796</x:v>
      </x:c>
    </x:row>
    <x:row r="100" ht="14.25" customHeight="1">
      <x:c r="A100" s="15" t="s">
        <x:v>797</x:v>
      </x:c>
      <x:c r="B100" s="15" t="s">
        <x:v>494</x:v>
      </x:c>
      <x:c r="C100" s="15" t="s">
        <x:v>787</x:v>
      </x:c>
      <x:c r="D100" s="15" t="s">
        <x:v>798</x:v>
      </x:c>
      <x:c r="E100" s="15" t="s">
        <x:v>445</x:v>
      </x:c>
      <x:c r="F100" s="15" t="s">
        <x:v>799</x:v>
      </x:c>
      <x:c r="G100" s="15" t="s">
        <x:v>800</x:v>
      </x:c>
    </x:row>
    <x:row r="101" ht="14.25" customHeight="1">
      <x:c r="A101" s="15" t="s">
        <x:v>632</x:v>
      </x:c>
      <x:c r="B101" s="15" t="s">
        <x:v>99</x:v>
      </x:c>
      <x:c r="C101" s="15" t="s">
        <x:v>787</x:v>
      </x:c>
      <x:c r="D101" s="15" t="s">
        <x:v>801</x:v>
      </x:c>
      <x:c r="E101" s="15" t="s">
        <x:v>481</x:v>
      </x:c>
      <x:c r="F101" s="15" t="s">
        <x:v>802</x:v>
      </x:c>
      <x:c r="G101" s="15" t="s">
        <x:v>803</x:v>
      </x:c>
    </x:row>
    <x:row r="102" ht="14.25" customHeight="1">
      <x:c r="A102" s="15" t="s">
        <x:v>804</x:v>
      </x:c>
      <x:c r="B102" s="15" t="s">
        <x:v>561</x:v>
      </x:c>
      <x:c r="C102" s="15" t="s">
        <x:v>805</x:v>
      </x:c>
      <x:c r="D102" s="15" t="s">
        <x:v>806</x:v>
      </x:c>
      <x:c r="E102" s="15" t="s">
        <x:v>445</x:v>
      </x:c>
      <x:c r="F102" s="15" t="s">
        <x:v>807</x:v>
      </x:c>
      <x:c r="G102" s="15" t="s">
        <x:v>808</x:v>
      </x:c>
    </x:row>
    <x:row r="103" ht="14.25" customHeight="1">
      <x:c r="A103" s="15" t="s">
        <x:v>809</x:v>
      </x:c>
      <x:c r="B103" s="15" t="s">
        <x:v>810</x:v>
      </x:c>
      <x:c r="C103" s="15" t="s">
        <x:v>805</x:v>
      </x:c>
      <x:c r="D103" s="15" t="s">
        <x:v>811</x:v>
      </x:c>
      <x:c r="E103" s="15" t="s">
        <x:v>439</x:v>
      </x:c>
      <x:c r="F103" s="15" t="s">
        <x:v>812</x:v>
      </x:c>
      <x:c r="G103" s="15" t="s">
        <x:v>813</x:v>
      </x:c>
    </x:row>
    <x:row r="104" ht="14.25" customHeight="1">
      <x:c r="A104" s="15" t="s">
        <x:v>814</x:v>
      </x:c>
      <x:c r="B104" s="15" t="s">
        <x:v>719</x:v>
      </x:c>
      <x:c r="C104" s="15" t="s">
        <x:v>805</x:v>
      </x:c>
      <x:c r="D104" s="15" t="s">
        <x:v>815</x:v>
      </x:c>
      <x:c r="E104" s="15" t="s">
        <x:v>568</x:v>
      </x:c>
      <x:c r="F104" s="15" t="s">
        <x:v>816</x:v>
      </x:c>
      <x:c r="G104" s="15" t="s">
        <x:v>817</x:v>
      </x:c>
    </x:row>
    <x:row r="105" ht="14.25" customHeight="1">
      <x:c r="A105" s="15" t="s">
        <x:v>818</x:v>
      </x:c>
      <x:c r="B105" s="15" t="s">
        <x:v>427</x:v>
      </x:c>
      <x:c r="C105" s="15" t="s">
        <x:v>805</x:v>
      </x:c>
      <x:c r="D105" s="15" t="s">
        <x:v>819</x:v>
      </x:c>
      <x:c r="E105" s="15" t="s">
        <x:v>429</x:v>
      </x:c>
      <x:c r="F105" s="15" t="s">
        <x:v>820</x:v>
      </x:c>
      <x:c r="G105" s="15" t="s">
        <x:v>821</x:v>
      </x:c>
    </x:row>
    <x:row r="106" ht="14.25" customHeight="1">
      <x:c r="A106" s="15" t="s">
        <x:v>822</x:v>
      </x:c>
      <x:c r="B106" s="15" t="s">
        <x:v>823</x:v>
      </x:c>
      <x:c r="C106" s="15" t="s">
        <x:v>805</x:v>
      </x:c>
      <x:c r="D106" s="15" t="s">
        <x:v>824</x:v>
      </x:c>
      <x:c r="E106" s="15" t="s">
        <x:v>445</x:v>
      </x:c>
      <x:c r="F106" s="15" t="s">
        <x:v>825</x:v>
      </x:c>
      <x:c r="G106" s="15" t="s">
        <x:v>826</x:v>
      </x:c>
    </x:row>
    <x:row r="107" ht="14.25" customHeight="1"/>
    <x:row r="108" ht="14.25" customHeight="1"/>
    <x:row r="109" ht="14.25" customHeight="1"/>
    <x:row r="110" ht="14.25" customHeight="1"/>
    <x:row r="111" ht="14.25" customHeight="1"/>
    <x:row r="112" ht="14.25" customHeight="1"/>
    <x:row r="113" ht="14.25" customHeight="1"/>
    <x:row r="114" ht="14.25" customHeight="1"/>
    <x:row r="115" ht="14.25" customHeight="1"/>
    <x:row r="116" ht="14.25" customHeight="1"/>
    <x:row r="117" ht="14.25" customHeight="1"/>
    <x:row r="118" ht="14.25" customHeight="1"/>
    <x:row r="119" ht="14.25" customHeight="1"/>
    <x:row r="120" ht="14.25" customHeight="1"/>
    <x:row r="121" ht="14.25" customHeight="1"/>
    <x:row r="122" ht="14.25" customHeight="1"/>
    <x:row r="123" ht="14.25" customHeight="1"/>
    <x:row r="124" ht="14.25" customHeight="1"/>
    <x:row r="125" ht="14.25" customHeight="1"/>
    <x:row r="126" ht="14.25" customHeight="1"/>
    <x:row r="127" ht="14.25" customHeight="1"/>
    <x:row r="128" ht="14.25" customHeight="1"/>
    <x:row r="129" ht="14.25" customHeight="1"/>
    <x:row r="130" ht="14.25" customHeight="1"/>
    <x:row r="131" ht="14.25" customHeight="1"/>
    <x:row r="132" ht="14.25" customHeight="1"/>
    <x:row r="133" ht="14.25" customHeight="1"/>
    <x:row r="134" ht="14.25" customHeight="1"/>
    <x:row r="135" ht="14.25" customHeight="1"/>
    <x:row r="136" ht="14.25" customHeight="1"/>
    <x:row r="137" ht="14.25" customHeight="1"/>
    <x:row r="138" ht="14.25" customHeight="1"/>
    <x:row r="139" ht="14.25" customHeight="1"/>
    <x:row r="140" ht="14.25" customHeight="1"/>
    <x:row r="141" ht="14.25" customHeight="1"/>
    <x:row r="142" ht="14.25" customHeight="1"/>
    <x:row r="143" ht="14.25" customHeight="1"/>
    <x:row r="144" ht="14.25" customHeight="1"/>
    <x:row r="145" ht="14.25" customHeight="1"/>
    <x:row r="146" ht="14.25" customHeight="1"/>
    <x:row r="147" ht="14.25" customHeight="1"/>
    <x:row r="148" ht="14.25" customHeight="1"/>
    <x:row r="149" ht="14.25" customHeight="1"/>
    <x:row r="150" ht="14.25" customHeight="1"/>
    <x:row r="151" ht="14.25" customHeight="1"/>
    <x:row r="152" ht="14.25" customHeight="1"/>
    <x:row r="153" ht="14.25" customHeight="1"/>
    <x:row r="154" ht="14.25" customHeight="1"/>
    <x:row r="155" ht="14.25" customHeight="1"/>
    <x:row r="156" ht="14.25" customHeight="1"/>
    <x:row r="157" ht="14.25" customHeight="1"/>
    <x:row r="158" ht="14.25" customHeight="1"/>
    <x:row r="159" ht="14.25" customHeight="1"/>
    <x:row r="160" ht="14.25" customHeight="1"/>
    <x:row r="161" ht="14.25" customHeight="1"/>
    <x:row r="162" ht="14.25" customHeight="1"/>
    <x:row r="163" ht="14.25" customHeight="1"/>
    <x:row r="164" ht="14.25" customHeight="1"/>
    <x:row r="165" ht="14.25" customHeight="1"/>
    <x:row r="166" ht="14.25" customHeight="1"/>
    <x:row r="167" ht="14.25" customHeight="1"/>
    <x:row r="168" ht="14.25" customHeight="1"/>
    <x:row r="169" ht="14.25" customHeight="1"/>
    <x:row r="170" ht="14.25" customHeight="1"/>
    <x:row r="171" ht="14.25" customHeight="1"/>
    <x:row r="172" ht="14.25" customHeight="1"/>
    <x:row r="173" ht="14.25" customHeight="1"/>
    <x:row r="174" ht="14.25" customHeight="1"/>
    <x:row r="175" ht="14.25" customHeight="1"/>
    <x:row r="176" ht="14.25" customHeight="1"/>
    <x:row r="177" ht="14.25" customHeight="1"/>
    <x:row r="178" ht="14.25" customHeight="1"/>
    <x:row r="179" ht="14.25" customHeight="1"/>
    <x:row r="180" ht="14.25" customHeight="1"/>
    <x:row r="181" ht="14.25" customHeight="1"/>
    <x:row r="182" ht="14.25" customHeight="1"/>
    <x:row r="183" ht="14.25" customHeight="1"/>
    <x:row r="184" ht="14.25" customHeight="1"/>
    <x:row r="185" ht="14.25" customHeight="1"/>
    <x:row r="186" ht="14.25" customHeight="1"/>
    <x:row r="187" ht="14.25" customHeight="1"/>
    <x:row r="188" ht="14.25" customHeight="1"/>
    <x:row r="189" ht="14.25" customHeight="1"/>
    <x:row r="190" ht="14.25" customHeight="1"/>
    <x:row r="191" ht="14.25" customHeight="1"/>
    <x:row r="192" ht="14.25" customHeight="1"/>
    <x:row r="193" ht="14.25" customHeight="1"/>
    <x:row r="194" ht="14.25" customHeight="1"/>
    <x:row r="195" ht="14.25" customHeight="1"/>
    <x:row r="196" ht="14.25" customHeight="1"/>
    <x:row r="197" ht="14.25" customHeight="1"/>
    <x:row r="198" ht="14.25" customHeight="1"/>
    <x:row r="199" ht="14.25" customHeight="1"/>
    <x:row r="200" ht="14.25" customHeight="1"/>
    <x:row r="201" ht="14.25" customHeight="1"/>
    <x:row r="202" ht="14.25" customHeight="1"/>
    <x:row r="203" ht="14.25" customHeight="1"/>
    <x:row r="204" ht="14.25" customHeight="1"/>
    <x:row r="205" ht="14.25" customHeight="1"/>
    <x:row r="206" ht="14.25" customHeight="1"/>
    <x:row r="207" ht="14.25" customHeight="1"/>
    <x:row r="208" ht="14.25" customHeight="1"/>
    <x:row r="209" ht="14.25" customHeight="1"/>
    <x:row r="210" ht="14.25" customHeight="1"/>
    <x:row r="211" ht="14.25" customHeight="1"/>
    <x:row r="212" ht="14.25" customHeight="1"/>
    <x:row r="213" ht="14.25" customHeight="1"/>
    <x:row r="214" ht="14.25" customHeight="1"/>
    <x:row r="215" ht="14.25" customHeight="1"/>
    <x:row r="216" ht="14.25" customHeight="1"/>
    <x:row r="217" ht="14.25" customHeight="1"/>
    <x:row r="218" ht="14.25" customHeight="1"/>
    <x:row r="219" ht="14.25" customHeight="1"/>
    <x:row r="220" ht="14.25" customHeight="1"/>
    <x:row r="221" ht="14.25" customHeight="1"/>
    <x:row r="222" ht="14.25" customHeight="1"/>
    <x:row r="223" ht="14.25" customHeight="1"/>
    <x:row r="224" ht="14.25" customHeight="1"/>
    <x:row r="225" ht="14.25" customHeight="1"/>
    <x:row r="226" ht="14.25" customHeight="1"/>
    <x:row r="227" ht="14.25" customHeight="1"/>
    <x:row r="228" ht="14.25" customHeight="1"/>
    <x:row r="229" ht="14.25" customHeight="1"/>
    <x:row r="230" ht="14.25" customHeight="1"/>
    <x:row r="231" ht="14.25" customHeight="1"/>
    <x:row r="232" ht="14.25" customHeight="1"/>
    <x:row r="233" ht="14.25" customHeight="1"/>
    <x:row r="234" ht="14.2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pageMargins left="0.7" right="0.7" top="0.75" bottom="0.75" header="0.3" footer="0.3"/>
</x:worksheet>
</file>

<file path=xl/worksheets/sheet9.xml><?xml version="1.0" encoding="utf-8"?>
<x:worksheet xmlns:x="http://schemas.openxmlformats.org/spreadsheetml/2006/main">
  <x:sheetFormatPr defaultColWidth="12.630000114440918" defaultRowHeight="15"/>
  <x:cols>
    <x:col min="1" max="1" width="6.25" customWidth="1"/>
    <x:col min="2" max="2" width="9" customWidth="1"/>
    <x:col min="3" max="3" width="3.880000114440918" customWidth="1"/>
    <x:col min="4" max="6" width="9" customWidth="1"/>
  </x:cols>
  <x:sheetData>
    <x:row r="1" ht="14.25" customHeight="1">
      <x:c r="A1" s="33" t="s">
        <x:v>38</x:v>
      </x:c>
      <x:c r="B1" s="33" t="s">
        <x:v>827</x:v>
      </x:c>
      <x:c r="C1" s="33" t="s">
        <x:v>51</x:v>
      </x:c>
    </x:row>
    <x:row r="2" ht="14.25" customHeight="1">
      <x:c r="A2" s="15" t="s">
        <x:v>828</x:v>
      </x:c>
      <x:c r="B2" s="15">
        <x:v>0.0</x:v>
      </x:c>
      <x:c r="C2" s="15" t="s">
        <x:v>829</x:v>
      </x:c>
    </x:row>
    <x:row r="3" ht="14.25" customHeight="1">
      <x:c r="A3" s="15" t="s">
        <x:v>39</x:v>
      </x:c>
      <x:c r="B3" s="15">
        <x:v>2.0</x:v>
      </x:c>
      <x:c r="C3" s="15" t="s">
        <x:v>830</x:v>
      </x:c>
    </x:row>
    <x:row r="4" ht="14.25" customHeight="1">
      <x:c r="A4" s="15" t="s">
        <x:v>831</x:v>
      </x:c>
      <x:c r="B4" s="15">
        <x:v>4.0</x:v>
      </x:c>
      <x:c r="C4" s="15" t="s">
        <x:v>832</x:v>
      </x:c>
    </x:row>
    <x:row r="5" ht="14.25" customHeight="1">
      <x:c r="A5" s="15" t="s">
        <x:v>833</x:v>
      </x:c>
      <x:c r="B5" s="15">
        <x:v>6.0</x:v>
      </x:c>
      <x:c r="C5" s="15" t="s">
        <x:v>834</x:v>
      </x:c>
    </x:row>
    <x:row r="6" ht="14.25" customHeight="1">
      <x:c r="A6" s="15" t="s">
        <x:v>835</x:v>
      </x:c>
      <x:c r="B6" s="15">
        <x:v>3.0</x:v>
      </x:c>
      <x:c r="C6" s="15" t="s">
        <x:v>836</x:v>
      </x:c>
    </x:row>
    <x:row r="7" ht="14.25" customHeight="1">
      <x:c r="A7" s="15" t="s">
        <x:v>85</x:v>
      </x:c>
      <x:c r="B7" s="15">
        <x:v>5.0</x:v>
      </x:c>
      <x:c r="C7" s="15" t="s">
        <x:v>837</x:v>
      </x:c>
    </x:row>
    <x:row r="8" ht="14.25" customHeight="1"/>
    <x:row r="9" ht="14.25" customHeight="1"/>
    <x:row r="10" ht="14.25" customHeight="1"/>
    <x:row r="11" ht="14.25" customHeight="1"/>
    <x:row r="12" ht="14.25" customHeight="1"/>
    <x:row r="13" ht="14.25" customHeight="1"/>
    <x:row r="14" ht="14.25" customHeight="1"/>
    <x:row r="15" ht="14.25" customHeight="1"/>
    <x:row r="16" ht="14.25" customHeight="1"/>
    <x:row r="17" ht="14.25" customHeight="1"/>
    <x:row r="18" ht="14.25" customHeight="1"/>
    <x:row r="19" ht="14.25" customHeight="1"/>
    <x:row r="20" ht="14.25" customHeight="1"/>
    <x:row r="21" ht="14.25" customHeight="1"/>
    <x:row r="22" ht="14.25" customHeight="1"/>
    <x:row r="23" ht="14.25" customHeight="1"/>
    <x:row r="24" ht="14.25" customHeight="1"/>
    <x:row r="25" ht="14.25" customHeight="1"/>
    <x:row r="26" ht="14.25" customHeight="1"/>
    <x:row r="27" ht="14.25" customHeight="1"/>
    <x:row r="28" ht="14.25" customHeight="1"/>
    <x:row r="29" ht="14.25" customHeight="1"/>
    <x:row r="30" ht="14.25" customHeight="1"/>
    <x:row r="31" ht="14.25" customHeight="1"/>
    <x:row r="32" ht="14.25" customHeight="1"/>
    <x:row r="33" ht="14.25" customHeight="1"/>
    <x:row r="34" ht="14.25" customHeight="1"/>
    <x:row r="35" ht="14.25" customHeight="1"/>
    <x:row r="36" ht="14.25" customHeight="1"/>
    <x:row r="37" ht="14.25" customHeight="1"/>
    <x:row r="38" ht="14.25" customHeight="1"/>
    <x:row r="39" ht="14.25" customHeight="1"/>
    <x:row r="40" ht="14.25" customHeight="1"/>
    <x:row r="41" ht="14.25" customHeight="1"/>
    <x:row r="42" ht="14.25" customHeight="1"/>
    <x:row r="43" ht="14.25" customHeight="1"/>
    <x:row r="44" ht="14.25" customHeight="1"/>
    <x:row r="45" ht="14.25" customHeight="1"/>
    <x:row r="46" ht="14.25" customHeight="1"/>
    <x:row r="47" ht="14.25" customHeight="1"/>
    <x:row r="48" ht="14.25" customHeight="1"/>
    <x:row r="49" ht="14.25" customHeight="1"/>
    <x:row r="50" ht="14.25" customHeight="1"/>
    <x:row r="51" ht="14.25" customHeight="1"/>
    <x:row r="52" ht="14.25" customHeight="1"/>
    <x:row r="53" ht="14.25" customHeight="1"/>
    <x:row r="54" ht="14.25" customHeight="1"/>
    <x:row r="55" ht="14.25" customHeight="1"/>
    <x:row r="56" ht="14.25" customHeight="1"/>
    <x:row r="57" ht="14.25" customHeight="1"/>
    <x:row r="58" ht="14.25" customHeight="1"/>
    <x:row r="59" ht="14.25" customHeight="1"/>
    <x:row r="60" ht="14.25" customHeight="1"/>
    <x:row r="61" ht="14.25" customHeight="1"/>
    <x:row r="62" ht="14.25" customHeight="1"/>
    <x:row r="63" ht="14.25" customHeight="1"/>
    <x:row r="64" ht="14.25" customHeight="1"/>
    <x:row r="65" ht="14.25" customHeight="1"/>
    <x:row r="66" ht="14.25" customHeight="1"/>
    <x:row r="67" ht="14.25" customHeight="1"/>
    <x:row r="68" ht="14.25" customHeight="1"/>
    <x:row r="69" ht="14.25" customHeight="1"/>
    <x:row r="70" ht="14.25" customHeight="1"/>
    <x:row r="71" ht="14.25" customHeight="1"/>
    <x:row r="72" ht="14.25" customHeight="1"/>
    <x:row r="73" ht="14.25" customHeight="1"/>
    <x:row r="74" ht="14.25" customHeight="1"/>
    <x:row r="75" ht="14.25" customHeight="1"/>
    <x:row r="76" ht="14.25" customHeight="1"/>
    <x:row r="77" ht="14.25" customHeight="1"/>
    <x:row r="78" ht="14.25" customHeight="1"/>
    <x:row r="79" ht="14.25" customHeight="1"/>
    <x:row r="80" ht="14.25" customHeight="1"/>
    <x:row r="81" ht="14.25" customHeight="1"/>
    <x:row r="82" ht="14.25" customHeight="1"/>
    <x:row r="83" ht="14.25" customHeight="1"/>
    <x:row r="84" ht="14.25" customHeight="1"/>
    <x:row r="85" ht="14.25" customHeight="1"/>
    <x:row r="86" ht="14.25" customHeight="1"/>
    <x:row r="87" ht="14.25" customHeight="1"/>
    <x:row r="88" ht="14.25" customHeight="1"/>
    <x:row r="89" ht="14.25" customHeight="1"/>
    <x:row r="90" ht="14.25" customHeight="1"/>
    <x:row r="91" ht="14.25" customHeight="1"/>
    <x:row r="92" ht="14.25" customHeight="1"/>
    <x:row r="93" ht="14.25" customHeight="1"/>
    <x:row r="94" ht="14.25" customHeight="1"/>
    <x:row r="95" ht="14.25" customHeight="1"/>
    <x:row r="96" ht="14.25" customHeight="1"/>
    <x:row r="97" ht="14.25" customHeight="1"/>
    <x:row r="98" ht="14.25" customHeight="1"/>
    <x:row r="99" ht="14.25" customHeight="1"/>
    <x:row r="100" ht="14.25" customHeight="1"/>
    <x:row r="101" ht="14.25" customHeight="1"/>
    <x:row r="102" ht="14.25" customHeight="1"/>
    <x:row r="103" ht="14.25" customHeight="1"/>
    <x:row r="104" ht="14.25" customHeight="1"/>
    <x:row r="105" ht="14.25" customHeight="1"/>
    <x:row r="106" ht="14.25" customHeight="1"/>
    <x:row r="107" ht="14.25" customHeight="1"/>
    <x:row r="108" ht="14.25" customHeight="1"/>
    <x:row r="109" ht="14.25" customHeight="1"/>
    <x:row r="110" ht="14.25" customHeight="1"/>
    <x:row r="111" ht="14.25" customHeight="1"/>
    <x:row r="112" ht="14.25" customHeight="1"/>
    <x:row r="113" ht="14.25" customHeight="1"/>
    <x:row r="114" ht="14.25" customHeight="1"/>
    <x:row r="115" ht="14.25" customHeight="1"/>
    <x:row r="116" ht="14.25" customHeight="1"/>
    <x:row r="117" ht="14.25" customHeight="1"/>
    <x:row r="118" ht="14.25" customHeight="1"/>
    <x:row r="119" ht="14.25" customHeight="1"/>
    <x:row r="120" ht="14.25" customHeight="1"/>
    <x:row r="121" ht="14.25" customHeight="1"/>
    <x:row r="122" ht="14.25" customHeight="1"/>
    <x:row r="123" ht="14.25" customHeight="1"/>
    <x:row r="124" ht="14.25" customHeight="1"/>
    <x:row r="125" ht="14.25" customHeight="1"/>
    <x:row r="126" ht="14.25" customHeight="1"/>
    <x:row r="127" ht="14.25" customHeight="1"/>
    <x:row r="128" ht="14.25" customHeight="1"/>
    <x:row r="129" ht="14.25" customHeight="1"/>
    <x:row r="130" ht="14.25" customHeight="1"/>
    <x:row r="131" ht="14.25" customHeight="1"/>
    <x:row r="132" ht="14.25" customHeight="1"/>
    <x:row r="133" ht="14.25" customHeight="1"/>
    <x:row r="134" ht="14.25" customHeight="1"/>
    <x:row r="135" ht="14.25" customHeight="1"/>
    <x:row r="136" ht="14.25" customHeight="1"/>
    <x:row r="137" ht="14.25" customHeight="1"/>
    <x:row r="138" ht="14.25" customHeight="1"/>
    <x:row r="139" ht="14.25" customHeight="1"/>
    <x:row r="140" ht="14.25" customHeight="1"/>
    <x:row r="141" ht="14.25" customHeight="1"/>
    <x:row r="142" ht="14.25" customHeight="1"/>
    <x:row r="143" ht="14.25" customHeight="1"/>
    <x:row r="144" ht="14.25" customHeight="1"/>
    <x:row r="145" ht="14.25" customHeight="1"/>
    <x:row r="146" ht="14.25" customHeight="1"/>
    <x:row r="147" ht="14.25" customHeight="1"/>
    <x:row r="148" ht="14.25" customHeight="1"/>
    <x:row r="149" ht="14.25" customHeight="1"/>
    <x:row r="150" ht="14.25" customHeight="1"/>
    <x:row r="151" ht="14.25" customHeight="1"/>
    <x:row r="152" ht="14.25" customHeight="1"/>
    <x:row r="153" ht="14.25" customHeight="1"/>
    <x:row r="154" ht="14.25" customHeight="1"/>
    <x:row r="155" ht="14.25" customHeight="1"/>
    <x:row r="156" ht="14.25" customHeight="1"/>
    <x:row r="157" ht="14.25" customHeight="1"/>
    <x:row r="158" ht="14.25" customHeight="1"/>
    <x:row r="159" ht="14.25" customHeight="1"/>
    <x:row r="160" ht="14.25" customHeight="1"/>
    <x:row r="161" ht="14.25" customHeight="1"/>
    <x:row r="162" ht="14.25" customHeight="1"/>
    <x:row r="163" ht="14.25" customHeight="1"/>
    <x:row r="164" ht="14.25" customHeight="1"/>
    <x:row r="165" ht="14.25" customHeight="1"/>
    <x:row r="166" ht="14.25" customHeight="1"/>
    <x:row r="167" ht="14.25" customHeight="1"/>
    <x:row r="168" ht="14.25" customHeight="1"/>
    <x:row r="169" ht="14.25" customHeight="1"/>
    <x:row r="170" ht="14.25" customHeight="1"/>
    <x:row r="171" ht="14.25" customHeight="1"/>
    <x:row r="172" ht="14.25" customHeight="1"/>
    <x:row r="173" ht="14.25" customHeight="1"/>
    <x:row r="174" ht="14.25" customHeight="1"/>
    <x:row r="175" ht="14.25" customHeight="1"/>
    <x:row r="176" ht="14.25" customHeight="1"/>
    <x:row r="177" ht="14.25" customHeight="1"/>
    <x:row r="178" ht="14.25" customHeight="1"/>
    <x:row r="179" ht="14.25" customHeight="1"/>
    <x:row r="180" ht="14.25" customHeight="1"/>
    <x:row r="181" ht="14.25" customHeight="1"/>
    <x:row r="182" ht="14.25" customHeight="1"/>
    <x:row r="183" ht="14.25" customHeight="1"/>
    <x:row r="184" ht="14.25" customHeight="1"/>
    <x:row r="185" ht="14.25" customHeight="1"/>
    <x:row r="186" ht="14.25" customHeight="1"/>
    <x:row r="187" ht="14.25" customHeight="1"/>
    <x:row r="188" ht="14.25" customHeight="1"/>
    <x:row r="189" ht="14.25" customHeight="1"/>
    <x:row r="190" ht="14.25" customHeight="1"/>
    <x:row r="191" ht="14.25" customHeight="1"/>
    <x:row r="192" ht="14.25" customHeight="1"/>
    <x:row r="193" ht="14.25" customHeight="1"/>
    <x:row r="194" ht="14.25" customHeight="1"/>
    <x:row r="195" ht="14.25" customHeight="1"/>
    <x:row r="196" ht="14.25" customHeight="1"/>
    <x:row r="197" ht="14.25" customHeight="1"/>
    <x:row r="198" ht="14.25" customHeight="1"/>
    <x:row r="199" ht="14.25" customHeight="1"/>
    <x:row r="200" ht="14.25" customHeight="1"/>
    <x:row r="201" ht="14.25" customHeight="1"/>
    <x:row r="202" ht="14.25" customHeight="1"/>
    <x:row r="203" ht="14.25" customHeight="1"/>
    <x:row r="204" ht="14.25" customHeight="1"/>
    <x:row r="205" ht="14.25" customHeight="1"/>
    <x:row r="206" ht="14.25" customHeight="1"/>
    <x:row r="207" ht="14.25" customHeight="1"/>
    <x:row r="208" ht="14.25" customHeight="1"/>
    <x:row r="209" ht="14.25" customHeight="1"/>
    <x:row r="210" ht="14.25" customHeight="1"/>
    <x:row r="211" ht="14.25" customHeight="1"/>
    <x:row r="212" ht="14.25" customHeight="1"/>
    <x:row r="213" ht="14.25" customHeight="1"/>
    <x:row r="214" ht="14.25" customHeight="1"/>
    <x:row r="215" ht="14.25" customHeight="1"/>
    <x:row r="216" ht="14.25" customHeight="1"/>
    <x:row r="217" ht="14.25" customHeight="1"/>
    <x:row r="218" ht="14.25" customHeight="1"/>
    <x:row r="219" ht="14.25" customHeight="1"/>
    <x:row r="220" ht="14.2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pageMargins left="0.7" right="0.7" top="0.75" bottom="0.75" header="0.3" footer="0.3"/>
</x:worksheet>
</file>

<file path=xl/worksheets/sheet10.xml><?xml version="1.0" encoding="utf-8"?>
<x:worksheet xmlns:x="http://schemas.openxmlformats.org/spreadsheetml/2006/main">
  <x:sheetFormatPr defaultColWidth="12.630000114440918" defaultRowHeight="15"/>
  <x:cols>
    <x:col min="1" max="1" width="22" customWidth="1"/>
    <x:col min="2" max="2" width="16" customWidth="1"/>
    <x:col min="3" max="3" width="10" customWidth="1"/>
    <x:col min="4" max="4" width="82.62999725341797" customWidth="1"/>
    <x:col min="5" max="5" width="68.12999725341797" customWidth="1"/>
    <x:col min="6" max="6" width="30.1299991607666" customWidth="1"/>
    <x:col min="7" max="7" width="43" customWidth="1"/>
  </x:cols>
  <x:sheetData>
    <x:row r="1" ht="14.25" customHeight="1">
      <x:c r="A1" s="33" t="s">
        <x:v>5</x:v>
      </x:c>
      <x:c r="B1" s="33" t="s">
        <x:v>58</x:v>
      </x:c>
      <x:c r="C1" s="33" t="s">
        <x:v>12</x:v>
      </x:c>
      <x:c r="D1" s="33" t="s">
        <x:v>358</x:v>
      </x:c>
      <x:c r="E1" s="33" t="s">
        <x:v>44</x:v>
      </x:c>
      <x:c r="F1" s="33" t="s">
        <x:v>59</x:v>
      </x:c>
      <x:c r="G1" s="33" t="s">
        <x:v>359</x:v>
      </x:c>
    </x:row>
    <x:row r="2" ht="14.25" customHeight="1">
      <x:c r="A2" s="15" t="s">
        <x:v>838</x:v>
      </x:c>
      <x:c r="B2" s="15" t="s">
        <x:v>839</x:v>
      </x:c>
      <x:c r="C2" s="15" t="s">
        <x:v>362</x:v>
      </x:c>
      <x:c r="D2" s="15" t="s">
        <x:v>840</x:v>
      </x:c>
      <x:c r="E2" s="15" t="s">
        <x:v>841</x:v>
      </x:c>
      <x:c r="F2" s="15" t="s">
        <x:v>842</x:v>
      </x:c>
      <x:c r="G2" s="15" t="s">
        <x:v>843</x:v>
      </x:c>
    </x:row>
    <x:row r="3" ht="14.25" customHeight="1">
      <x:c r="A3" s="15" t="s">
        <x:v>844</x:v>
      </x:c>
      <x:c r="B3" s="15" t="s">
        <x:v>839</x:v>
      </x:c>
      <x:c r="C3" s="15" t="s">
        <x:v>362</x:v>
      </x:c>
      <x:c r="D3" s="15" t="s">
        <x:v>845</x:v>
      </x:c>
      <x:c r="E3" s="15" t="s">
        <x:v>841</x:v>
      </x:c>
      <x:c r="F3" s="15" t="s">
        <x:v>846</x:v>
      </x:c>
      <x:c r="G3" s="15" t="s">
        <x:v>847</x:v>
      </x:c>
    </x:row>
    <x:row r="4" ht="14.25" customHeight="1">
      <x:c r="A4" s="15" t="s">
        <x:v>848</x:v>
      </x:c>
      <x:c r="B4" s="15" t="s">
        <x:v>839</x:v>
      </x:c>
      <x:c r="C4" s="15" t="s">
        <x:v>362</x:v>
      </x:c>
      <x:c r="D4" s="15" t="s">
        <x:v>849</x:v>
      </x:c>
      <x:c r="E4" s="15" t="s">
        <x:v>841</x:v>
      </x:c>
      <x:c r="F4" s="15" t="s">
        <x:v>850</x:v>
      </x:c>
      <x:c r="G4" s="15" t="s">
        <x:v>851</x:v>
      </x:c>
    </x:row>
    <x:row r="5" ht="14.25" customHeight="1">
      <x:c r="A5" s="15" t="s">
        <x:v>852</x:v>
      </x:c>
      <x:c r="B5" s="15" t="s">
        <x:v>839</x:v>
      </x:c>
      <x:c r="C5" s="15" t="s">
        <x:v>362</x:v>
      </x:c>
      <x:c r="D5" s="15" t="s">
        <x:v>853</x:v>
      </x:c>
      <x:c r="E5" s="15" t="s">
        <x:v>841</x:v>
      </x:c>
      <x:c r="F5" s="15" t="s">
        <x:v>854</x:v>
      </x:c>
      <x:c r="G5" s="15" t="s">
        <x:v>855</x:v>
      </x:c>
    </x:row>
    <x:row r="6" ht="14.25" customHeight="1">
      <x:c r="A6" s="15" t="s">
        <x:v>856</x:v>
      </x:c>
      <x:c r="B6" s="15" t="s">
        <x:v>839</x:v>
      </x:c>
      <x:c r="C6" s="15" t="s">
        <x:v>362</x:v>
      </x:c>
      <x:c r="D6" s="15" t="s">
        <x:v>857</x:v>
      </x:c>
      <x:c r="E6" s="15" t="s">
        <x:v>841</x:v>
      </x:c>
      <x:c r="F6" s="15" t="s">
        <x:v>858</x:v>
      </x:c>
      <x:c r="G6" s="15" t="s">
        <x:v>859</x:v>
      </x:c>
    </x:row>
    <x:row r="7" ht="14.25" customHeight="1">
      <x:c r="A7" s="15" t="s">
        <x:v>860</x:v>
      </x:c>
      <x:c r="B7" s="15" t="s">
        <x:v>839</x:v>
      </x:c>
      <x:c r="C7" s="15" t="s">
        <x:v>362</x:v>
      </x:c>
      <x:c r="D7" s="15" t="s">
        <x:v>861</x:v>
      </x:c>
      <x:c r="E7" s="15" t="s">
        <x:v>841</x:v>
      </x:c>
      <x:c r="F7" s="15" t="s">
        <x:v>862</x:v>
      </x:c>
      <x:c r="G7" s="15" t="s">
        <x:v>863</x:v>
      </x:c>
    </x:row>
    <x:row r="8" ht="14.25" customHeight="1">
      <x:c r="A8" s="15" t="s">
        <x:v>864</x:v>
      </x:c>
      <x:c r="B8" s="15" t="s">
        <x:v>865</x:v>
      </x:c>
      <x:c r="C8" s="15" t="s">
        <x:v>362</x:v>
      </x:c>
      <x:c r="D8" s="15" t="s">
        <x:v>866</x:v>
      </x:c>
      <x:c r="E8" s="15" t="s">
        <x:v>867</x:v>
      </x:c>
      <x:c r="F8" s="15" t="s">
        <x:v>868</x:v>
      </x:c>
      <x:c r="G8" s="15" t="s">
        <x:v>869</x:v>
      </x:c>
    </x:row>
    <x:row r="9" ht="14.25" customHeight="1">
      <x:c r="A9" s="15" t="s">
        <x:v>870</x:v>
      </x:c>
      <x:c r="B9" s="15" t="s">
        <x:v>865</x:v>
      </x:c>
      <x:c r="C9" s="15" t="s">
        <x:v>362</x:v>
      </x:c>
      <x:c r="D9" s="15" t="s">
        <x:v>871</x:v>
      </x:c>
      <x:c r="E9" s="15" t="s">
        <x:v>867</x:v>
      </x:c>
      <x:c r="F9" s="15" t="s">
        <x:v>872</x:v>
      </x:c>
      <x:c r="G9" s="15" t="s">
        <x:v>873</x:v>
      </x:c>
    </x:row>
    <x:row r="10" ht="14.25" customHeight="1">
      <x:c r="A10" s="15" t="s">
        <x:v>874</x:v>
      </x:c>
      <x:c r="B10" s="15" t="s">
        <x:v>865</x:v>
      </x:c>
      <x:c r="C10" s="15" t="s">
        <x:v>362</x:v>
      </x:c>
      <x:c r="D10" s="15" t="s">
        <x:v>875</x:v>
      </x:c>
      <x:c r="E10" s="15" t="s">
        <x:v>867</x:v>
      </x:c>
      <x:c r="F10" s="15" t="s">
        <x:v>876</x:v>
      </x:c>
      <x:c r="G10" s="15" t="s">
        <x:v>877</x:v>
      </x:c>
    </x:row>
    <x:row r="11" ht="14.25" customHeight="1">
      <x:c r="A11" s="15" t="s">
        <x:v>878</x:v>
      </x:c>
      <x:c r="B11" s="15" t="s">
        <x:v>879</x:v>
      </x:c>
      <x:c r="C11" s="15" t="s">
        <x:v>362</x:v>
      </x:c>
      <x:c r="D11" s="15" t="s">
        <x:v>880</x:v>
      </x:c>
      <x:c r="E11" s="15" t="s">
        <x:v>881</x:v>
      </x:c>
      <x:c r="F11" s="15" t="s">
        <x:v>882</x:v>
      </x:c>
      <x:c r="G11" s="15" t="s">
        <x:v>883</x:v>
      </x:c>
    </x:row>
    <x:row r="12" ht="14.25" customHeight="1">
      <x:c r="A12" s="15" t="s">
        <x:v>884</x:v>
      </x:c>
      <x:c r="B12" s="15" t="s">
        <x:v>879</x:v>
      </x:c>
      <x:c r="C12" s="15" t="s">
        <x:v>362</x:v>
      </x:c>
      <x:c r="D12" s="15" t="s">
        <x:v>885</x:v>
      </x:c>
      <x:c r="E12" s="15" t="s">
        <x:v>881</x:v>
      </x:c>
      <x:c r="F12" s="15" t="s">
        <x:v>886</x:v>
      </x:c>
      <x:c r="G12" s="15" t="s">
        <x:v>887</x:v>
      </x:c>
    </x:row>
    <x:row r="13" ht="14.25" customHeight="1">
      <x:c r="A13" s="15" t="s">
        <x:v>888</x:v>
      </x:c>
      <x:c r="B13" s="15" t="s">
        <x:v>879</x:v>
      </x:c>
      <x:c r="C13" s="15" t="s">
        <x:v>362</x:v>
      </x:c>
      <x:c r="D13" s="15" t="s">
        <x:v>889</x:v>
      </x:c>
      <x:c r="E13" s="15" t="s">
        <x:v>881</x:v>
      </x:c>
      <x:c r="F13" s="15" t="s">
        <x:v>890</x:v>
      </x:c>
      <x:c r="G13" s="15" t="s">
        <x:v>891</x:v>
      </x:c>
    </x:row>
    <x:row r="14" ht="14.25" customHeight="1">
      <x:c r="A14" s="15" t="s">
        <x:v>892</x:v>
      </x:c>
      <x:c r="B14" s="15" t="s">
        <x:v>879</x:v>
      </x:c>
      <x:c r="C14" s="15" t="s">
        <x:v>362</x:v>
      </x:c>
      <x:c r="D14" s="15" t="s">
        <x:v>893</x:v>
      </x:c>
      <x:c r="E14" s="15" t="s">
        <x:v>894</x:v>
      </x:c>
      <x:c r="F14" s="15" t="s">
        <x:v>895</x:v>
      </x:c>
      <x:c r="G14" s="15" t="s">
        <x:v>896</x:v>
      </x:c>
    </x:row>
    <x:row r="15" ht="14.25" customHeight="1">
      <x:c r="A15" s="15" t="s">
        <x:v>897</x:v>
      </x:c>
      <x:c r="B15" s="15" t="s">
        <x:v>879</x:v>
      </x:c>
      <x:c r="C15" s="15" t="s">
        <x:v>362</x:v>
      </x:c>
      <x:c r="D15" s="15" t="s">
        <x:v>898</x:v>
      </x:c>
      <x:c r="E15" s="15" t="s">
        <x:v>894</x:v>
      </x:c>
      <x:c r="F15" s="15" t="s">
        <x:v>899</x:v>
      </x:c>
      <x:c r="G15" s="15" t="s">
        <x:v>900</x:v>
      </x:c>
    </x:row>
    <x:row r="16" ht="14.25" customHeight="1">
      <x:c r="A16" s="15" t="s">
        <x:v>901</x:v>
      </x:c>
      <x:c r="B16" s="15" t="s">
        <x:v>879</x:v>
      </x:c>
      <x:c r="C16" s="15" t="s">
        <x:v>362</x:v>
      </x:c>
      <x:c r="D16" s="15" t="s">
        <x:v>902</x:v>
      </x:c>
      <x:c r="E16" s="15" t="s">
        <x:v>894</x:v>
      </x:c>
      <x:c r="F16" s="15" t="s">
        <x:v>903</x:v>
      </x:c>
      <x:c r="G16" s="15" t="s">
        <x:v>904</x:v>
      </x:c>
    </x:row>
    <x:row r="17" ht="14.25" customHeight="1">
      <x:c r="A17" s="15" t="s">
        <x:v>905</x:v>
      </x:c>
      <x:c r="B17" s="15" t="s">
        <x:v>879</x:v>
      </x:c>
      <x:c r="C17" s="15" t="s">
        <x:v>362</x:v>
      </x:c>
      <x:c r="D17" s="15" t="s">
        <x:v>906</x:v>
      </x:c>
      <x:c r="E17" s="15" t="s">
        <x:v>907</x:v>
      </x:c>
      <x:c r="F17" s="15" t="s">
        <x:v>908</x:v>
      </x:c>
      <x:c r="G17" s="15" t="s">
        <x:v>909</x:v>
      </x:c>
    </x:row>
    <x:row r="18" ht="14.25" customHeight="1">
      <x:c r="A18" s="15" t="s">
        <x:v>910</x:v>
      </x:c>
      <x:c r="B18" s="15" t="s">
        <x:v>99</x:v>
      </x:c>
      <x:c r="C18" s="15" t="s">
        <x:v>362</x:v>
      </x:c>
      <x:c r="D18" s="15" t="s">
        <x:v>911</x:v>
      </x:c>
      <x:c r="E18" s="15" t="s">
        <x:v>912</x:v>
      </x:c>
      <x:c r="F18" s="15" t="s">
        <x:v>913</x:v>
      </x:c>
      <x:c r="G18" s="15" t="s">
        <x:v>914</x:v>
      </x:c>
    </x:row>
    <x:row r="19" ht="14.25" customHeight="1">
      <x:c r="A19" s="15" t="s">
        <x:v>915</x:v>
      </x:c>
      <x:c r="B19" s="15" t="s">
        <x:v>99</x:v>
      </x:c>
      <x:c r="C19" s="15" t="s">
        <x:v>362</x:v>
      </x:c>
      <x:c r="D19" s="15" t="s">
        <x:v>916</x:v>
      </x:c>
      <x:c r="E19" s="15" t="s">
        <x:v>912</x:v>
      </x:c>
      <x:c r="F19" s="15" t="s">
        <x:v>917</x:v>
      </x:c>
      <x:c r="G19" s="15" t="s">
        <x:v>918</x:v>
      </x:c>
    </x:row>
    <x:row r="20" ht="14.25" customHeight="1">
      <x:c r="A20" s="15" t="s">
        <x:v>919</x:v>
      </x:c>
      <x:c r="B20" s="15" t="s">
        <x:v>920</x:v>
      </x:c>
      <x:c r="C20" s="15" t="s">
        <x:v>362</x:v>
      </x:c>
      <x:c r="D20" s="15" t="s">
        <x:v>921</x:v>
      </x:c>
      <x:c r="E20" s="15" t="s">
        <x:v>912</x:v>
      </x:c>
      <x:c r="F20" s="15" t="s">
        <x:v>922</x:v>
      </x:c>
      <x:c r="G20" s="15" t="s">
        <x:v>923</x:v>
      </x:c>
    </x:row>
    <x:row r="21" ht="14.25" customHeight="1">
      <x:c r="A21" s="15" t="s">
        <x:v>924</x:v>
      </x:c>
      <x:c r="B21" s="15" t="s">
        <x:v>925</x:v>
      </x:c>
      <x:c r="C21" s="15" t="s">
        <x:v>362</x:v>
      </x:c>
      <x:c r="D21" s="15" t="s">
        <x:v>926</x:v>
      </x:c>
      <x:c r="E21" s="15" t="s">
        <x:v>927</x:v>
      </x:c>
      <x:c r="F21" s="15" t="s">
        <x:v>928</x:v>
      </x:c>
      <x:c r="G21" s="15" t="s">
        <x:v>929</x:v>
      </x:c>
    </x:row>
    <x:row r="22" ht="14.25" customHeight="1">
      <x:c r="A22" s="15" t="s">
        <x:v>930</x:v>
      </x:c>
      <x:c r="B22" s="15" t="s">
        <x:v>454</x:v>
      </x:c>
      <x:c r="C22" s="15" t="s">
        <x:v>362</x:v>
      </x:c>
      <x:c r="D22" s="15" t="s">
        <x:v>931</x:v>
      </x:c>
      <x:c r="E22" s="15" t="s">
        <x:v>932</x:v>
      </x:c>
      <x:c r="F22" s="15" t="s">
        <x:v>933</x:v>
      </x:c>
      <x:c r="G22" s="15" t="s">
        <x:v>934</x:v>
      </x:c>
    </x:row>
    <x:row r="23" ht="14.25" customHeight="1">
      <x:c r="A23" s="15" t="s">
        <x:v>935</x:v>
      </x:c>
      <x:c r="B23" s="15" t="s">
        <x:v>399</x:v>
      </x:c>
      <x:c r="C23" s="15" t="s">
        <x:v>362</x:v>
      </x:c>
      <x:c r="D23" s="15" t="s">
        <x:v>936</x:v>
      </x:c>
      <x:c r="E23" s="15" t="s">
        <x:v>937</x:v>
      </x:c>
      <x:c r="F23" s="15" t="s">
        <x:v>938</x:v>
      </x:c>
      <x:c r="G23" s="15" t="s">
        <x:v>939</x:v>
      </x:c>
    </x:row>
    <x:row r="24" ht="14.25" customHeight="1">
      <x:c r="A24" s="15" t="s">
        <x:v>940</x:v>
      </x:c>
      <x:c r="B24" s="15" t="s">
        <x:v>399</x:v>
      </x:c>
      <x:c r="C24" s="15" t="s">
        <x:v>362</x:v>
      </x:c>
      <x:c r="D24" s="15" t="s">
        <x:v>941</x:v>
      </x:c>
      <x:c r="E24" s="15" t="s">
        <x:v>942</x:v>
      </x:c>
      <x:c r="F24" s="15" t="s">
        <x:v>943</x:v>
      </x:c>
      <x:c r="G24" s="15" t="s">
        <x:v>944</x:v>
      </x:c>
    </x:row>
    <x:row r="25" ht="14.25" customHeight="1">
      <x:c r="A25" s="15" t="s">
        <x:v>945</x:v>
      </x:c>
      <x:c r="B25" s="15" t="s">
        <x:v>399</x:v>
      </x:c>
      <x:c r="C25" s="15" t="s">
        <x:v>362</x:v>
      </x:c>
      <x:c r="D25" s="15" t="s">
        <x:v>946</x:v>
      </x:c>
      <x:c r="E25" s="15" t="s">
        <x:v>947</x:v>
      </x:c>
      <x:c r="F25" s="15" t="s">
        <x:v>948</x:v>
      </x:c>
      <x:c r="G25" s="15" t="s">
        <x:v>949</x:v>
      </x:c>
    </x:row>
    <x:row r="26" ht="14.25" customHeight="1">
      <x:c r="A26" s="15" t="s">
        <x:v>950</x:v>
      </x:c>
      <x:c r="B26" s="15" t="s">
        <x:v>399</x:v>
      </x:c>
      <x:c r="C26" s="15" t="s">
        <x:v>362</x:v>
      </x:c>
      <x:c r="D26" s="15" t="s">
        <x:v>951</x:v>
      </x:c>
      <x:c r="E26" s="15" t="s">
        <x:v>952</x:v>
      </x:c>
      <x:c r="F26" s="15" t="s">
        <x:v>953</x:v>
      </x:c>
      <x:c r="G26" s="15" t="s">
        <x:v>954</x:v>
      </x:c>
    </x:row>
    <x:row r="27" ht="14.25" customHeight="1">
      <x:c r="A27" s="15" t="s">
        <x:v>955</x:v>
      </x:c>
      <x:c r="B27" s="15" t="s">
        <x:v>956</x:v>
      </x:c>
      <x:c r="C27" s="15" t="s">
        <x:v>461</x:v>
      </x:c>
      <x:c r="D27" s="15" t="s">
        <x:v>957</x:v>
      </x:c>
      <x:c r="E27" s="15" t="s">
        <x:v>958</x:v>
      </x:c>
      <x:c r="F27" s="15" t="s">
        <x:v>959</x:v>
      </x:c>
      <x:c r="G27" s="15" t="s">
        <x:v>960</x:v>
      </x:c>
    </x:row>
    <x:row r="28" ht="14.25" customHeight="1">
      <x:c r="A28" s="15" t="s">
        <x:v>961</x:v>
      </x:c>
      <x:c r="B28" s="15" t="s">
        <x:v>956</x:v>
      </x:c>
      <x:c r="C28" s="15" t="s">
        <x:v>461</x:v>
      </x:c>
      <x:c r="D28" s="15" t="s">
        <x:v>962</x:v>
      </x:c>
      <x:c r="E28" s="15" t="s">
        <x:v>963</x:v>
      </x:c>
      <x:c r="F28" s="15" t="s">
        <x:v>964</x:v>
      </x:c>
      <x:c r="G28" s="15" t="s">
        <x:v>965</x:v>
      </x:c>
    </x:row>
    <x:row r="29" ht="14.25" customHeight="1">
      <x:c r="A29" s="15" t="s">
        <x:v>966</x:v>
      </x:c>
      <x:c r="B29" s="15" t="s">
        <x:v>967</x:v>
      </x:c>
      <x:c r="C29" s="15" t="s">
        <x:v>461</x:v>
      </x:c>
      <x:c r="D29" s="15" t="s">
        <x:v>968</x:v>
      </x:c>
      <x:c r="E29" s="15" t="s">
        <x:v>969</x:v>
      </x:c>
      <x:c r="F29" s="15" t="s">
        <x:v>970</x:v>
      </x:c>
      <x:c r="G29" s="15" t="s">
        <x:v>971</x:v>
      </x:c>
    </x:row>
    <x:row r="30" ht="14.25" customHeight="1">
      <x:c r="A30" s="15" t="s">
        <x:v>972</x:v>
      </x:c>
      <x:c r="B30" s="15" t="s">
        <x:v>973</x:v>
      </x:c>
      <x:c r="C30" s="15" t="s">
        <x:v>461</x:v>
      </x:c>
      <x:c r="D30" s="15" t="s">
        <x:v>974</x:v>
      </x:c>
      <x:c r="E30" s="15" t="s">
        <x:v>881</x:v>
      </x:c>
      <x:c r="F30" s="15" t="s">
        <x:v>975</x:v>
      </x:c>
      <x:c r="G30" s="15" t="s">
        <x:v>976</x:v>
      </x:c>
    </x:row>
    <x:row r="31" ht="14.25" customHeight="1">
      <x:c r="A31" s="15" t="s">
        <x:v>977</x:v>
      </x:c>
      <x:c r="B31" s="15" t="s">
        <x:v>973</x:v>
      </x:c>
      <x:c r="C31" s="15" t="s">
        <x:v>461</x:v>
      </x:c>
      <x:c r="D31" s="15" t="s">
        <x:v>978</x:v>
      </x:c>
      <x:c r="E31" s="15" t="s">
        <x:v>979</x:v>
      </x:c>
      <x:c r="F31" s="15" t="s">
        <x:v>980</x:v>
      </x:c>
      <x:c r="G31" s="15" t="s">
        <x:v>981</x:v>
      </x:c>
    </x:row>
    <x:row r="32" ht="14.25" customHeight="1">
      <x:c r="A32" s="15" t="s">
        <x:v>982</x:v>
      </x:c>
      <x:c r="B32" s="15" t="s">
        <x:v>983</x:v>
      </x:c>
      <x:c r="C32" s="15" t="s">
        <x:v>485</x:v>
      </x:c>
      <x:c r="D32" s="15" t="s">
        <x:v>984</x:v>
      </x:c>
      <x:c r="E32" s="15" t="s">
        <x:v>985</x:v>
      </x:c>
      <x:c r="F32" s="15" t="s">
        <x:v>986</x:v>
      </x:c>
      <x:c r="G32" s="15" t="s">
        <x:v>987</x:v>
      </x:c>
    </x:row>
    <x:row r="33" ht="14.25" customHeight="1">
      <x:c r="A33" s="15" t="s">
        <x:v>988</x:v>
      </x:c>
      <x:c r="B33" s="15" t="s">
        <x:v>983</x:v>
      </x:c>
      <x:c r="C33" s="15" t="s">
        <x:v>485</x:v>
      </x:c>
      <x:c r="D33" s="15" t="s">
        <x:v>989</x:v>
      </x:c>
      <x:c r="E33" s="15" t="s">
        <x:v>985</x:v>
      </x:c>
      <x:c r="F33" s="15" t="s">
        <x:v>990</x:v>
      </x:c>
      <x:c r="G33" s="15" t="s">
        <x:v>991</x:v>
      </x:c>
    </x:row>
    <x:row r="34" ht="14.25" customHeight="1">
      <x:c r="A34" s="15" t="s">
        <x:v>992</x:v>
      </x:c>
      <x:c r="B34" s="15" t="s">
        <x:v>993</x:v>
      </x:c>
      <x:c r="C34" s="15" t="s">
        <x:v>485</x:v>
      </x:c>
      <x:c r="D34" s="15" t="s">
        <x:v>994</x:v>
      </x:c>
      <x:c r="E34" s="15" t="s">
        <x:v>985</x:v>
      </x:c>
      <x:c r="F34" s="15" t="s">
        <x:v>995</x:v>
      </x:c>
      <x:c r="G34" s="15" t="s">
        <x:v>996</x:v>
      </x:c>
    </x:row>
    <x:row r="35" ht="14.25" customHeight="1">
      <x:c r="A35" s="15" t="s">
        <x:v>997</x:v>
      </x:c>
      <x:c r="B35" s="15" t="s">
        <x:v>998</x:v>
      </x:c>
      <x:c r="C35" s="15" t="s">
        <x:v>485</x:v>
      </x:c>
      <x:c r="D35" s="15" t="s">
        <x:v>999</x:v>
      </x:c>
      <x:c r="E35" s="15" t="s">
        <x:v>1000</x:v>
      </x:c>
      <x:c r="F35" s="15" t="s">
        <x:v>1001</x:v>
      </x:c>
      <x:c r="G35" s="15" t="s">
        <x:v>1002</x:v>
      </x:c>
    </x:row>
    <x:row r="36" ht="14.25" customHeight="1">
      <x:c r="A36" s="15" t="s">
        <x:v>1003</x:v>
      </x:c>
      <x:c r="B36" s="15" t="s">
        <x:v>1004</x:v>
      </x:c>
      <x:c r="C36" s="15" t="s">
        <x:v>485</x:v>
      </x:c>
      <x:c r="D36" s="15" t="s">
        <x:v>1005</x:v>
      </x:c>
      <x:c r="E36" s="15" t="s">
        <x:v>1006</x:v>
      </x:c>
      <x:c r="F36" s="15" t="s">
        <x:v>1007</x:v>
      </x:c>
      <x:c r="G36" s="15" t="s">
        <x:v>1008</x:v>
      </x:c>
    </x:row>
    <x:row r="37" ht="14.25" customHeight="1">
      <x:c r="A37" s="15" t="s">
        <x:v>1009</x:v>
      </x:c>
      <x:c r="B37" s="15" t="s">
        <x:v>1010</x:v>
      </x:c>
      <x:c r="C37" s="15" t="s">
        <x:v>507</x:v>
      </x:c>
      <x:c r="D37" s="15" t="s">
        <x:v>1011</x:v>
      </x:c>
      <x:c r="E37" s="15" t="s">
        <x:v>1012</x:v>
      </x:c>
      <x:c r="F37" s="15" t="s">
        <x:v>1013</x:v>
      </x:c>
      <x:c r="G37" s="15" t="s">
        <x:v>1014</x:v>
      </x:c>
    </x:row>
    <x:row r="38" ht="14.25" customHeight="1">
      <x:c r="A38" s="15" t="s">
        <x:v>1015</x:v>
      </x:c>
      <x:c r="B38" s="15" t="s">
        <x:v>973</x:v>
      </x:c>
      <x:c r="C38" s="15" t="s">
        <x:v>507</x:v>
      </x:c>
      <x:c r="D38" s="15" t="s">
        <x:v>1016</x:v>
      </x:c>
      <x:c r="E38" s="15" t="s">
        <x:v>1017</x:v>
      </x:c>
      <x:c r="F38" s="15" t="s">
        <x:v>1018</x:v>
      </x:c>
      <x:c r="G38" s="15" t="s">
        <x:v>1019</x:v>
      </x:c>
    </x:row>
    <x:row r="39" ht="14.25" customHeight="1">
      <x:c r="A39" s="15" t="s">
        <x:v>1020</x:v>
      </x:c>
      <x:c r="B39" s="15" t="s">
        <x:v>1021</x:v>
      </x:c>
      <x:c r="C39" s="15" t="s">
        <x:v>507</x:v>
      </x:c>
      <x:c r="D39" s="15" t="s">
        <x:v>1022</x:v>
      </x:c>
      <x:c r="E39" s="15" t="s">
        <x:v>1023</x:v>
      </x:c>
      <x:c r="F39" s="15" t="s">
        <x:v>1024</x:v>
      </x:c>
      <x:c r="G39" s="15" t="s">
        <x:v>1025</x:v>
      </x:c>
    </x:row>
    <x:row r="40" ht="14.25" customHeight="1">
      <x:c r="A40" s="15" t="s">
        <x:v>1026</x:v>
      </x:c>
      <x:c r="B40" s="15" t="s">
        <x:v>956</x:v>
      </x:c>
      <x:c r="C40" s="15" t="s">
        <x:v>507</x:v>
      </x:c>
      <x:c r="D40" s="15" t="s">
        <x:v>1027</x:v>
      </x:c>
      <x:c r="E40" s="15" t="s">
        <x:v>1028</x:v>
      </x:c>
      <x:c r="F40" s="15" t="s">
        <x:v>1029</x:v>
      </x:c>
      <x:c r="G40" s="15" t="s">
        <x:v>1030</x:v>
      </x:c>
    </x:row>
    <x:row r="41" ht="14.25" customHeight="1">
      <x:c r="A41" s="15" t="s">
        <x:v>1031</x:v>
      </x:c>
      <x:c r="B41" s="15" t="s">
        <x:v>1032</x:v>
      </x:c>
      <x:c r="C41" s="15" t="s">
        <x:v>507</x:v>
      </x:c>
      <x:c r="D41" s="15" t="s">
        <x:v>1033</x:v>
      </x:c>
      <x:c r="E41" s="15" t="s">
        <x:v>1034</x:v>
      </x:c>
      <x:c r="F41" s="15" t="s">
        <x:v>1035</x:v>
      </x:c>
      <x:c r="G41" s="15" t="s">
        <x:v>1036</x:v>
      </x:c>
    </x:row>
    <x:row r="42" ht="14.25" customHeight="1">
      <x:c r="A42" s="15" t="s">
        <x:v>1037</x:v>
      </x:c>
      <x:c r="B42" s="15" t="s">
        <x:v>973</x:v>
      </x:c>
      <x:c r="C42" s="15" t="s">
        <x:v>529</x:v>
      </x:c>
      <x:c r="D42" s="15" t="s">
        <x:v>1038</x:v>
      </x:c>
      <x:c r="E42" s="15" t="s">
        <x:v>1039</x:v>
      </x:c>
      <x:c r="F42" s="15" t="s">
        <x:v>1040</x:v>
      </x:c>
      <x:c r="G42" s="15" t="s">
        <x:v>1041</x:v>
      </x:c>
    </x:row>
    <x:row r="43" ht="14.25" customHeight="1">
      <x:c r="A43" s="15" t="s">
        <x:v>1042</x:v>
      </x:c>
      <x:c r="B43" s="15" t="s">
        <x:v>973</x:v>
      </x:c>
      <x:c r="C43" s="15" t="s">
        <x:v>529</x:v>
      </x:c>
      <x:c r="D43" s="15" t="s">
        <x:v>1043</x:v>
      </x:c>
      <x:c r="E43" s="15" t="s">
        <x:v>881</x:v>
      </x:c>
      <x:c r="F43" s="15" t="s">
        <x:v>1044</x:v>
      </x:c>
      <x:c r="G43" s="15" t="s">
        <x:v>1045</x:v>
      </x:c>
    </x:row>
    <x:row r="44" ht="14.25" customHeight="1">
      <x:c r="A44" s="15" t="s">
        <x:v>1046</x:v>
      </x:c>
      <x:c r="B44" s="15" t="s">
        <x:v>1021</x:v>
      </x:c>
      <x:c r="C44" s="15" t="s">
        <x:v>529</x:v>
      </x:c>
      <x:c r="D44" s="15" t="s">
        <x:v>1047</x:v>
      </x:c>
      <x:c r="E44" s="15" t="s">
        <x:v>1048</x:v>
      </x:c>
      <x:c r="F44" s="15" t="s">
        <x:v>1049</x:v>
      </x:c>
      <x:c r="G44" s="15" t="s">
        <x:v>1050</x:v>
      </x:c>
    </x:row>
    <x:row r="45" ht="14.25" customHeight="1">
      <x:c r="A45" s="15" t="s">
        <x:v>1051</x:v>
      </x:c>
      <x:c r="B45" s="15" t="s">
        <x:v>973</x:v>
      </x:c>
      <x:c r="C45" s="15" t="s">
        <x:v>529</x:v>
      </x:c>
      <x:c r="D45" s="15" t="s">
        <x:v>1052</x:v>
      </x:c>
      <x:c r="E45" s="15" t="s">
        <x:v>881</x:v>
      </x:c>
      <x:c r="F45" s="15" t="s">
        <x:v>1053</x:v>
      </x:c>
      <x:c r="G45" s="15" t="s">
        <x:v>1054</x:v>
      </x:c>
    </x:row>
    <x:row r="46" ht="14.25" customHeight="1">
      <x:c r="A46" s="15" t="s">
        <x:v>1055</x:v>
      </x:c>
      <x:c r="B46" s="15" t="s">
        <x:v>1056</x:v>
      </x:c>
      <x:c r="C46" s="15" t="s">
        <x:v>529</x:v>
      </x:c>
      <x:c r="D46" s="15" t="s">
        <x:v>1057</x:v>
      </x:c>
      <x:c r="E46" s="15" t="s">
        <x:v>942</x:v>
      </x:c>
      <x:c r="F46" s="15" t="s">
        <x:v>1058</x:v>
      </x:c>
      <x:c r="G46" s="15" t="s">
        <x:v>944</x:v>
      </x:c>
    </x:row>
    <x:row r="47" ht="14.25" customHeight="1">
      <x:c r="A47" s="15" t="s">
        <x:v>1059</x:v>
      </x:c>
      <x:c r="B47" s="15" t="s">
        <x:v>1010</x:v>
      </x:c>
      <x:c r="C47" s="15" t="s">
        <x:v>551</x:v>
      </x:c>
      <x:c r="D47" s="15" t="s">
        <x:v>1060</x:v>
      </x:c>
      <x:c r="E47" s="15" t="s">
        <x:v>1061</x:v>
      </x:c>
      <x:c r="F47" s="15" t="s">
        <x:v>1062</x:v>
      </x:c>
      <x:c r="G47" s="15" t="s">
        <x:v>1063</x:v>
      </x:c>
    </x:row>
    <x:row r="48" ht="14.25" customHeight="1">
      <x:c r="A48" s="15" t="s">
        <x:v>1064</x:v>
      </x:c>
      <x:c r="B48" s="15" t="s">
        <x:v>1021</x:v>
      </x:c>
      <x:c r="C48" s="15" t="s">
        <x:v>551</x:v>
      </x:c>
      <x:c r="D48" s="15" t="s">
        <x:v>1065</x:v>
      </x:c>
      <x:c r="E48" s="15" t="s">
        <x:v>1023</x:v>
      </x:c>
      <x:c r="F48" s="15" t="s">
        <x:v>1066</x:v>
      </x:c>
      <x:c r="G48" s="15" t="s">
        <x:v>909</x:v>
      </x:c>
    </x:row>
    <x:row r="49" ht="14.25" customHeight="1">
      <x:c r="A49" s="15" t="s">
        <x:v>1067</x:v>
      </x:c>
      <x:c r="B49" s="15" t="s">
        <x:v>973</x:v>
      </x:c>
      <x:c r="C49" s="15" t="s">
        <x:v>551</x:v>
      </x:c>
      <x:c r="D49" s="15" t="s">
        <x:v>1068</x:v>
      </x:c>
      <x:c r="E49" s="15" t="s">
        <x:v>1069</x:v>
      </x:c>
      <x:c r="F49" s="15" t="s">
        <x:v>1070</x:v>
      </x:c>
      <x:c r="G49" s="15" t="s">
        <x:v>1071</x:v>
      </x:c>
    </x:row>
    <x:row r="50" ht="14.25" customHeight="1">
      <x:c r="A50" s="15" t="s">
        <x:v>1072</x:v>
      </x:c>
      <x:c r="B50" s="15" t="s">
        <x:v>1073</x:v>
      </x:c>
      <x:c r="C50" s="15" t="s">
        <x:v>551</x:v>
      </x:c>
      <x:c r="D50" s="15" t="s">
        <x:v>1074</x:v>
      </x:c>
      <x:c r="E50" s="15" t="s">
        <x:v>952</x:v>
      </x:c>
      <x:c r="F50" s="15" t="s">
        <x:v>1075</x:v>
      </x:c>
      <x:c r="G50" s="15" t="s">
        <x:v>1076</x:v>
      </x:c>
    </x:row>
    <x:row r="51" ht="14.25" customHeight="1">
      <x:c r="A51" s="15" t="s">
        <x:v>1077</x:v>
      </x:c>
      <x:c r="B51" s="15" t="s">
        <x:v>1056</x:v>
      </x:c>
      <x:c r="C51" s="15" t="s">
        <x:v>551</x:v>
      </x:c>
      <x:c r="D51" s="15" t="s">
        <x:v>1078</x:v>
      </x:c>
      <x:c r="E51" s="15" t="s">
        <x:v>942</x:v>
      </x:c>
      <x:c r="F51" s="15" t="s">
        <x:v>1079</x:v>
      </x:c>
      <x:c r="G51" s="15" t="s">
        <x:v>944</x:v>
      </x:c>
    </x:row>
    <x:row r="52" ht="14.25" customHeight="1">
      <x:c r="A52" s="15" t="s">
        <x:v>1080</x:v>
      </x:c>
      <x:c r="B52" s="15" t="s">
        <x:v>973</x:v>
      </x:c>
      <x:c r="C52" s="15" t="s">
        <x:v>576</x:v>
      </x:c>
      <x:c r="D52" s="15" t="s">
        <x:v>1081</x:v>
      </x:c>
      <x:c r="E52" s="15" t="s">
        <x:v>881</x:v>
      </x:c>
      <x:c r="F52" s="15" t="s">
        <x:v>1082</x:v>
      </x:c>
      <x:c r="G52" s="15" t="s">
        <x:v>1054</x:v>
      </x:c>
    </x:row>
    <x:row r="53" ht="14.25" customHeight="1">
      <x:c r="A53" s="15" t="s">
        <x:v>1083</x:v>
      </x:c>
      <x:c r="B53" s="15" t="s">
        <x:v>1021</x:v>
      </x:c>
      <x:c r="C53" s="15" t="s">
        <x:v>576</x:v>
      </x:c>
      <x:c r="D53" s="15" t="s">
        <x:v>1084</x:v>
      </x:c>
      <x:c r="E53" s="15" t="s">
        <x:v>1048</x:v>
      </x:c>
      <x:c r="F53" s="15" t="s">
        <x:v>1085</x:v>
      </x:c>
      <x:c r="G53" s="15" t="s">
        <x:v>1050</x:v>
      </x:c>
    </x:row>
    <x:row r="54" ht="14.25" customHeight="1">
      <x:c r="A54" s="15" t="s">
        <x:v>1086</x:v>
      </x:c>
      <x:c r="B54" s="15" t="s">
        <x:v>973</x:v>
      </x:c>
      <x:c r="C54" s="15" t="s">
        <x:v>576</x:v>
      </x:c>
      <x:c r="D54" s="15" t="s">
        <x:v>1087</x:v>
      </x:c>
      <x:c r="E54" s="15" t="s">
        <x:v>1088</x:v>
      </x:c>
      <x:c r="F54" s="15" t="s">
        <x:v>1089</x:v>
      </x:c>
      <x:c r="G54" s="15" t="s">
        <x:v>1090</x:v>
      </x:c>
    </x:row>
    <x:row r="55" ht="14.25" customHeight="1">
      <x:c r="A55" s="15" t="s">
        <x:v>1091</x:v>
      </x:c>
      <x:c r="B55" s="15" t="s">
        <x:v>1056</x:v>
      </x:c>
      <x:c r="C55" s="15" t="s">
        <x:v>576</x:v>
      </x:c>
      <x:c r="D55" s="15" t="s">
        <x:v>1092</x:v>
      </x:c>
      <x:c r="E55" s="15" t="s">
        <x:v>1093</x:v>
      </x:c>
      <x:c r="F55" s="15" t="s">
        <x:v>1094</x:v>
      </x:c>
      <x:c r="G55" s="15" t="s">
        <x:v>1095</x:v>
      </x:c>
    </x:row>
    <x:row r="56" ht="14.25" customHeight="1">
      <x:c r="A56" s="15" t="s">
        <x:v>1096</x:v>
      </x:c>
      <x:c r="B56" s="15" t="s">
        <x:v>1073</x:v>
      </x:c>
      <x:c r="C56" s="15" t="s">
        <x:v>576</x:v>
      </x:c>
      <x:c r="D56" s="15" t="s">
        <x:v>1097</x:v>
      </x:c>
      <x:c r="E56" s="15" t="s">
        <x:v>952</x:v>
      </x:c>
      <x:c r="F56" s="15" t="s">
        <x:v>1098</x:v>
      </x:c>
      <x:c r="G56" s="15" t="s">
        <x:v>954</x:v>
      </x:c>
    </x:row>
    <x:row r="57" ht="14.25" customHeight="1">
      <x:c r="A57" s="15" t="s">
        <x:v>1099</x:v>
      </x:c>
      <x:c r="B57" s="15" t="s">
        <x:v>973</x:v>
      </x:c>
      <x:c r="C57" s="15" t="s">
        <x:v>597</x:v>
      </x:c>
      <x:c r="D57" s="15" t="s">
        <x:v>1100</x:v>
      </x:c>
      <x:c r="E57" s="15" t="s">
        <x:v>1101</x:v>
      </x:c>
      <x:c r="F57" s="15" t="s">
        <x:v>1102</x:v>
      </x:c>
      <x:c r="G57" s="15" t="s">
        <x:v>1103</x:v>
      </x:c>
    </x:row>
    <x:row r="58" ht="14.25" customHeight="1">
      <x:c r="A58" s="15" t="s">
        <x:v>1104</x:v>
      </x:c>
      <x:c r="B58" s="15" t="s">
        <x:v>973</x:v>
      </x:c>
      <x:c r="C58" s="15" t="s">
        <x:v>597</x:v>
      </x:c>
      <x:c r="D58" s="15" t="s">
        <x:v>1105</x:v>
      </x:c>
      <x:c r="E58" s="15" t="s">
        <x:v>1106</x:v>
      </x:c>
      <x:c r="F58" s="15" t="s">
        <x:v>1107</x:v>
      </x:c>
      <x:c r="G58" s="15" t="s">
        <x:v>1108</x:v>
      </x:c>
    </x:row>
    <x:row r="59" ht="14.25" customHeight="1">
      <x:c r="A59" s="15" t="s">
        <x:v>1109</x:v>
      </x:c>
      <x:c r="B59" s="15" t="s">
        <x:v>1110</x:v>
      </x:c>
      <x:c r="C59" s="15" t="s">
        <x:v>597</x:v>
      </x:c>
      <x:c r="D59" s="15" t="s">
        <x:v>1111</x:v>
      </x:c>
      <x:c r="E59" s="15" t="s">
        <x:v>1112</x:v>
      </x:c>
      <x:c r="F59" s="15" t="s">
        <x:v>1113</x:v>
      </x:c>
      <x:c r="G59" s="15" t="s">
        <x:v>1114</x:v>
      </x:c>
    </x:row>
    <x:row r="60" ht="14.25" customHeight="1">
      <x:c r="A60" s="15" t="s">
        <x:v>1115</x:v>
      </x:c>
      <x:c r="B60" s="15" t="s">
        <x:v>1116</x:v>
      </x:c>
      <x:c r="C60" s="15" t="s">
        <x:v>597</x:v>
      </x:c>
      <x:c r="D60" s="15" t="s">
        <x:v>1117</x:v>
      </x:c>
      <x:c r="E60" s="15" t="s">
        <x:v>1118</x:v>
      </x:c>
      <x:c r="F60" s="15" t="s">
        <x:v>1119</x:v>
      </x:c>
      <x:c r="G60" s="15" t="s">
        <x:v>1120</x:v>
      </x:c>
    </x:row>
    <x:row r="61" ht="14.25" customHeight="1">
      <x:c r="A61" s="15" t="s">
        <x:v>1121</x:v>
      </x:c>
      <x:c r="B61" s="15" t="s">
        <x:v>1073</x:v>
      </x:c>
      <x:c r="C61" s="15" t="s">
        <x:v>597</x:v>
      </x:c>
      <x:c r="D61" s="15" t="s">
        <x:v>1097</x:v>
      </x:c>
      <x:c r="E61" s="15" t="s">
        <x:v>952</x:v>
      </x:c>
      <x:c r="F61" s="15" t="s">
        <x:v>1122</x:v>
      </x:c>
      <x:c r="G61" s="15" t="s">
        <x:v>954</x:v>
      </x:c>
    </x:row>
    <x:row r="62" ht="14.25" customHeight="1">
      <x:c r="A62" s="15" t="s">
        <x:v>1123</x:v>
      </x:c>
      <x:c r="B62" s="15" t="s">
        <x:v>973</x:v>
      </x:c>
      <x:c r="C62" s="15" t="s">
        <x:v>620</x:v>
      </x:c>
      <x:c r="D62" s="15" t="s">
        <x:v>1124</x:v>
      </x:c>
      <x:c r="E62" s="15" t="s">
        <x:v>1125</x:v>
      </x:c>
      <x:c r="F62" s="15" t="s">
        <x:v>1126</x:v>
      </x:c>
      <x:c r="G62" s="15" t="s">
        <x:v>1127</x:v>
      </x:c>
    </x:row>
    <x:row r="63" ht="14.25" customHeight="1">
      <x:c r="A63" s="15" t="s">
        <x:v>1128</x:v>
      </x:c>
      <x:c r="B63" s="15" t="s">
        <x:v>1010</x:v>
      </x:c>
      <x:c r="C63" s="15" t="s">
        <x:v>620</x:v>
      </x:c>
      <x:c r="D63" s="15" t="s">
        <x:v>1129</x:v>
      </x:c>
      <x:c r="E63" s="15" t="s">
        <x:v>1130</x:v>
      </x:c>
      <x:c r="F63" s="15" t="s">
        <x:v>1131</x:v>
      </x:c>
      <x:c r="G63" s="15" t="s">
        <x:v>1132</x:v>
      </x:c>
    </x:row>
    <x:row r="64" ht="14.25" customHeight="1">
      <x:c r="A64" s="15" t="s">
        <x:v>1133</x:v>
      </x:c>
      <x:c r="B64" s="15" t="s">
        <x:v>973</x:v>
      </x:c>
      <x:c r="C64" s="15" t="s">
        <x:v>620</x:v>
      </x:c>
      <x:c r="D64" s="15" t="s">
        <x:v>1134</x:v>
      </x:c>
      <x:c r="E64" s="15" t="s">
        <x:v>1135</x:v>
      </x:c>
      <x:c r="F64" s="15" t="s">
        <x:v>1136</x:v>
      </x:c>
      <x:c r="G64" s="15" t="s">
        <x:v>1137</x:v>
      </x:c>
    </x:row>
    <x:row r="65" ht="14.25" customHeight="1">
      <x:c r="A65" s="15" t="s">
        <x:v>1138</x:v>
      </x:c>
      <x:c r="B65" s="15" t="s">
        <x:v>973</x:v>
      </x:c>
      <x:c r="C65" s="15" t="s">
        <x:v>620</x:v>
      </x:c>
      <x:c r="D65" s="15" t="s">
        <x:v>1139</x:v>
      </x:c>
      <x:c r="E65" s="15" t="s">
        <x:v>1125</x:v>
      </x:c>
      <x:c r="F65" s="15" t="s">
        <x:v>1140</x:v>
      </x:c>
      <x:c r="G65" s="15" t="s">
        <x:v>1141</x:v>
      </x:c>
    </x:row>
    <x:row r="66" ht="14.25" customHeight="1">
      <x:c r="A66" s="15" t="s">
        <x:v>1142</x:v>
      </x:c>
      <x:c r="B66" s="15" t="s">
        <x:v>956</x:v>
      </x:c>
      <x:c r="C66" s="15" t="s">
        <x:v>620</x:v>
      </x:c>
      <x:c r="D66" s="15" t="s">
        <x:v>1143</x:v>
      </x:c>
      <x:c r="E66" s="15" t="s">
        <x:v>963</x:v>
      </x:c>
      <x:c r="F66" s="15" t="s">
        <x:v>1144</x:v>
      </x:c>
      <x:c r="G66" s="15" t="s">
        <x:v>1145</x:v>
      </x:c>
    </x:row>
    <x:row r="67" ht="14.25" customHeight="1">
      <x:c r="A67" s="15" t="s">
        <x:v>1146</x:v>
      </x:c>
      <x:c r="B67" s="15" t="s">
        <x:v>1056</x:v>
      </x:c>
      <x:c r="C67" s="15" t="s">
        <x:v>640</x:v>
      </x:c>
      <x:c r="D67" s="15" t="s">
        <x:v>1147</x:v>
      </x:c>
      <x:c r="E67" s="15" t="s">
        <x:v>1093</x:v>
      </x:c>
      <x:c r="F67" s="15" t="s">
        <x:v>1148</x:v>
      </x:c>
      <x:c r="G67" s="15" t="s">
        <x:v>1149</x:v>
      </x:c>
    </x:row>
    <x:row r="68" ht="14.25" customHeight="1">
      <x:c r="A68" s="15" t="s">
        <x:v>1150</x:v>
      </x:c>
      <x:c r="B68" s="15" t="s">
        <x:v>1056</x:v>
      </x:c>
      <x:c r="C68" s="15" t="s">
        <x:v>640</x:v>
      </x:c>
      <x:c r="D68" s="15" t="s">
        <x:v>1151</x:v>
      </x:c>
      <x:c r="E68" s="15" t="s">
        <x:v>1093</x:v>
      </x:c>
      <x:c r="F68" s="15" t="s">
        <x:v>1152</x:v>
      </x:c>
      <x:c r="G68" s="15" t="s">
        <x:v>1153</x:v>
      </x:c>
    </x:row>
    <x:row r="69" ht="14.25" customHeight="1">
      <x:c r="A69" s="15" t="s">
        <x:v>1154</x:v>
      </x:c>
      <x:c r="B69" s="15" t="s">
        <x:v>1056</x:v>
      </x:c>
      <x:c r="C69" s="15" t="s">
        <x:v>640</x:v>
      </x:c>
      <x:c r="D69" s="15" t="s">
        <x:v>1155</x:v>
      </x:c>
      <x:c r="E69" s="15" t="s">
        <x:v>1093</x:v>
      </x:c>
      <x:c r="F69" s="15" t="s">
        <x:v>1156</x:v>
      </x:c>
      <x:c r="G69" s="15" t="s">
        <x:v>1095</x:v>
      </x:c>
    </x:row>
    <x:row r="70" ht="14.25" customHeight="1">
      <x:c r="A70" s="15" t="s">
        <x:v>1157</x:v>
      </x:c>
      <x:c r="B70" s="15" t="s">
        <x:v>1158</x:v>
      </x:c>
      <x:c r="C70" s="15" t="s">
        <x:v>640</x:v>
      </x:c>
      <x:c r="D70" s="15" t="s">
        <x:v>1159</x:v>
      </x:c>
      <x:c r="E70" s="15" t="s">
        <x:v>1160</x:v>
      </x:c>
      <x:c r="F70" s="15" t="s">
        <x:v>1161</x:v>
      </x:c>
      <x:c r="G70" s="15" t="s">
        <x:v>1162</x:v>
      </x:c>
    </x:row>
    <x:row r="71" ht="14.25" customHeight="1">
      <x:c r="A71" s="15" t="s">
        <x:v>1163</x:v>
      </x:c>
      <x:c r="B71" s="15" t="s">
        <x:v>967</x:v>
      </x:c>
      <x:c r="C71" s="15" t="s">
        <x:v>640</x:v>
      </x:c>
      <x:c r="D71" s="15" t="s">
        <x:v>1164</x:v>
      </x:c>
      <x:c r="E71" s="15" t="s">
        <x:v>1165</x:v>
      </x:c>
      <x:c r="F71" s="15" t="s">
        <x:v>1166</x:v>
      </x:c>
      <x:c r="G71" s="15" t="s">
        <x:v>1167</x:v>
      </x:c>
    </x:row>
    <x:row r="72" ht="14.25" customHeight="1">
      <x:c r="A72" s="15" t="s">
        <x:v>1168</x:v>
      </x:c>
      <x:c r="B72" s="15" t="s">
        <x:v>973</x:v>
      </x:c>
      <x:c r="C72" s="15" t="s">
        <x:v>661</x:v>
      </x:c>
      <x:c r="D72" s="15" t="s">
        <x:v>1169</x:v>
      </x:c>
      <x:c r="E72" s="15" t="s">
        <x:v>1125</x:v>
      </x:c>
      <x:c r="F72" s="15" t="s">
        <x:v>1170</x:v>
      </x:c>
      <x:c r="G72" s="15" t="s">
        <x:v>1171</x:v>
      </x:c>
    </x:row>
    <x:row r="73" ht="14.25" customHeight="1">
      <x:c r="A73" s="15" t="s">
        <x:v>1172</x:v>
      </x:c>
      <x:c r="B73" s="15" t="s">
        <x:v>1073</x:v>
      </x:c>
      <x:c r="C73" s="15" t="s">
        <x:v>661</x:v>
      </x:c>
      <x:c r="D73" s="15" t="s">
        <x:v>1173</x:v>
      </x:c>
      <x:c r="E73" s="15" t="s">
        <x:v>952</x:v>
      </x:c>
      <x:c r="F73" s="15" t="s">
        <x:v>1174</x:v>
      </x:c>
      <x:c r="G73" s="15" t="s">
        <x:v>1175</x:v>
      </x:c>
    </x:row>
    <x:row r="74" ht="14.25" customHeight="1">
      <x:c r="A74" s="15" t="s">
        <x:v>1176</x:v>
      </x:c>
      <x:c r="B74" s="15" t="s">
        <x:v>973</x:v>
      </x:c>
      <x:c r="C74" s="15" t="s">
        <x:v>661</x:v>
      </x:c>
      <x:c r="D74" s="15" t="s">
        <x:v>1177</x:v>
      </x:c>
      <x:c r="E74" s="15" t="s">
        <x:v>881</x:v>
      </x:c>
      <x:c r="F74" s="15" t="s">
        <x:v>1178</x:v>
      </x:c>
      <x:c r="G74" s="15" t="s">
        <x:v>1054</x:v>
      </x:c>
    </x:row>
    <x:row r="75" ht="14.25" customHeight="1">
      <x:c r="A75" s="15" t="s">
        <x:v>1179</x:v>
      </x:c>
      <x:c r="B75" s="15" t="s">
        <x:v>973</x:v>
      </x:c>
      <x:c r="C75" s="15" t="s">
        <x:v>661</x:v>
      </x:c>
      <x:c r="D75" s="15" t="s">
        <x:v>926</x:v>
      </x:c>
      <x:c r="E75" s="15" t="s">
        <x:v>1088</x:v>
      </x:c>
      <x:c r="F75" s="15" t="s">
        <x:v>1180</x:v>
      </x:c>
      <x:c r="G75" s="15" t="s">
        <x:v>929</x:v>
      </x:c>
    </x:row>
    <x:row r="76" ht="14.25" customHeight="1">
      <x:c r="A76" s="15" t="s">
        <x:v>1181</x:v>
      </x:c>
      <x:c r="B76" s="15" t="s">
        <x:v>998</x:v>
      </x:c>
      <x:c r="C76" s="15" t="s">
        <x:v>661</x:v>
      </x:c>
      <x:c r="D76" s="15" t="s">
        <x:v>1182</x:v>
      </x:c>
      <x:c r="E76" s="15" t="s">
        <x:v>932</x:v>
      </x:c>
      <x:c r="F76" s="15" t="s">
        <x:v>1183</x:v>
      </x:c>
      <x:c r="G76" s="15" t="s">
        <x:v>934</x:v>
      </x:c>
    </x:row>
    <x:row r="77" ht="14.25" customHeight="1">
      <x:c r="A77" s="15" t="s">
        <x:v>1184</x:v>
      </x:c>
      <x:c r="B77" s="15" t="s">
        <x:v>998</x:v>
      </x:c>
      <x:c r="C77" s="15" t="s">
        <x:v>13</x:v>
      </x:c>
      <x:c r="D77" s="15" t="s">
        <x:v>1185</x:v>
      </x:c>
      <x:c r="E77" s="15" t="s">
        <x:v>1000</x:v>
      </x:c>
      <x:c r="F77" s="15" t="s">
        <x:v>1186</x:v>
      </x:c>
      <x:c r="G77" s="15" t="s">
        <x:v>1187</x:v>
      </x:c>
    </x:row>
    <x:row r="78" ht="14.25" customHeight="1">
      <x:c r="A78" s="15" t="s">
        <x:v>1188</x:v>
      </x:c>
      <x:c r="B78" s="15" t="s">
        <x:v>973</x:v>
      </x:c>
      <x:c r="C78" s="15" t="s">
        <x:v>13</x:v>
      </x:c>
      <x:c r="D78" s="15" t="s">
        <x:v>921</x:v>
      </x:c>
      <x:c r="E78" s="15" t="s">
        <x:v>912</x:v>
      </x:c>
      <x:c r="F78" s="15" t="s">
        <x:v>1189</x:v>
      </x:c>
      <x:c r="G78" s="15" t="s">
        <x:v>923</x:v>
      </x:c>
    </x:row>
    <x:row r="79" ht="14.25" customHeight="1">
      <x:c r="A79" s="15" t="s">
        <x:v>1190</x:v>
      </x:c>
      <x:c r="B79" s="15" t="s">
        <x:v>973</x:v>
      </x:c>
      <x:c r="C79" s="15" t="s">
        <x:v>13</x:v>
      </x:c>
      <x:c r="D79" s="15" t="s">
        <x:v>1191</x:v>
      </x:c>
      <x:c r="E79" s="15" t="s">
        <x:v>1192</x:v>
      </x:c>
      <x:c r="F79" s="15" t="s">
        <x:v>1193</x:v>
      </x:c>
      <x:c r="G79" s="15" t="s">
        <x:v>1194</x:v>
      </x:c>
    </x:row>
    <x:row r="80" ht="14.25" customHeight="1">
      <x:c r="A80" s="15" t="s">
        <x:v>1195</x:v>
      </x:c>
      <x:c r="B80" s="15" t="s">
        <x:v>1073</x:v>
      </x:c>
      <x:c r="C80" s="15" t="s">
        <x:v>13</x:v>
      </x:c>
      <x:c r="D80" s="15" t="s">
        <x:v>1196</x:v>
      </x:c>
      <x:c r="E80" s="15" t="s">
        <x:v>952</x:v>
      </x:c>
      <x:c r="F80" s="15" t="s">
        <x:v>1197</x:v>
      </x:c>
      <x:c r="G80" s="15" t="s">
        <x:v>1198</x:v>
      </x:c>
    </x:row>
    <x:row r="81" ht="14.25" customHeight="1">
      <x:c r="A81" s="15" t="s">
        <x:v>1199</x:v>
      </x:c>
      <x:c r="B81" s="15" t="s">
        <x:v>1200</x:v>
      </x:c>
      <x:c r="C81" s="15" t="s">
        <x:v>13</x:v>
      </x:c>
      <x:c r="D81" s="15" t="s">
        <x:v>1201</x:v>
      </x:c>
      <x:c r="E81" s="15" t="s">
        <x:v>1202</x:v>
      </x:c>
      <x:c r="F81" s="15" t="s">
        <x:v>1203</x:v>
      </x:c>
      <x:c r="G81" s="15" t="s">
        <x:v>1204</x:v>
      </x:c>
    </x:row>
    <x:row r="82" ht="14.25" customHeight="1">
      <x:c r="A82" s="15" t="s">
        <x:v>1205</x:v>
      </x:c>
      <x:c r="B82" s="15" t="s">
        <x:v>1116</x:v>
      </x:c>
      <x:c r="C82" s="15" t="s">
        <x:v>701</x:v>
      </x:c>
      <x:c r="D82" s="15" t="s">
        <x:v>1206</x:v>
      </x:c>
      <x:c r="E82" s="15" t="s">
        <x:v>1207</x:v>
      </x:c>
      <x:c r="F82" s="15" t="s">
        <x:v>1208</x:v>
      </x:c>
      <x:c r="G82" s="15" t="s">
        <x:v>1209</x:v>
      </x:c>
    </x:row>
    <x:row r="83" ht="14.25" customHeight="1">
      <x:c r="A83" s="15" t="s">
        <x:v>1210</x:v>
      </x:c>
      <x:c r="B83" s="15" t="s">
        <x:v>1211</x:v>
      </x:c>
      <x:c r="C83" s="15" t="s">
        <x:v>701</x:v>
      </x:c>
      <x:c r="D83" s="15" t="s">
        <x:v>1212</x:v>
      </x:c>
      <x:c r="E83" s="15" t="s">
        <x:v>1213</x:v>
      </x:c>
      <x:c r="F83" s="15" t="s">
        <x:v>1214</x:v>
      </x:c>
      <x:c r="G83" s="15" t="s">
        <x:v>1215</x:v>
      </x:c>
    </x:row>
    <x:row r="84" ht="14.25" customHeight="1">
      <x:c r="A84" s="15" t="s">
        <x:v>1216</x:v>
      </x:c>
      <x:c r="B84" s="15" t="s">
        <x:v>967</x:v>
      </x:c>
      <x:c r="C84" s="15" t="s">
        <x:v>701</x:v>
      </x:c>
      <x:c r="D84" s="15" t="s">
        <x:v>1217</x:v>
      </x:c>
      <x:c r="E84" s="15" t="s">
        <x:v>1165</x:v>
      </x:c>
      <x:c r="F84" s="15" t="s">
        <x:v>1218</x:v>
      </x:c>
      <x:c r="G84" s="15" t="s">
        <x:v>1167</x:v>
      </x:c>
    </x:row>
    <x:row r="85" ht="14.25" customHeight="1">
      <x:c r="A85" s="15" t="s">
        <x:v>1219</x:v>
      </x:c>
      <x:c r="B85" s="15" t="s">
        <x:v>967</x:v>
      </x:c>
      <x:c r="C85" s="15" t="s">
        <x:v>701</x:v>
      </x:c>
      <x:c r="D85" s="15" t="s">
        <x:v>1220</x:v>
      </x:c>
      <x:c r="E85" s="15" t="s">
        <x:v>963</x:v>
      </x:c>
      <x:c r="F85" s="15" t="s">
        <x:v>1221</x:v>
      </x:c>
      <x:c r="G85" s="15" t="s">
        <x:v>1222</x:v>
      </x:c>
    </x:row>
    <x:row r="86" ht="14.25" customHeight="1">
      <x:c r="A86" s="15" t="s">
        <x:v>1223</x:v>
      </x:c>
      <x:c r="B86" s="15" t="s">
        <x:v>1056</x:v>
      </x:c>
      <x:c r="C86" s="15" t="s">
        <x:v>701</x:v>
      </x:c>
      <x:c r="D86" s="15" t="s">
        <x:v>1224</x:v>
      </x:c>
      <x:c r="E86" s="15" t="s">
        <x:v>1093</x:v>
      </x:c>
      <x:c r="F86" s="15" t="s">
        <x:v>1225</x:v>
      </x:c>
      <x:c r="G86" s="15" t="s">
        <x:v>1095</x:v>
      </x:c>
    </x:row>
    <x:row r="87" ht="14.25" customHeight="1">
      <x:c r="A87" s="15" t="s">
        <x:v>1226</x:v>
      </x:c>
      <x:c r="B87" s="15" t="s">
        <x:v>1032</x:v>
      </x:c>
      <x:c r="C87" s="15" t="s">
        <x:v>725</x:v>
      </x:c>
      <x:c r="D87" s="15" t="s">
        <x:v>1227</x:v>
      </x:c>
      <x:c r="E87" s="15" t="s">
        <x:v>1228</x:v>
      </x:c>
      <x:c r="F87" s="15" t="s">
        <x:v>1229</x:v>
      </x:c>
      <x:c r="G87" s="15" t="s">
        <x:v>1230</x:v>
      </x:c>
    </x:row>
    <x:row r="88" ht="14.25" customHeight="1">
      <x:c r="A88" s="15" t="s">
        <x:v>1231</x:v>
      </x:c>
      <x:c r="B88" s="15" t="s">
        <x:v>1073</x:v>
      </x:c>
      <x:c r="C88" s="15" t="s">
        <x:v>725</x:v>
      </x:c>
      <x:c r="D88" s="15" t="s">
        <x:v>1232</x:v>
      </x:c>
      <x:c r="E88" s="15" t="s">
        <x:v>952</x:v>
      </x:c>
      <x:c r="F88" s="15" t="s">
        <x:v>1233</x:v>
      </x:c>
      <x:c r="G88" s="15" t="s">
        <x:v>1198</x:v>
      </x:c>
    </x:row>
    <x:row r="89" ht="14.25" customHeight="1">
      <x:c r="A89" s="15" t="s">
        <x:v>1234</x:v>
      </x:c>
      <x:c r="B89" s="15" t="s">
        <x:v>973</x:v>
      </x:c>
      <x:c r="C89" s="15" t="s">
        <x:v>725</x:v>
      </x:c>
      <x:c r="D89" s="15" t="s">
        <x:v>1235</x:v>
      </x:c>
      <x:c r="E89" s="15" t="s">
        <x:v>1192</x:v>
      </x:c>
      <x:c r="F89" s="15" t="s">
        <x:v>1236</x:v>
      </x:c>
      <x:c r="G89" s="15" t="s">
        <x:v>1237</x:v>
      </x:c>
    </x:row>
    <x:row r="90" ht="14.25" customHeight="1">
      <x:c r="A90" s="15" t="s">
        <x:v>1238</x:v>
      </x:c>
      <x:c r="B90" s="15" t="s">
        <x:v>973</x:v>
      </x:c>
      <x:c r="C90" s="15" t="s">
        <x:v>725</x:v>
      </x:c>
      <x:c r="D90" s="15" t="s">
        <x:v>1239</x:v>
      </x:c>
      <x:c r="E90" s="15" t="s">
        <x:v>912</x:v>
      </x:c>
      <x:c r="F90" s="15" t="s">
        <x:v>1240</x:v>
      </x:c>
      <x:c r="G90" s="15" t="s">
        <x:v>1241</x:v>
      </x:c>
    </x:row>
    <x:row r="91" ht="14.25" customHeight="1">
      <x:c r="A91" s="15" t="s">
        <x:v>1242</x:v>
      </x:c>
      <x:c r="B91" s="15" t="s">
        <x:v>998</x:v>
      </x:c>
      <x:c r="C91" s="15" t="s">
        <x:v>725</x:v>
      </x:c>
      <x:c r="D91" s="15" t="s">
        <x:v>1243</x:v>
      </x:c>
      <x:c r="E91" s="15" t="s">
        <x:v>1244</x:v>
      </x:c>
      <x:c r="F91" s="15" t="s">
        <x:v>1245</x:v>
      </x:c>
      <x:c r="G91" s="15" t="s">
        <x:v>1230</x:v>
      </x:c>
    </x:row>
    <x:row r="92" ht="14.25" customHeight="1">
      <x:c r="A92" s="15" t="s">
        <x:v>1246</x:v>
      </x:c>
      <x:c r="B92" s="15" t="s">
        <x:v>973</x:v>
      </x:c>
      <x:c r="C92" s="15" t="s">
        <x:v>746</x:v>
      </x:c>
      <x:c r="D92" s="15" t="s">
        <x:v>1247</x:v>
      </x:c>
      <x:c r="E92" s="15" t="s">
        <x:v>1248</x:v>
      </x:c>
      <x:c r="F92" s="15" t="s">
        <x:v>1249</x:v>
      </x:c>
      <x:c r="G92" s="15" t="s">
        <x:v>1250</x:v>
      </x:c>
    </x:row>
    <x:row r="93" ht="14.25" customHeight="1">
      <x:c r="A93" s="15" t="s">
        <x:v>1251</x:v>
      </x:c>
      <x:c r="B93" s="15" t="s">
        <x:v>973</x:v>
      </x:c>
      <x:c r="C93" s="15" t="s">
        <x:v>746</x:v>
      </x:c>
      <x:c r="D93" s="15" t="s">
        <x:v>1252</x:v>
      </x:c>
      <x:c r="E93" s="15" t="s">
        <x:v>1248</x:v>
      </x:c>
      <x:c r="F93" s="15" t="s">
        <x:v>1253</x:v>
      </x:c>
      <x:c r="G93" s="15" t="s">
        <x:v>1254</x:v>
      </x:c>
    </x:row>
    <x:row r="94" ht="14.25" customHeight="1">
      <x:c r="A94" s="15" t="s">
        <x:v>1255</x:v>
      </x:c>
      <x:c r="B94" s="15" t="s">
        <x:v>1116</x:v>
      </x:c>
      <x:c r="C94" s="15" t="s">
        <x:v>746</x:v>
      </x:c>
      <x:c r="D94" s="15" t="s">
        <x:v>1256</x:v>
      </x:c>
      <x:c r="E94" s="15" t="s">
        <x:v>1207</x:v>
      </x:c>
      <x:c r="F94" s="15" t="s">
        <x:v>1257</x:v>
      </x:c>
      <x:c r="G94" s="15" t="s">
        <x:v>1258</x:v>
      </x:c>
    </x:row>
    <x:row r="95" ht="14.25" customHeight="1">
      <x:c r="A95" s="15" t="s">
        <x:v>1259</x:v>
      </x:c>
      <x:c r="B95" s="15" t="s">
        <x:v>973</x:v>
      </x:c>
      <x:c r="C95" s="15" t="s">
        <x:v>746</x:v>
      </x:c>
      <x:c r="D95" s="15" t="s">
        <x:v>1260</x:v>
      </x:c>
      <x:c r="E95" s="15" t="s">
        <x:v>1261</x:v>
      </x:c>
      <x:c r="F95" s="15" t="s">
        <x:v>1262</x:v>
      </x:c>
      <x:c r="G95" s="15" t="s">
        <x:v>1263</x:v>
      </x:c>
    </x:row>
    <x:row r="96" ht="14.25" customHeight="1">
      <x:c r="A96" s="15" t="s">
        <x:v>1264</x:v>
      </x:c>
      <x:c r="B96" s="15" t="s">
        <x:v>1073</x:v>
      </x:c>
      <x:c r="C96" s="15" t="s">
        <x:v>746</x:v>
      </x:c>
      <x:c r="D96" s="15" t="s">
        <x:v>1265</x:v>
      </x:c>
      <x:c r="E96" s="15" t="s">
        <x:v>952</x:v>
      </x:c>
      <x:c r="F96" s="15" t="s">
        <x:v>1266</x:v>
      </x:c>
      <x:c r="G96" s="15" t="s">
        <x:v>1198</x:v>
      </x:c>
    </x:row>
    <x:row r="97" ht="14.25" customHeight="1">
      <x:c r="A97" s="15" t="s">
        <x:v>1267</x:v>
      </x:c>
      <x:c r="B97" s="15" t="s">
        <x:v>973</x:v>
      </x:c>
      <x:c r="C97" s="15" t="s">
        <x:v>766</x:v>
      </x:c>
      <x:c r="D97" s="15" t="s">
        <x:v>1268</x:v>
      </x:c>
      <x:c r="E97" s="15" t="s">
        <x:v>1101</x:v>
      </x:c>
      <x:c r="F97" s="15" t="s">
        <x:v>1269</x:v>
      </x:c>
      <x:c r="G97" s="15" t="s">
        <x:v>1270</x:v>
      </x:c>
    </x:row>
    <x:row r="98" ht="14.25" customHeight="1">
      <x:c r="A98" s="15" t="s">
        <x:v>1271</x:v>
      </x:c>
      <x:c r="B98" s="15" t="s">
        <x:v>973</x:v>
      </x:c>
      <x:c r="C98" s="15" t="s">
        <x:v>766</x:v>
      </x:c>
      <x:c r="D98" s="15" t="s">
        <x:v>1272</x:v>
      </x:c>
      <x:c r="E98" s="15" t="s">
        <x:v>1273</x:v>
      </x:c>
      <x:c r="F98" s="15" t="s">
        <x:v>1274</x:v>
      </x:c>
      <x:c r="G98" s="15" t="s">
        <x:v>1275</x:v>
      </x:c>
    </x:row>
    <x:row r="99" ht="14.25" customHeight="1">
      <x:c r="A99" s="15" t="s">
        <x:v>1276</x:v>
      </x:c>
      <x:c r="B99" s="15" t="s">
        <x:v>973</x:v>
      </x:c>
      <x:c r="C99" s="15" t="s">
        <x:v>766</x:v>
      </x:c>
      <x:c r="D99" s="15" t="s">
        <x:v>1277</x:v>
      </x:c>
      <x:c r="E99" s="15" t="s">
        <x:v>912</x:v>
      </x:c>
      <x:c r="F99" s="15" t="s">
        <x:v>1278</x:v>
      </x:c>
      <x:c r="G99" s="15" t="s">
        <x:v>1279</x:v>
      </x:c>
    </x:row>
    <x:row r="100" ht="14.25" customHeight="1">
      <x:c r="A100" s="15" t="s">
        <x:v>1280</x:v>
      </x:c>
      <x:c r="B100" s="15" t="s">
        <x:v>973</x:v>
      </x:c>
      <x:c r="C100" s="15" t="s">
        <x:v>766</x:v>
      </x:c>
      <x:c r="D100" s="15" t="s">
        <x:v>1281</x:v>
      </x:c>
      <x:c r="E100" s="15" t="s">
        <x:v>912</x:v>
      </x:c>
      <x:c r="F100" s="15" t="s">
        <x:v>1282</x:v>
      </x:c>
      <x:c r="G100" s="15" t="s">
        <x:v>1283</x:v>
      </x:c>
    </x:row>
    <x:row r="101" ht="14.25" customHeight="1">
      <x:c r="A101" s="15" t="s">
        <x:v>1284</x:v>
      </x:c>
      <x:c r="B101" s="15" t="s">
        <x:v>1073</x:v>
      </x:c>
      <x:c r="C101" s="15" t="s">
        <x:v>766</x:v>
      </x:c>
      <x:c r="D101" s="15" t="s">
        <x:v>1285</x:v>
      </x:c>
      <x:c r="E101" s="15" t="s">
        <x:v>952</x:v>
      </x:c>
      <x:c r="F101" s="15" t="s">
        <x:v>1286</x:v>
      </x:c>
      <x:c r="G101" s="15" t="s">
        <x:v>1287</x:v>
      </x:c>
    </x:row>
    <x:row r="102" ht="14.25" customHeight="1">
      <x:c r="A102" s="15" t="s">
        <x:v>1288</x:v>
      </x:c>
      <x:c r="B102" s="15" t="s">
        <x:v>973</x:v>
      </x:c>
      <x:c r="C102" s="15" t="s">
        <x:v>787</x:v>
      </x:c>
      <x:c r="D102" s="15" t="s">
        <x:v>1289</x:v>
      </x:c>
      <x:c r="E102" s="15" t="s">
        <x:v>1125</x:v>
      </x:c>
      <x:c r="F102" s="15" t="s">
        <x:v>1290</x:v>
      </x:c>
      <x:c r="G102" s="15" t="s">
        <x:v>1291</x:v>
      </x:c>
    </x:row>
    <x:row r="103" ht="14.25" customHeight="1">
      <x:c r="A103" s="15" t="s">
        <x:v>1292</x:v>
      </x:c>
      <x:c r="B103" s="15" t="s">
        <x:v>998</x:v>
      </x:c>
      <x:c r="C103" s="15" t="s">
        <x:v>787</x:v>
      </x:c>
      <x:c r="D103" s="15" t="s">
        <x:v>1293</x:v>
      </x:c>
      <x:c r="E103" s="15" t="s">
        <x:v>1000</x:v>
      </x:c>
      <x:c r="F103" s="15" t="s">
        <x:v>1294</x:v>
      </x:c>
      <x:c r="G103" s="15" t="s">
        <x:v>1002</x:v>
      </x:c>
    </x:row>
    <x:row r="104" ht="14.25" customHeight="1">
      <x:c r="A104" s="15" t="s">
        <x:v>1295</x:v>
      </x:c>
      <x:c r="B104" s="15" t="s">
        <x:v>998</x:v>
      </x:c>
      <x:c r="C104" s="15" t="s">
        <x:v>787</x:v>
      </x:c>
      <x:c r="D104" s="15" t="s">
        <x:v>1296</x:v>
      </x:c>
      <x:c r="E104" s="15" t="s">
        <x:v>1297</x:v>
      </x:c>
      <x:c r="F104" s="15" t="s">
        <x:v>1298</x:v>
      </x:c>
      <x:c r="G104" s="15" t="s">
        <x:v>1299</x:v>
      </x:c>
    </x:row>
    <x:row r="105" ht="14.25" customHeight="1">
      <x:c r="A105" s="15" t="s">
        <x:v>1300</x:v>
      </x:c>
      <x:c r="B105" s="15" t="s">
        <x:v>973</x:v>
      </x:c>
      <x:c r="C105" s="15" t="s">
        <x:v>787</x:v>
      </x:c>
      <x:c r="D105" s="15" t="s">
        <x:v>1301</x:v>
      </x:c>
      <x:c r="E105" s="15" t="s">
        <x:v>1125</x:v>
      </x:c>
      <x:c r="F105" s="15" t="s">
        <x:v>1302</x:v>
      </x:c>
      <x:c r="G105" s="15" t="s">
        <x:v>1127</x:v>
      </x:c>
    </x:row>
    <x:row r="106" ht="14.25" customHeight="1">
      <x:c r="A106" s="15" t="s">
        <x:v>1303</x:v>
      </x:c>
      <x:c r="B106" s="15" t="s">
        <x:v>1073</x:v>
      </x:c>
      <x:c r="C106" s="15" t="s">
        <x:v>787</x:v>
      </x:c>
      <x:c r="D106" s="15" t="s">
        <x:v>1304</x:v>
      </x:c>
      <x:c r="E106" s="15" t="s">
        <x:v>952</x:v>
      </x:c>
      <x:c r="F106" s="15" t="s">
        <x:v>1305</x:v>
      </x:c>
      <x:c r="G106" s="15" t="s">
        <x:v>1306</x:v>
      </x:c>
    </x:row>
    <x:row r="107" ht="14.25" customHeight="1">
      <x:c r="A107" s="15" t="s">
        <x:v>1307</x:v>
      </x:c>
      <x:c r="B107" s="15" t="s">
        <x:v>1056</x:v>
      </x:c>
      <x:c r="C107" s="15" t="s">
        <x:v>805</x:v>
      </x:c>
      <x:c r="D107" s="15" t="s">
        <x:v>1308</x:v>
      </x:c>
      <x:c r="E107" s="15" t="s">
        <x:v>1309</x:v>
      </x:c>
      <x:c r="F107" s="15" t="s">
        <x:v>1310</x:v>
      </x:c>
      <x:c r="G107" s="15" t="s">
        <x:v>1311</x:v>
      </x:c>
    </x:row>
    <x:row r="108" ht="14.25" customHeight="1">
      <x:c r="A108" s="15" t="s">
        <x:v>1312</x:v>
      </x:c>
      <x:c r="B108" s="15" t="s">
        <x:v>973</x:v>
      </x:c>
      <x:c r="C108" s="15" t="s">
        <x:v>805</x:v>
      </x:c>
      <x:c r="D108" s="15" t="s">
        <x:v>1313</x:v>
      </x:c>
      <x:c r="E108" s="15" t="s">
        <x:v>881</x:v>
      </x:c>
      <x:c r="F108" s="15" t="s">
        <x:v>1314</x:v>
      </x:c>
      <x:c r="G108" s="15" t="s">
        <x:v>1315</x:v>
      </x:c>
    </x:row>
    <x:row r="109" ht="14.25" customHeight="1">
      <x:c r="A109" s="15" t="s">
        <x:v>1238</x:v>
      </x:c>
      <x:c r="B109" s="15" t="s">
        <x:v>973</x:v>
      </x:c>
      <x:c r="C109" s="15" t="s">
        <x:v>805</x:v>
      </x:c>
      <x:c r="D109" s="15" t="s">
        <x:v>1316</x:v>
      </x:c>
      <x:c r="E109" s="15" t="s">
        <x:v>912</x:v>
      </x:c>
      <x:c r="F109" s="15" t="s">
        <x:v>1317</x:v>
      </x:c>
      <x:c r="G109" s="15" t="s">
        <x:v>1241</x:v>
      </x:c>
    </x:row>
    <x:row r="110" ht="14.25" customHeight="1">
      <x:c r="A110" s="15" t="s">
        <x:v>1318</x:v>
      </x:c>
      <x:c r="B110" s="15" t="s">
        <x:v>998</x:v>
      </x:c>
      <x:c r="C110" s="15" t="s">
        <x:v>805</x:v>
      </x:c>
      <x:c r="D110" s="15" t="s">
        <x:v>1319</x:v>
      </x:c>
      <x:c r="E110" s="15" t="s">
        <x:v>932</x:v>
      </x:c>
      <x:c r="F110" s="15" t="s">
        <x:v>1320</x:v>
      </x:c>
      <x:c r="G110" s="15" t="s">
        <x:v>1321</x:v>
      </x:c>
    </x:row>
    <x:row r="111" ht="14.25" customHeight="1">
      <x:c r="A111" s="15" t="s">
        <x:v>1322</x:v>
      </x:c>
      <x:c r="B111" s="15" t="s">
        <x:v>1056</x:v>
      </x:c>
      <x:c r="C111" s="15" t="s">
        <x:v>805</x:v>
      </x:c>
      <x:c r="D111" s="15" t="s">
        <x:v>1323</x:v>
      </x:c>
      <x:c r="E111" s="15" t="s">
        <x:v>1093</x:v>
      </x:c>
      <x:c r="F111" s="15" t="s">
        <x:v>1324</x:v>
      </x:c>
      <x:c r="G111" s="15" t="s">
        <x:v>1149</x:v>
      </x:c>
    </x:row>
    <x:row r="112" ht="14.25" customHeight="1"/>
    <x:row r="113" ht="14.25" customHeight="1"/>
    <x:row r="114" ht="14.25" customHeight="1"/>
    <x:row r="115" ht="14.25" customHeight="1"/>
    <x:row r="116" ht="14.25" customHeight="1"/>
    <x:row r="117" ht="14.25" customHeight="1"/>
    <x:row r="118" ht="14.25" customHeight="1"/>
    <x:row r="119" ht="14.25" customHeight="1"/>
    <x:row r="120" ht="14.25" customHeight="1"/>
    <x:row r="121" ht="14.25" customHeight="1"/>
    <x:row r="122" ht="14.25" customHeight="1"/>
    <x:row r="123" ht="14.25" customHeight="1"/>
    <x:row r="124" ht="14.25" customHeight="1"/>
    <x:row r="125" ht="14.25" customHeight="1"/>
    <x:row r="126" ht="14.25" customHeight="1"/>
    <x:row r="127" ht="14.25" customHeight="1"/>
    <x:row r="128" ht="14.25" customHeight="1"/>
    <x:row r="129" ht="14.25" customHeight="1"/>
    <x:row r="130" ht="14.25" customHeight="1"/>
    <x:row r="131" ht="14.25" customHeight="1"/>
    <x:row r="132" ht="14.25" customHeight="1"/>
    <x:row r="133" ht="14.25" customHeight="1"/>
    <x:row r="134" ht="14.25" customHeight="1"/>
    <x:row r="135" ht="14.25" customHeight="1"/>
    <x:row r="136" ht="14.25" customHeight="1"/>
    <x:row r="137" ht="14.25" customHeight="1"/>
    <x:row r="138" ht="14.25" customHeight="1"/>
    <x:row r="139" ht="14.25" customHeight="1"/>
    <x:row r="140" ht="14.25" customHeight="1"/>
    <x:row r="141" ht="14.25" customHeight="1"/>
    <x:row r="142" ht="14.25" customHeight="1"/>
    <x:row r="143" ht="14.25" customHeight="1"/>
    <x:row r="144" ht="14.25" customHeight="1"/>
    <x:row r="145" ht="14.25" customHeight="1"/>
    <x:row r="146" ht="14.25" customHeight="1"/>
    <x:row r="147" ht="14.25" customHeight="1"/>
    <x:row r="148" ht="14.25" customHeight="1"/>
    <x:row r="149" ht="14.25" customHeight="1"/>
    <x:row r="150" ht="14.25" customHeight="1"/>
    <x:row r="151" ht="14.25" customHeight="1"/>
    <x:row r="152" ht="14.25" customHeight="1"/>
    <x:row r="153" ht="14.25" customHeight="1"/>
    <x:row r="154" ht="14.25" customHeight="1"/>
    <x:row r="155" ht="14.25" customHeight="1"/>
    <x:row r="156" ht="14.25" customHeight="1"/>
    <x:row r="157" ht="14.25" customHeight="1"/>
    <x:row r="158" ht="14.25" customHeight="1"/>
    <x:row r="159" ht="14.25" customHeight="1"/>
    <x:row r="160" ht="14.25" customHeight="1"/>
    <x:row r="161" ht="14.25" customHeight="1"/>
    <x:row r="162" ht="14.25" customHeight="1"/>
    <x:row r="163" ht="14.25" customHeight="1"/>
    <x:row r="164" ht="14.25" customHeight="1"/>
    <x:row r="165" ht="14.25" customHeight="1"/>
    <x:row r="166" ht="14.25" customHeight="1"/>
    <x:row r="167" ht="14.25" customHeight="1"/>
    <x:row r="168" ht="14.25" customHeight="1"/>
    <x:row r="169" ht="14.25" customHeight="1"/>
    <x:row r="170" ht="14.25" customHeight="1"/>
    <x:row r="171" ht="14.25" customHeight="1"/>
    <x:row r="172" ht="14.25" customHeight="1"/>
    <x:row r="173" ht="14.25" customHeight="1"/>
    <x:row r="174" ht="14.25" customHeight="1"/>
    <x:row r="175" ht="14.25" customHeight="1"/>
    <x:row r="176" ht="14.25" customHeight="1"/>
    <x:row r="177" ht="14.25" customHeight="1"/>
    <x:row r="178" ht="14.25" customHeight="1"/>
    <x:row r="179" ht="14.25" customHeight="1"/>
    <x:row r="180" ht="14.25" customHeight="1"/>
    <x:row r="181" ht="14.25" customHeight="1"/>
    <x:row r="182" ht="14.25" customHeight="1"/>
    <x:row r="183" ht="14.25" customHeight="1"/>
    <x:row r="184" ht="14.25" customHeight="1"/>
    <x:row r="185" ht="14.25" customHeight="1"/>
    <x:row r="186" ht="14.25" customHeight="1"/>
    <x:row r="187" ht="14.25" customHeight="1"/>
    <x:row r="188" ht="14.25" customHeight="1"/>
    <x:row r="189" ht="14.25" customHeight="1"/>
    <x:row r="190" ht="14.25" customHeight="1"/>
    <x:row r="191" ht="14.25" customHeight="1"/>
    <x:row r="192" ht="14.25" customHeight="1"/>
    <x:row r="193" ht="14.25" customHeight="1"/>
    <x:row r="194" ht="14.25" customHeight="1"/>
    <x:row r="195" ht="14.25" customHeight="1"/>
    <x:row r="196" ht="14.25" customHeight="1"/>
    <x:row r="197" ht="14.25" customHeight="1"/>
    <x:row r="198" ht="14.25" customHeight="1"/>
    <x:row r="199" ht="14.25" customHeight="1"/>
    <x:row r="200" ht="14.25" customHeight="1"/>
    <x:row r="201" ht="14.25" customHeight="1"/>
    <x:row r="202" ht="14.25" customHeight="1"/>
    <x:row r="203" ht="14.25" customHeight="1"/>
    <x:row r="204" ht="14.25" customHeight="1"/>
    <x:row r="205" ht="14.25" customHeight="1"/>
    <x:row r="206" ht="14.25" customHeight="1"/>
    <x:row r="207" ht="14.25" customHeight="1"/>
    <x:row r="208" ht="14.25" customHeight="1"/>
    <x:row r="209" ht="14.25" customHeight="1"/>
    <x:row r="210" ht="14.25" customHeight="1"/>
    <x:row r="211" ht="14.25" customHeight="1"/>
    <x:row r="212" ht="14.25" customHeight="1"/>
    <x:row r="213" ht="14.25" customHeight="1"/>
    <x:row r="214" ht="14.25" customHeight="1"/>
    <x:row r="215" ht="14.25" customHeight="1"/>
    <x:row r="216" ht="14.25" customHeight="1"/>
    <x:row r="217" ht="14.25" customHeight="1"/>
    <x:row r="218" ht="14.25" customHeight="1"/>
    <x:row r="219" ht="14.25" customHeight="1"/>
    <x:row r="220" ht="14.25" customHeight="1"/>
    <x:row r="221" ht="14.25" customHeight="1"/>
    <x:row r="222" ht="14.25" customHeight="1"/>
    <x:row r="223" ht="14.25" customHeight="1"/>
    <x:row r="224" ht="14.25" customHeight="1"/>
    <x:row r="225" ht="14.2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pageMargins left="0.7" right="0.7" top="0.75" bottom="0.75" header="0.3" footer="0.3"/>
</x:worksheet>
</file>

<file path=xl/worksheets/sheet11.xml><?xml version="1.0" encoding="utf-8"?>
<x:worksheet xmlns:x="http://schemas.openxmlformats.org/spreadsheetml/2006/main">
  <x:sheetFormatPr defaultColWidth="12.630000114440918" defaultRowHeight="15"/>
  <x:cols>
    <x:col min="1" max="1" width="23.75" customWidth="1"/>
    <x:col min="2" max="2" width="12.25" customWidth="1"/>
    <x:col min="3" max="3" width="10" customWidth="1"/>
    <x:col min="4" max="4" width="135.1300048828125" customWidth="1"/>
    <x:col min="5" max="5" width="19.1299991607666" customWidth="1"/>
    <x:col min="6" max="6" width="38.5" customWidth="1"/>
    <x:col min="7" max="7" width="113.5" customWidth="1"/>
  </x:cols>
  <x:sheetData>
    <x:row r="1" ht="14.25" customHeight="1">
      <x:c r="A1" s="33" t="s">
        <x:v>5</x:v>
      </x:c>
      <x:c r="B1" s="33"/>
      <x:c r="C1" s="33"/>
      <x:c r="D1" s="33"/>
      <x:c r="E1" s="33"/>
      <x:c r="F1" s="33"/>
      <x:c r="G1" s="33"/>
    </x:row>
    <x:row r="2" ht="14.25" customHeight="1">
      <x:c r="A2" s="15" t="s">
        <x:v>1325</x:v>
      </x:c>
      <x:c r="B2" s="15" t="s">
        <x:v>361</x:v>
      </x:c>
      <x:c r="C2" s="15" t="s">
        <x:v>362</x:v>
      </x:c>
      <x:c r="D2" s="15" t="s">
        <x:v>1326</x:v>
      </x:c>
      <x:c r="E2" s="15" t="s">
        <x:v>1327</x:v>
      </x:c>
      <x:c r="F2" s="15" t="s">
        <x:v>1328</x:v>
      </x:c>
      <x:c r="G2" s="15" t="s">
        <x:v>1329</x:v>
      </x:c>
    </x:row>
    <x:row r="3" ht="14.25" customHeight="1">
      <x:c r="A3" s="15" t="s">
        <x:v>1330</x:v>
      </x:c>
      <x:c r="B3" s="15" t="s">
        <x:v>361</x:v>
      </x:c>
      <x:c r="C3" s="15" t="s">
        <x:v>362</x:v>
      </x:c>
      <x:c r="D3" s="15" t="s">
        <x:v>1331</x:v>
      </x:c>
      <x:c r="E3" s="15" t="s">
        <x:v>1327</x:v>
      </x:c>
      <x:c r="F3" s="15" t="s">
        <x:v>1332</x:v>
      </x:c>
      <x:c r="G3" s="15" t="s">
        <x:v>1333</x:v>
      </x:c>
    </x:row>
    <x:row r="4" ht="14.25" customHeight="1">
      <x:c r="A4" s="15" t="s">
        <x:v>1334</x:v>
      </x:c>
      <x:c r="B4" s="15" t="s">
        <x:v>1335</x:v>
      </x:c>
      <x:c r="C4" s="15" t="s">
        <x:v>362</x:v>
      </x:c>
      <x:c r="D4" s="15" t="s">
        <x:v>1336</x:v>
      </x:c>
      <x:c r="E4" s="15" t="s">
        <x:v>1327</x:v>
      </x:c>
      <x:c r="F4" s="15" t="s">
        <x:v>1337</x:v>
      </x:c>
      <x:c r="G4" s="15" t="s">
        <x:v>1338</x:v>
      </x:c>
    </x:row>
    <x:row r="5" ht="14.25" customHeight="1">
      <x:c r="A5" s="15" t="s">
        <x:v>1339</x:v>
      </x:c>
      <x:c r="B5" s="15" t="s">
        <x:v>710</x:v>
      </x:c>
      <x:c r="C5" s="15" t="s">
        <x:v>362</x:v>
      </x:c>
      <x:c r="D5" s="15" t="s">
        <x:v>1340</x:v>
      </x:c>
      <x:c r="E5" s="15" t="s">
        <x:v>1341</x:v>
      </x:c>
      <x:c r="F5" s="15" t="s">
        <x:v>1342</x:v>
      </x:c>
      <x:c r="G5" s="15" t="s">
        <x:v>1343</x:v>
      </x:c>
    </x:row>
    <x:row r="6" ht="14.25" customHeight="1">
      <x:c r="A6" s="15" t="s">
        <x:v>1344</x:v>
      </x:c>
      <x:c r="B6" s="15" t="s">
        <x:v>1345</x:v>
      </x:c>
      <x:c r="C6" s="15" t="s">
        <x:v>362</x:v>
      </x:c>
      <x:c r="D6" s="15" t="s">
        <x:v>1346</x:v>
      </x:c>
      <x:c r="E6" s="15" t="s">
        <x:v>1347</x:v>
      </x:c>
      <x:c r="F6" s="15" t="s">
        <x:v>1348</x:v>
      </x:c>
      <x:c r="G6" s="15" t="s">
        <x:v>1349</x:v>
      </x:c>
    </x:row>
    <x:row r="7" ht="14.25" customHeight="1">
      <x:c r="A7" s="15" t="s">
        <x:v>1350</x:v>
      </x:c>
      <x:c r="B7" s="15" t="s">
        <x:v>561</x:v>
      </x:c>
      <x:c r="C7" s="15" t="s">
        <x:v>362</x:v>
      </x:c>
      <x:c r="D7" s="15" t="s">
        <x:v>1351</x:v>
      </x:c>
      <x:c r="E7" s="15" t="s">
        <x:v>1341</x:v>
      </x:c>
      <x:c r="F7" s="15" t="s">
        <x:v>1352</x:v>
      </x:c>
      <x:c r="G7" s="15" t="s">
        <x:v>1353</x:v>
      </x:c>
    </x:row>
    <x:row r="8" ht="14.25" customHeight="1">
      <x:c r="A8" s="15" t="s">
        <x:v>1354</x:v>
      </x:c>
      <x:c r="B8" s="15" t="s">
        <x:v>386</x:v>
      </x:c>
      <x:c r="C8" s="15" t="s">
        <x:v>362</x:v>
      </x:c>
      <x:c r="D8" s="15" t="s">
        <x:v>1355</x:v>
      </x:c>
      <x:c r="E8" s="15" t="s">
        <x:v>1356</x:v>
      </x:c>
      <x:c r="F8" s="15" t="s">
        <x:v>1357</x:v>
      </x:c>
      <x:c r="G8" s="15" t="s">
        <x:v>1358</x:v>
      </x:c>
    </x:row>
    <x:row r="9" ht="14.25" customHeight="1">
      <x:c r="A9" s="15" t="s">
        <x:v>1359</x:v>
      </x:c>
      <x:c r="B9" s="15" t="s">
        <x:v>386</x:v>
      </x:c>
      <x:c r="C9" s="15" t="s">
        <x:v>362</x:v>
      </x:c>
      <x:c r="D9" s="15" t="s">
        <x:v>1360</x:v>
      </x:c>
      <x:c r="E9" s="15" t="s">
        <x:v>1356</x:v>
      </x:c>
      <x:c r="F9" s="15" t="s">
        <x:v>1361</x:v>
      </x:c>
      <x:c r="G9" s="15" t="s">
        <x:v>1362</x:v>
      </x:c>
    </x:row>
    <x:row r="10" ht="14.25" customHeight="1">
      <x:c r="A10" s="15" t="s">
        <x:v>1363</x:v>
      </x:c>
      <x:c r="B10" s="15" t="s">
        <x:v>404</x:v>
      </x:c>
      <x:c r="C10" s="15" t="s">
        <x:v>362</x:v>
      </x:c>
      <x:c r="D10" s="15" t="s">
        <x:v>1364</x:v>
      </x:c>
      <x:c r="E10" s="15" t="s">
        <x:v>1356</x:v>
      </x:c>
      <x:c r="F10" s="15" t="s">
        <x:v>1365</x:v>
      </x:c>
      <x:c r="G10" s="15" t="s">
        <x:v>1366</x:v>
      </x:c>
    </x:row>
    <x:row r="11" ht="14.25" customHeight="1">
      <x:c r="A11" s="15" t="s">
        <x:v>1367</x:v>
      </x:c>
      <x:c r="B11" s="15" t="s">
        <x:v>386</x:v>
      </x:c>
      <x:c r="C11" s="15" t="s">
        <x:v>362</x:v>
      </x:c>
      <x:c r="D11" s="15" t="s">
        <x:v>1368</x:v>
      </x:c>
      <x:c r="E11" s="15" t="s">
        <x:v>1356</x:v>
      </x:c>
      <x:c r="F11" s="15" t="s">
        <x:v>1369</x:v>
      </x:c>
      <x:c r="G11" s="15" t="s">
        <x:v>1370</x:v>
      </x:c>
    </x:row>
    <x:row r="12" ht="14.25" customHeight="1">
      <x:c r="A12" s="15" t="s">
        <x:v>1371</x:v>
      </x:c>
      <x:c r="B12" s="15" t="s">
        <x:v>409</x:v>
      </x:c>
      <x:c r="C12" s="15" t="s">
        <x:v>362</x:v>
      </x:c>
      <x:c r="D12" s="15" t="s">
        <x:v>1372</x:v>
      </x:c>
      <x:c r="E12" s="15" t="s">
        <x:v>1373</x:v>
      </x:c>
      <x:c r="F12" s="15" t="s">
        <x:v>1374</x:v>
      </x:c>
      <x:c r="G12" s="15" t="s">
        <x:v>1375</x:v>
      </x:c>
    </x:row>
    <x:row r="13" ht="14.25" customHeight="1">
      <x:c r="A13" s="15" t="s">
        <x:v>1376</x:v>
      </x:c>
      <x:c r="B13" s="15" t="s">
        <x:v>404</x:v>
      </x:c>
      <x:c r="C13" s="15" t="s">
        <x:v>362</x:v>
      </x:c>
      <x:c r="D13" s="15" t="s">
        <x:v>1377</x:v>
      </x:c>
      <x:c r="E13" s="15" t="s">
        <x:v>1356</x:v>
      </x:c>
      <x:c r="F13" s="15" t="s">
        <x:v>1378</x:v>
      </x:c>
      <x:c r="G13" s="15" t="s">
        <x:v>1379</x:v>
      </x:c>
    </x:row>
    <x:row r="14" ht="14.25" customHeight="1">
      <x:c r="A14" s="15" t="s">
        <x:v>1380</x:v>
      </x:c>
      <x:c r="B14" s="15" t="s">
        <x:v>556</x:v>
      </x:c>
      <x:c r="C14" s="15" t="s">
        <x:v>362</x:v>
      </x:c>
      <x:c r="D14" s="15" t="s">
        <x:v>1381</x:v>
      </x:c>
      <x:c r="E14" s="15" t="s">
        <x:v>1356</x:v>
      </x:c>
      <x:c r="F14" s="15" t="s">
        <x:v>1382</x:v>
      </x:c>
      <x:c r="G14" s="15" t="s">
        <x:v>1383</x:v>
      </x:c>
    </x:row>
    <x:row r="15" ht="14.25" customHeight="1">
      <x:c r="A15" s="15" t="s">
        <x:v>1384</x:v>
      </x:c>
      <x:c r="B15" s="15" t="s">
        <x:v>1385</x:v>
      </x:c>
      <x:c r="C15" s="15" t="s">
        <x:v>362</x:v>
      </x:c>
      <x:c r="D15" s="15" t="s">
        <x:v>1386</x:v>
      </x:c>
      <x:c r="E15" s="15" t="s">
        <x:v>1387</x:v>
      </x:c>
      <x:c r="F15" s="15" t="s">
        <x:v>1388</x:v>
      </x:c>
      <x:c r="G15" s="15" t="s">
        <x:v>1389</x:v>
      </x:c>
    </x:row>
    <x:row r="16" ht="14.25" customHeight="1">
      <x:c r="A16" s="15" t="s">
        <x:v>1390</x:v>
      </x:c>
      <x:c r="B16" s="15" t="s">
        <x:v>1391</x:v>
      </x:c>
      <x:c r="C16" s="15" t="s">
        <x:v>362</x:v>
      </x:c>
      <x:c r="D16" s="15" t="s">
        <x:v>1392</x:v>
      </x:c>
      <x:c r="E16" s="15" t="s">
        <x:v>1393</x:v>
      </x:c>
      <x:c r="F16" s="15" t="s">
        <x:v>1394</x:v>
      </x:c>
      <x:c r="G16" s="15" t="s">
        <x:v>1395</x:v>
      </x:c>
    </x:row>
    <x:row r="17" ht="14.25" customHeight="1">
      <x:c r="A17" s="15" t="s">
        <x:v>1396</x:v>
      </x:c>
      <x:c r="B17" s="15" t="s">
        <x:v>1397</x:v>
      </x:c>
      <x:c r="C17" s="15" t="s">
        <x:v>362</x:v>
      </x:c>
      <x:c r="D17" s="15" t="s">
        <x:v>1398</x:v>
      </x:c>
      <x:c r="E17" s="15" t="s">
        <x:v>1399</x:v>
      </x:c>
      <x:c r="F17" s="15" t="s">
        <x:v>1400</x:v>
      </x:c>
      <x:c r="G17" s="15" t="s">
        <x:v>1401</x:v>
      </x:c>
    </x:row>
    <x:row r="18" ht="14.25" customHeight="1">
      <x:c r="A18" s="15" t="s">
        <x:v>1402</x:v>
      </x:c>
      <x:c r="B18" s="15" t="s">
        <x:v>1403</x:v>
      </x:c>
      <x:c r="C18" s="15" t="s">
        <x:v>362</x:v>
      </x:c>
      <x:c r="D18" s="15" t="s">
        <x:v>1404</x:v>
      </x:c>
      <x:c r="E18" s="15" t="s">
        <x:v>1405</x:v>
      </x:c>
      <x:c r="F18" s="15" t="s">
        <x:v>1406</x:v>
      </x:c>
      <x:c r="G18" s="15" t="s">
        <x:v>1407</x:v>
      </x:c>
    </x:row>
    <x:row r="19" ht="14.25" customHeight="1">
      <x:c r="A19" s="15" t="s">
        <x:v>1408</x:v>
      </x:c>
      <x:c r="B19" s="15" t="s">
        <x:v>1409</x:v>
      </x:c>
      <x:c r="C19" s="15" t="s">
        <x:v>362</x:v>
      </x:c>
      <x:c r="D19" s="15" t="s">
        <x:v>1410</x:v>
      </x:c>
      <x:c r="E19" s="15" t="s">
        <x:v>1411</x:v>
      </x:c>
      <x:c r="F19" s="15" t="s">
        <x:v>1412</x:v>
      </x:c>
      <x:c r="G19" s="15" t="s">
        <x:v>1413</x:v>
      </x:c>
    </x:row>
    <x:row r="20" ht="14.25" customHeight="1">
      <x:c r="A20" s="15" t="s">
        <x:v>1414</x:v>
      </x:c>
      <x:c r="B20" s="15" t="s">
        <x:v>454</x:v>
      </x:c>
      <x:c r="C20" s="15" t="s">
        <x:v>362</x:v>
      </x:c>
      <x:c r="D20" s="15" t="s">
        <x:v>1415</x:v>
      </x:c>
      <x:c r="E20" s="15" t="s">
        <x:v>1416</x:v>
      </x:c>
      <x:c r="F20" s="15" t="s">
        <x:v>1417</x:v>
      </x:c>
      <x:c r="G20" s="15" t="s">
        <x:v>1418</x:v>
      </x:c>
    </x:row>
    <x:row r="21" ht="14.25" customHeight="1">
      <x:c r="A21" s="15" t="s">
        <x:v>1419</x:v>
      </x:c>
      <x:c r="B21" s="15" t="s">
        <x:v>1420</x:v>
      </x:c>
      <x:c r="C21" s="15" t="s">
        <x:v>362</x:v>
      </x:c>
      <x:c r="D21" s="15" t="s">
        <x:v>1421</x:v>
      </x:c>
      <x:c r="E21" s="15" t="s">
        <x:v>1422</x:v>
      </x:c>
      <x:c r="F21" s="15" t="s">
        <x:v>1423</x:v>
      </x:c>
      <x:c r="G21" s="15" t="s">
        <x:v>1424</x:v>
      </x:c>
    </x:row>
    <x:row r="22" ht="14.25" customHeight="1">
      <x:c r="A22" s="15" t="s">
        <x:v>1425</x:v>
      </x:c>
      <x:c r="B22" s="15" t="s">
        <x:v>1426</x:v>
      </x:c>
      <x:c r="C22" s="15" t="s">
        <x:v>362</x:v>
      </x:c>
      <x:c r="D22" s="15" t="s">
        <x:v>1427</x:v>
      </x:c>
      <x:c r="E22" s="15" t="s">
        <x:v>1341</x:v>
      </x:c>
      <x:c r="F22" s="15" t="s">
        <x:v>1428</x:v>
      </x:c>
      <x:c r="G22" s="15" t="s">
        <x:v>1429</x:v>
      </x:c>
    </x:row>
    <x:row r="23" ht="14.25" customHeight="1">
      <x:c r="A23" s="15" t="s">
        <x:v>1430</x:v>
      </x:c>
      <x:c r="B23" s="15" t="s">
        <x:v>967</x:v>
      </x:c>
      <x:c r="C23" s="15" t="s">
        <x:v>362</x:v>
      </x:c>
      <x:c r="D23" s="15" t="s">
        <x:v>1431</x:v>
      </x:c>
      <x:c r="E23" s="15" t="s">
        <x:v>1432</x:v>
      </x:c>
      <x:c r="F23" s="15" t="s">
        <x:v>1433</x:v>
      </x:c>
      <x:c r="G23" s="15" t="s">
        <x:v>1434</x:v>
      </x:c>
    </x:row>
    <x:row r="24" ht="14.25" customHeight="1">
      <x:c r="A24" s="15" t="s">
        <x:v>1435</x:v>
      </x:c>
      <x:c r="B24" s="15" t="s">
        <x:v>1403</x:v>
      </x:c>
      <x:c r="C24" s="15" t="s">
        <x:v>461</x:v>
      </x:c>
      <x:c r="D24" s="15" t="s">
        <x:v>1436</x:v>
      </x:c>
      <x:c r="E24" s="15" t="s">
        <x:v>1437</x:v>
      </x:c>
      <x:c r="F24" s="15" t="s">
        <x:v>1438</x:v>
      </x:c>
      <x:c r="G24" s="15" t="s">
        <x:v>1439</x:v>
      </x:c>
    </x:row>
    <x:row r="25" ht="14.25" customHeight="1">
      <x:c r="A25" s="15" t="s">
        <x:v>1440</x:v>
      </x:c>
      <x:c r="B25" s="15" t="s">
        <x:v>399</x:v>
      </x:c>
      <x:c r="C25" s="15" t="s">
        <x:v>461</x:v>
      </x:c>
      <x:c r="D25" s="15" t="s">
        <x:v>1441</x:v>
      </x:c>
      <x:c r="E25" s="15" t="s">
        <x:v>1442</x:v>
      </x:c>
      <x:c r="F25" s="15" t="s">
        <x:v>1443</x:v>
      </x:c>
      <x:c r="G25" s="15" t="s">
        <x:v>1444</x:v>
      </x:c>
    </x:row>
    <x:row r="26" ht="14.25" customHeight="1">
      <x:c r="A26" s="15" t="s">
        <x:v>1445</x:v>
      </x:c>
      <x:c r="B26" s="15" t="s">
        <x:v>409</x:v>
      </x:c>
      <x:c r="C26" s="15" t="s">
        <x:v>461</x:v>
      </x:c>
      <x:c r="D26" s="15" t="s">
        <x:v>1446</x:v>
      </x:c>
      <x:c r="E26" s="15" t="s">
        <x:v>1447</x:v>
      </x:c>
      <x:c r="F26" s="15" t="s">
        <x:v>1448</x:v>
      </x:c>
      <x:c r="G26" s="15" t="s">
        <x:v>1449</x:v>
      </x:c>
    </x:row>
    <x:row r="27" ht="14.25" customHeight="1">
      <x:c r="A27" s="15" t="s">
        <x:v>1450</x:v>
      </x:c>
      <x:c r="B27" s="15" t="s">
        <x:v>1397</x:v>
      </x:c>
      <x:c r="C27" s="15" t="s">
        <x:v>461</x:v>
      </x:c>
      <x:c r="D27" s="15" t="s">
        <x:v>1451</x:v>
      </x:c>
      <x:c r="E27" s="15" t="s">
        <x:v>1452</x:v>
      </x:c>
      <x:c r="F27" s="15" t="s">
        <x:v>1453</x:v>
      </x:c>
      <x:c r="G27" s="15" t="s">
        <x:v>1454</x:v>
      </x:c>
    </x:row>
    <x:row r="28" ht="14.25" customHeight="1">
      <x:c r="A28" s="15" t="s">
        <x:v>1455</x:v>
      </x:c>
      <x:c r="B28" s="15" t="s">
        <x:v>1456</x:v>
      </x:c>
      <x:c r="C28" s="15" t="s">
        <x:v>461</x:v>
      </x:c>
      <x:c r="D28" s="15" t="s">
        <x:v>1457</x:v>
      </x:c>
      <x:c r="E28" s="15" t="s">
        <x:v>1458</x:v>
      </x:c>
      <x:c r="F28" s="15" t="s">
        <x:v>1459</x:v>
      </x:c>
      <x:c r="G28" s="15" t="s">
        <x:v>1460</x:v>
      </x:c>
    </x:row>
    <x:row r="29" ht="14.25" customHeight="1">
      <x:c r="A29" s="15" t="s">
        <x:v>1461</x:v>
      </x:c>
      <x:c r="B29" s="15" t="s">
        <x:v>710</x:v>
      </x:c>
      <x:c r="C29" s="15" t="s">
        <x:v>485</x:v>
      </x:c>
      <x:c r="D29" s="15" t="s">
        <x:v>1462</x:v>
      </x:c>
      <x:c r="E29" s="15" t="s">
        <x:v>1341</x:v>
      </x:c>
      <x:c r="F29" s="15" t="s">
        <x:v>1463</x:v>
      </x:c>
      <x:c r="G29" s="15" t="s">
        <x:v>1464</x:v>
      </x:c>
    </x:row>
    <x:row r="30" ht="14.25" customHeight="1">
      <x:c r="A30" s="15" t="s">
        <x:v>1465</x:v>
      </x:c>
      <x:c r="B30" s="15" t="s">
        <x:v>399</x:v>
      </x:c>
      <x:c r="C30" s="15" t="s">
        <x:v>485</x:v>
      </x:c>
      <x:c r="D30" s="15" t="s">
        <x:v>1466</x:v>
      </x:c>
      <x:c r="E30" s="15" t="s">
        <x:v>1442</x:v>
      </x:c>
      <x:c r="F30" s="15" t="s">
        <x:v>1467</x:v>
      </x:c>
      <x:c r="G30" s="15" t="s">
        <x:v>1468</x:v>
      </x:c>
    </x:row>
    <x:row r="31" ht="14.25" customHeight="1">
      <x:c r="A31" s="15" t="s">
        <x:v>1469</x:v>
      </x:c>
      <x:c r="B31" s="15" t="s">
        <x:v>1385</x:v>
      </x:c>
      <x:c r="C31" s="15" t="s">
        <x:v>485</x:v>
      </x:c>
      <x:c r="D31" s="15" t="s">
        <x:v>1470</x:v>
      </x:c>
      <x:c r="E31" s="15" t="s">
        <x:v>1471</x:v>
      </x:c>
      <x:c r="F31" s="15" t="s">
        <x:v>1472</x:v>
      </x:c>
      <x:c r="G31" s="15" t="s">
        <x:v>1473</x:v>
      </x:c>
    </x:row>
    <x:row r="32" ht="14.25" customHeight="1">
      <x:c r="A32" s="15" t="s">
        <x:v>1474</x:v>
      </x:c>
      <x:c r="B32" s="15" t="s">
        <x:v>399</x:v>
      </x:c>
      <x:c r="C32" s="15" t="s">
        <x:v>485</x:v>
      </x:c>
      <x:c r="D32" s="15" t="s">
        <x:v>1475</x:v>
      </x:c>
      <x:c r="E32" s="15" t="s">
        <x:v>1476</x:v>
      </x:c>
      <x:c r="F32" s="15" t="s">
        <x:v>1477</x:v>
      </x:c>
      <x:c r="G32" s="15" t="s">
        <x:v>1478</x:v>
      </x:c>
    </x:row>
    <x:row r="33" ht="14.25" customHeight="1">
      <x:c r="A33" s="15" t="s">
        <x:v>1479</x:v>
      </x:c>
      <x:c r="B33" s="15" t="s">
        <x:v>1397</x:v>
      </x:c>
      <x:c r="C33" s="15" t="s">
        <x:v>485</x:v>
      </x:c>
      <x:c r="D33" s="15" t="s">
        <x:v>1480</x:v>
      </x:c>
      <x:c r="E33" s="15" t="s">
        <x:v>1481</x:v>
      </x:c>
      <x:c r="F33" s="15" t="s">
        <x:v>1482</x:v>
      </x:c>
      <x:c r="G33" s="15" t="s">
        <x:v>1483</x:v>
      </x:c>
    </x:row>
    <x:row r="34" ht="14.25" customHeight="1">
      <x:c r="A34" s="15" t="s">
        <x:v>1484</x:v>
      </x:c>
      <x:c r="B34" s="15" t="s">
        <x:v>1485</x:v>
      </x:c>
      <x:c r="C34" s="15" t="s">
        <x:v>507</x:v>
      </x:c>
      <x:c r="D34" s="15" t="s">
        <x:v>1486</x:v>
      </x:c>
      <x:c r="E34" s="15" t="s">
        <x:v>1487</x:v>
      </x:c>
      <x:c r="F34" s="15" t="s">
        <x:v>1488</x:v>
      </x:c>
      <x:c r="G34" s="15" t="s">
        <x:v>1489</x:v>
      </x:c>
    </x:row>
    <x:row r="35" ht="14.25" customHeight="1">
      <x:c r="A35" s="15" t="s">
        <x:v>1490</x:v>
      </x:c>
      <x:c r="B35" s="15" t="s">
        <x:v>1491</x:v>
      </x:c>
      <x:c r="C35" s="15" t="s">
        <x:v>507</x:v>
      </x:c>
      <x:c r="D35" s="15" t="s">
        <x:v>1492</x:v>
      </x:c>
      <x:c r="E35" s="15" t="s">
        <x:v>1447</x:v>
      </x:c>
      <x:c r="F35" s="15" t="s">
        <x:v>1493</x:v>
      </x:c>
      <x:c r="G35" s="15" t="s">
        <x:v>1494</x:v>
      </x:c>
    </x:row>
    <x:row r="36" ht="14.25" customHeight="1">
      <x:c r="A36" s="15" t="s">
        <x:v>1495</x:v>
      </x:c>
      <x:c r="B36" s="15" t="s">
        <x:v>427</x:v>
      </x:c>
      <x:c r="C36" s="15" t="s">
        <x:v>507</x:v>
      </x:c>
      <x:c r="D36" s="15" t="s">
        <x:v>1496</x:v>
      </x:c>
      <x:c r="E36" s="15" t="s">
        <x:v>1497</x:v>
      </x:c>
      <x:c r="F36" s="15" t="s">
        <x:v>1498</x:v>
      </x:c>
      <x:c r="G36" s="15" t="s">
        <x:v>1499</x:v>
      </x:c>
    </x:row>
    <x:row r="37" ht="14.25" customHeight="1">
      <x:c r="A37" s="15" t="s">
        <x:v>1500</x:v>
      </x:c>
      <x:c r="B37" s="15" t="s">
        <x:v>1397</x:v>
      </x:c>
      <x:c r="C37" s="15" t="s">
        <x:v>507</x:v>
      </x:c>
      <x:c r="D37" s="15" t="s">
        <x:v>1501</x:v>
      </x:c>
      <x:c r="E37" s="15" t="s">
        <x:v>1481</x:v>
      </x:c>
      <x:c r="F37" s="15" t="s">
        <x:v>1502</x:v>
      </x:c>
      <x:c r="G37" s="15" t="s">
        <x:v>1503</x:v>
      </x:c>
    </x:row>
    <x:row r="38" ht="14.25" customHeight="1">
      <x:c r="A38" s="15" t="s">
        <x:v>1504</x:v>
      </x:c>
      <x:c r="B38" s="15" t="s">
        <x:v>967</x:v>
      </x:c>
      <x:c r="C38" s="15" t="s">
        <x:v>507</x:v>
      </x:c>
      <x:c r="D38" s="15" t="s">
        <x:v>1505</x:v>
      </x:c>
      <x:c r="E38" s="15" t="s">
        <x:v>1481</x:v>
      </x:c>
      <x:c r="F38" s="15" t="s">
        <x:v>1506</x:v>
      </x:c>
      <x:c r="G38" s="15" t="s">
        <x:v>1507</x:v>
      </x:c>
    </x:row>
    <x:row r="39" ht="14.25" customHeight="1">
      <x:c r="A39" s="15" t="s">
        <x:v>1508</x:v>
      </x:c>
      <x:c r="B39" s="15" t="s">
        <x:v>1509</x:v>
      </x:c>
      <x:c r="C39" s="15" t="s">
        <x:v>529</x:v>
      </x:c>
      <x:c r="D39" s="15" t="s">
        <x:v>1510</x:v>
      </x:c>
      <x:c r="E39" s="15" t="s">
        <x:v>1511</x:v>
      </x:c>
      <x:c r="F39" s="15" t="s">
        <x:v>1512</x:v>
      </x:c>
      <x:c r="G39" s="15" t="s">
        <x:v>1513</x:v>
      </x:c>
    </x:row>
    <x:row r="40" ht="14.25" customHeight="1">
      <x:c r="A40" s="15" t="s">
        <x:v>1514</x:v>
      </x:c>
      <x:c r="B40" s="15" t="s">
        <x:v>1397</x:v>
      </x:c>
      <x:c r="C40" s="15" t="s">
        <x:v>529</x:v>
      </x:c>
      <x:c r="D40" s="15" t="s">
        <x:v>1515</x:v>
      </x:c>
      <x:c r="E40" s="15" t="s">
        <x:v>1481</x:v>
      </x:c>
      <x:c r="F40" s="15" t="s">
        <x:v>1516</x:v>
      </x:c>
      <x:c r="G40" s="15" t="s">
        <x:v>1517</x:v>
      </x:c>
    </x:row>
    <x:row r="41" ht="14.25" customHeight="1">
      <x:c r="A41" s="15" t="s">
        <x:v>1518</x:v>
      </x:c>
      <x:c r="B41" s="15" t="s">
        <x:v>1519</x:v>
      </x:c>
      <x:c r="C41" s="15" t="s">
        <x:v>529</x:v>
      </x:c>
      <x:c r="D41" s="15" t="s">
        <x:v>1520</x:v>
      </x:c>
      <x:c r="E41" s="15" t="s">
        <x:v>1521</x:v>
      </x:c>
      <x:c r="F41" s="15" t="s">
        <x:v>1522</x:v>
      </x:c>
      <x:c r="G41" s="15" t="s">
        <x:v>1523</x:v>
      </x:c>
    </x:row>
    <x:row r="42" ht="14.25" customHeight="1">
      <x:c r="A42" s="15" t="s">
        <x:v>1524</x:v>
      </x:c>
      <x:c r="B42" s="15" t="s">
        <x:v>561</x:v>
      </x:c>
      <x:c r="C42" s="15" t="s">
        <x:v>529</x:v>
      </x:c>
      <x:c r="D42" s="15" t="s">
        <x:v>1525</x:v>
      </x:c>
      <x:c r="E42" s="15" t="s">
        <x:v>1526</x:v>
      </x:c>
      <x:c r="F42" s="15" t="s">
        <x:v>1527</x:v>
      </x:c>
      <x:c r="G42" s="15" t="s">
        <x:v>1528</x:v>
      </x:c>
    </x:row>
    <x:row r="43" ht="14.25" customHeight="1">
      <x:c r="A43" s="15" t="s">
        <x:v>1529</x:v>
      </x:c>
      <x:c r="B43" s="15" t="s">
        <x:v>386</x:v>
      </x:c>
      <x:c r="C43" s="15" t="s">
        <x:v>529</x:v>
      </x:c>
      <x:c r="D43" s="15" t="s">
        <x:v>1530</x:v>
      </x:c>
      <x:c r="E43" s="15" t="s">
        <x:v>1531</x:v>
      </x:c>
      <x:c r="F43" s="15" t="s">
        <x:v>1532</x:v>
      </x:c>
      <x:c r="G43" s="15" t="s">
        <x:v>1533</x:v>
      </x:c>
    </x:row>
    <x:row r="44" ht="14.25" customHeight="1">
      <x:c r="A44" s="15" t="s">
        <x:v>1534</x:v>
      </x:c>
      <x:c r="B44" s="15" t="s">
        <x:v>561</x:v>
      </x:c>
      <x:c r="C44" s="15" t="s">
        <x:v>551</x:v>
      </x:c>
      <x:c r="D44" s="15" t="s">
        <x:v>1535</x:v>
      </x:c>
      <x:c r="E44" s="15" t="s">
        <x:v>1526</x:v>
      </x:c>
      <x:c r="F44" s="15" t="s">
        <x:v>1536</x:v>
      </x:c>
      <x:c r="G44" s="15" t="s">
        <x:v>1537</x:v>
      </x:c>
    </x:row>
    <x:row r="45" ht="14.25" customHeight="1">
      <x:c r="A45" s="15" t="s">
        <x:v>1538</x:v>
      </x:c>
      <x:c r="B45" s="15" t="s">
        <x:v>561</x:v>
      </x:c>
      <x:c r="C45" s="15" t="s">
        <x:v>551</x:v>
      </x:c>
      <x:c r="D45" s="15" t="s">
        <x:v>1539</x:v>
      </x:c>
      <x:c r="E45" s="15" t="s">
        <x:v>1526</x:v>
      </x:c>
      <x:c r="F45" s="15" t="s">
        <x:v>1540</x:v>
      </x:c>
      <x:c r="G45" s="15" t="s">
        <x:v>1541</x:v>
      </x:c>
    </x:row>
    <x:row r="46" ht="14.25" customHeight="1">
      <x:c r="A46" s="15" t="s">
        <x:v>1542</x:v>
      </x:c>
      <x:c r="B46" s="15" t="s">
        <x:v>556</x:v>
      </x:c>
      <x:c r="C46" s="15" t="s">
        <x:v>551</x:v>
      </x:c>
      <x:c r="D46" s="15" t="s">
        <x:v>1543</x:v>
      </x:c>
      <x:c r="E46" s="15" t="s">
        <x:v>1531</x:v>
      </x:c>
      <x:c r="F46" s="15" t="s">
        <x:v>1544</x:v>
      </x:c>
      <x:c r="G46" s="15" t="s">
        <x:v>1545</x:v>
      </x:c>
    </x:row>
    <x:row r="47" ht="14.25" customHeight="1">
      <x:c r="A47" s="15" t="s">
        <x:v>1546</x:v>
      </x:c>
      <x:c r="B47" s="15" t="s">
        <x:v>1397</x:v>
      </x:c>
      <x:c r="C47" s="15" t="s">
        <x:v>551</x:v>
      </x:c>
      <x:c r="D47" s="15" t="s">
        <x:v>1547</x:v>
      </x:c>
      <x:c r="E47" s="15" t="s">
        <x:v>1481</x:v>
      </x:c>
      <x:c r="F47" s="15" t="s">
        <x:v>1548</x:v>
      </x:c>
      <x:c r="G47" s="15" t="s">
        <x:v>1549</x:v>
      </x:c>
    </x:row>
    <x:row r="48" ht="14.25" customHeight="1">
      <x:c r="A48" s="15" t="s">
        <x:v>1550</x:v>
      </x:c>
      <x:c r="B48" s="15" t="s">
        <x:v>449</x:v>
      </x:c>
      <x:c r="C48" s="15" t="s">
        <x:v>551</x:v>
      </x:c>
      <x:c r="D48" s="15" t="s">
        <x:v>1551</x:v>
      </x:c>
      <x:c r="E48" s="15" t="s">
        <x:v>1552</x:v>
      </x:c>
      <x:c r="F48" s="15" t="s">
        <x:v>1553</x:v>
      </x:c>
      <x:c r="G48" s="15" t="s">
        <x:v>1554</x:v>
      </x:c>
    </x:row>
    <x:row r="49" ht="14.25" customHeight="1">
      <x:c r="A49" s="15" t="s">
        <x:v>1555</x:v>
      </x:c>
      <x:c r="B49" s="15" t="s">
        <x:v>1556</x:v>
      </x:c>
      <x:c r="C49" s="15" t="s">
        <x:v>576</x:v>
      </x:c>
      <x:c r="D49" s="15" t="s">
        <x:v>1557</x:v>
      </x:c>
      <x:c r="E49" s="15" t="s">
        <x:v>1531</x:v>
      </x:c>
      <x:c r="F49" s="15" t="s">
        <x:v>1558</x:v>
      </x:c>
      <x:c r="G49" s="15" t="s">
        <x:v>1559</x:v>
      </x:c>
    </x:row>
    <x:row r="50" ht="14.25" customHeight="1">
      <x:c r="A50" s="15" t="s">
        <x:v>1560</x:v>
      </x:c>
      <x:c r="B50" s="15" t="s">
        <x:v>449</x:v>
      </x:c>
      <x:c r="C50" s="15" t="s">
        <x:v>576</x:v>
      </x:c>
      <x:c r="D50" s="15" t="s">
        <x:v>1561</x:v>
      </x:c>
      <x:c r="E50" s="15" t="s">
        <x:v>1552</x:v>
      </x:c>
      <x:c r="F50" s="15" t="s">
        <x:v>1562</x:v>
      </x:c>
      <x:c r="G50" s="15" t="s">
        <x:v>1563</x:v>
      </x:c>
    </x:row>
    <x:row r="51" ht="14.25" customHeight="1">
      <x:c r="A51" s="15" t="s">
        <x:v>1564</x:v>
      </x:c>
      <x:c r="B51" s="15" t="s">
        <x:v>427</x:v>
      </x:c>
      <x:c r="C51" s="15" t="s">
        <x:v>576</x:v>
      </x:c>
      <x:c r="D51" s="15" t="s">
        <x:v>1565</x:v>
      </x:c>
      <x:c r="E51" s="15" t="s">
        <x:v>429</x:v>
      </x:c>
      <x:c r="F51" s="15" t="s">
        <x:v>1566</x:v>
      </x:c>
      <x:c r="G51" s="15" t="s">
        <x:v>1567</x:v>
      </x:c>
    </x:row>
    <x:row r="52" ht="14.25" customHeight="1">
      <x:c r="A52" s="15" t="s">
        <x:v>1568</x:v>
      </x:c>
      <x:c r="B52" s="15" t="s">
        <x:v>399</x:v>
      </x:c>
      <x:c r="C52" s="15" t="s">
        <x:v>576</x:v>
      </x:c>
      <x:c r="D52" s="15" t="s">
        <x:v>1569</x:v>
      </x:c>
      <x:c r="E52" s="15" t="s">
        <x:v>1442</x:v>
      </x:c>
      <x:c r="F52" s="15" t="s">
        <x:v>1570</x:v>
      </x:c>
      <x:c r="G52" s="15" t="s">
        <x:v>1571</x:v>
      </x:c>
    </x:row>
    <x:row r="53" ht="14.25" customHeight="1">
      <x:c r="A53" s="15" t="s">
        <x:v>1572</x:v>
      </x:c>
      <x:c r="B53" s="15" t="s">
        <x:v>1397</x:v>
      </x:c>
      <x:c r="C53" s="15" t="s">
        <x:v>576</x:v>
      </x:c>
      <x:c r="D53" s="15" t="s">
        <x:v>1573</x:v>
      </x:c>
      <x:c r="E53" s="15" t="s">
        <x:v>1481</x:v>
      </x:c>
      <x:c r="F53" s="15" t="s">
        <x:v>1574</x:v>
      </x:c>
      <x:c r="G53" s="15" t="s">
        <x:v>1575</x:v>
      </x:c>
    </x:row>
    <x:row r="54" ht="14.25" customHeight="1">
      <x:c r="A54" s="15" t="s">
        <x:v>1576</x:v>
      </x:c>
      <x:c r="B54" s="15" t="s">
        <x:v>561</x:v>
      </x:c>
      <x:c r="C54" s="15" t="s">
        <x:v>597</x:v>
      </x:c>
      <x:c r="D54" s="15" t="s">
        <x:v>1577</x:v>
      </x:c>
      <x:c r="E54" s="15" t="s">
        <x:v>1526</x:v>
      </x:c>
      <x:c r="F54" s="15" t="s">
        <x:v>1578</x:v>
      </x:c>
      <x:c r="G54" s="15" t="s">
        <x:v>1579</x:v>
      </x:c>
    </x:row>
    <x:row r="55" ht="14.25" customHeight="1">
      <x:c r="A55" s="15" t="s">
        <x:v>1580</x:v>
      </x:c>
      <x:c r="B55" s="15" t="s">
        <x:v>611</x:v>
      </x:c>
      <x:c r="C55" s="15" t="s">
        <x:v>597</x:v>
      </x:c>
      <x:c r="D55" s="15" t="s">
        <x:v>1581</x:v>
      </x:c>
      <x:c r="E55" s="15" t="s">
        <x:v>429</x:v>
      </x:c>
      <x:c r="F55" s="15" t="s">
        <x:v>1582</x:v>
      </x:c>
      <x:c r="G55" s="15" t="s">
        <x:v>1583</x:v>
      </x:c>
    </x:row>
    <x:row r="56" ht="14.25" customHeight="1">
      <x:c r="A56" s="15" t="s">
        <x:v>1584</x:v>
      </x:c>
      <x:c r="B56" s="15" t="s">
        <x:v>561</x:v>
      </x:c>
      <x:c r="C56" s="15" t="s">
        <x:v>597</x:v>
      </x:c>
      <x:c r="D56" s="15" t="s">
        <x:v>1585</x:v>
      </x:c>
      <x:c r="E56" s="15" t="s">
        <x:v>1526</x:v>
      </x:c>
      <x:c r="F56" s="15" t="s">
        <x:v>1586</x:v>
      </x:c>
      <x:c r="G56" s="15" t="s">
        <x:v>1587</x:v>
      </x:c>
    </x:row>
    <x:row r="57" ht="14.25" customHeight="1">
      <x:c r="A57" s="15" t="s">
        <x:v>1588</x:v>
      </x:c>
      <x:c r="B57" s="15" t="s">
        <x:v>1397</x:v>
      </x:c>
      <x:c r="C57" s="15" t="s">
        <x:v>597</x:v>
      </x:c>
      <x:c r="D57" s="15" t="s">
        <x:v>1589</x:v>
      </x:c>
      <x:c r="E57" s="15" t="s">
        <x:v>1481</x:v>
      </x:c>
      <x:c r="F57" s="15" t="s">
        <x:v>1590</x:v>
      </x:c>
      <x:c r="G57" s="15" t="s">
        <x:v>1591</x:v>
      </x:c>
    </x:row>
    <x:row r="58" ht="14.25" customHeight="1">
      <x:c r="A58" s="15" t="s">
        <x:v>1592</x:v>
      </x:c>
      <x:c r="B58" s="15" t="s">
        <x:v>454</x:v>
      </x:c>
      <x:c r="C58" s="15" t="s">
        <x:v>597</x:v>
      </x:c>
      <x:c r="D58" s="15" t="s">
        <x:v>1415</x:v>
      </x:c>
      <x:c r="E58" s="15" t="s">
        <x:v>1593</x:v>
      </x:c>
      <x:c r="F58" s="15" t="s">
        <x:v>1594</x:v>
      </x:c>
      <x:c r="G58" s="15" t="s">
        <x:v>1595</x:v>
      </x:c>
    </x:row>
    <x:row r="59" ht="14.25" customHeight="1">
      <x:c r="A59" s="15" t="s">
        <x:v>1596</x:v>
      </x:c>
      <x:c r="B59" s="15" t="s">
        <x:v>561</x:v>
      </x:c>
      <x:c r="C59" s="15" t="s">
        <x:v>620</x:v>
      </x:c>
      <x:c r="D59" s="15" t="s">
        <x:v>1525</x:v>
      </x:c>
      <x:c r="E59" s="15" t="s">
        <x:v>1526</x:v>
      </x:c>
      <x:c r="F59" s="15" t="s">
        <x:v>1597</x:v>
      </x:c>
      <x:c r="G59" s="15" t="s">
        <x:v>1598</x:v>
      </x:c>
    </x:row>
    <x:row r="60" ht="14.25" customHeight="1">
      <x:c r="A60" s="15" t="s">
        <x:v>1599</x:v>
      </x:c>
      <x:c r="B60" s="15" t="s">
        <x:v>409</x:v>
      </x:c>
      <x:c r="C60" s="15" t="s">
        <x:v>620</x:v>
      </x:c>
      <x:c r="D60" s="15" t="s">
        <x:v>1600</x:v>
      </x:c>
      <x:c r="E60" s="15" t="s">
        <x:v>1447</x:v>
      </x:c>
      <x:c r="F60" s="15" t="s">
        <x:v>1601</x:v>
      </x:c>
      <x:c r="G60" s="15" t="s">
        <x:v>1602</x:v>
      </x:c>
    </x:row>
    <x:row r="61" ht="14.25" customHeight="1">
      <x:c r="A61" s="15" t="s">
        <x:v>1603</x:v>
      </x:c>
      <x:c r="B61" s="15" t="s">
        <x:v>1397</x:v>
      </x:c>
      <x:c r="C61" s="15" t="s">
        <x:v>620</x:v>
      </x:c>
      <x:c r="D61" s="15" t="s">
        <x:v>1604</x:v>
      </x:c>
      <x:c r="E61" s="15" t="s">
        <x:v>1481</x:v>
      </x:c>
      <x:c r="F61" s="15" t="s">
        <x:v>1605</x:v>
      </x:c>
      <x:c r="G61" s="15" t="s">
        <x:v>1606</x:v>
      </x:c>
    </x:row>
    <x:row r="62" ht="14.25" customHeight="1">
      <x:c r="A62" s="15" t="s">
        <x:v>1607</x:v>
      </x:c>
      <x:c r="B62" s="15" t="s">
        <x:v>449</x:v>
      </x:c>
      <x:c r="C62" s="15" t="s">
        <x:v>620</x:v>
      </x:c>
      <x:c r="D62" s="15" t="s">
        <x:v>1608</x:v>
      </x:c>
      <x:c r="E62" s="15" t="s">
        <x:v>1552</x:v>
      </x:c>
      <x:c r="F62" s="15" t="s">
        <x:v>1609</x:v>
      </x:c>
      <x:c r="G62" s="15" t="s">
        <x:v>1610</x:v>
      </x:c>
    </x:row>
    <x:row r="63" ht="14.25" customHeight="1">
      <x:c r="A63" s="15" t="s">
        <x:v>1611</x:v>
      </x:c>
      <x:c r="B63" s="15" t="s">
        <x:v>399</x:v>
      </x:c>
      <x:c r="C63" s="15" t="s">
        <x:v>620</x:v>
      </x:c>
      <x:c r="D63" s="15" t="s">
        <x:v>1612</x:v>
      </x:c>
      <x:c r="E63" s="15" t="s">
        <x:v>1442</x:v>
      </x:c>
      <x:c r="F63" s="15" t="s">
        <x:v>1613</x:v>
      </x:c>
      <x:c r="G63" s="15" t="s">
        <x:v>1614</x:v>
      </x:c>
    </x:row>
    <x:row r="64" ht="14.25" customHeight="1">
      <x:c r="A64" s="15" t="s">
        <x:v>1615</x:v>
      </x:c>
      <x:c r="B64" s="15" t="s">
        <x:v>561</x:v>
      </x:c>
      <x:c r="C64" s="15" t="s">
        <x:v>640</x:v>
      </x:c>
      <x:c r="D64" s="15" t="s">
        <x:v>1616</x:v>
      </x:c>
      <x:c r="E64" s="15" t="s">
        <x:v>1526</x:v>
      </x:c>
      <x:c r="F64" s="15" t="s">
        <x:v>1617</x:v>
      </x:c>
      <x:c r="G64" s="15" t="s">
        <x:v>1618</x:v>
      </x:c>
    </x:row>
    <x:row r="65" ht="14.25" customHeight="1">
      <x:c r="A65" s="15" t="s">
        <x:v>1619</x:v>
      </x:c>
      <x:c r="B65" s="15" t="s">
        <x:v>967</x:v>
      </x:c>
      <x:c r="C65" s="15" t="s">
        <x:v>640</x:v>
      </x:c>
      <x:c r="D65" s="15" t="s">
        <x:v>1620</x:v>
      </x:c>
      <x:c r="E65" s="15" t="s">
        <x:v>1481</x:v>
      </x:c>
      <x:c r="F65" s="15" t="s">
        <x:v>1621</x:v>
      </x:c>
      <x:c r="G65" s="15" t="s">
        <x:v>1622</x:v>
      </x:c>
    </x:row>
    <x:row r="66" ht="14.25" customHeight="1">
      <x:c r="A66" s="15" t="s">
        <x:v>1623</x:v>
      </x:c>
      <x:c r="B66" s="15" t="s">
        <x:v>1491</x:v>
      </x:c>
      <x:c r="C66" s="15" t="s">
        <x:v>640</x:v>
      </x:c>
      <x:c r="D66" s="15" t="s">
        <x:v>1624</x:v>
      </x:c>
      <x:c r="E66" s="15" t="s">
        <x:v>1447</x:v>
      </x:c>
      <x:c r="F66" s="15" t="s">
        <x:v>1625</x:v>
      </x:c>
      <x:c r="G66" s="15" t="s">
        <x:v>1626</x:v>
      </x:c>
    </x:row>
    <x:row r="67" ht="14.25" customHeight="1">
      <x:c r="A67" s="15" t="s">
        <x:v>1627</x:v>
      </x:c>
      <x:c r="B67" s="15" t="s">
        <x:v>454</x:v>
      </x:c>
      <x:c r="C67" s="15" t="s">
        <x:v>640</x:v>
      </x:c>
      <x:c r="D67" s="15" t="s">
        <x:v>1628</x:v>
      </x:c>
      <x:c r="E67" s="15" t="s">
        <x:v>1629</x:v>
      </x:c>
      <x:c r="F67" s="15" t="s">
        <x:v>1630</x:v>
      </x:c>
      <x:c r="G67" s="15" t="s">
        <x:v>1631</x:v>
      </x:c>
    </x:row>
    <x:row r="68" ht="14.25" customHeight="1">
      <x:c r="A68" s="15" t="s">
        <x:v>1632</x:v>
      </x:c>
      <x:c r="B68" s="15" t="s">
        <x:v>1010</x:v>
      </x:c>
      <x:c r="C68" s="15" t="s">
        <x:v>640</x:v>
      </x:c>
      <x:c r="D68" s="15" t="s">
        <x:v>1633</x:v>
      </x:c>
      <x:c r="E68" s="15" t="s">
        <x:v>1481</x:v>
      </x:c>
      <x:c r="F68" s="15" t="s">
        <x:v>1634</x:v>
      </x:c>
      <x:c r="G68" s="15" t="s">
        <x:v>1635</x:v>
      </x:c>
    </x:row>
    <x:row r="69" ht="14.25" customHeight="1">
      <x:c r="A69" s="15" t="s">
        <x:v>1636</x:v>
      </x:c>
      <x:c r="B69" s="15" t="s">
        <x:v>1637</x:v>
      </x:c>
      <x:c r="C69" s="15" t="s">
        <x:v>661</x:v>
      </x:c>
      <x:c r="D69" s="15" t="s">
        <x:v>1638</x:v>
      </x:c>
      <x:c r="E69" s="15" t="s">
        <x:v>1526</x:v>
      </x:c>
      <x:c r="F69" s="15" t="s">
        <x:v>1639</x:v>
      </x:c>
      <x:c r="G69" s="15" t="s">
        <x:v>1640</x:v>
      </x:c>
    </x:row>
    <x:row r="70" ht="14.25" customHeight="1">
      <x:c r="A70" s="15" t="s">
        <x:v>1641</x:v>
      </x:c>
      <x:c r="B70" s="15" t="s">
        <x:v>1642</x:v>
      </x:c>
      <x:c r="C70" s="15" t="s">
        <x:v>661</x:v>
      </x:c>
      <x:c r="D70" s="15" t="s">
        <x:v>1643</x:v>
      </x:c>
      <x:c r="E70" s="15" t="s">
        <x:v>1327</x:v>
      </x:c>
      <x:c r="F70" s="15" t="s">
        <x:v>1644</x:v>
      </x:c>
      <x:c r="G70" s="15" t="s">
        <x:v>1645</x:v>
      </x:c>
    </x:row>
    <x:row r="71" ht="14.25" customHeight="1">
      <x:c r="A71" s="15" t="s">
        <x:v>1646</x:v>
      </x:c>
      <x:c r="B71" s="15" t="s">
        <x:v>710</x:v>
      </x:c>
      <x:c r="C71" s="15" t="s">
        <x:v>661</x:v>
      </x:c>
      <x:c r="D71" s="15" t="s">
        <x:v>1647</x:v>
      </x:c>
      <x:c r="E71" s="15" t="s">
        <x:v>1648</x:v>
      </x:c>
      <x:c r="F71" s="15" t="s">
        <x:v>1649</x:v>
      </x:c>
      <x:c r="G71" s="15" t="s">
        <x:v>1650</x:v>
      </x:c>
    </x:row>
    <x:row r="72" ht="14.25" customHeight="1">
      <x:c r="A72" s="15" t="s">
        <x:v>1651</x:v>
      </x:c>
      <x:c r="B72" s="15" t="s">
        <x:v>1652</x:v>
      </x:c>
      <x:c r="C72" s="15" t="s">
        <x:v>661</x:v>
      </x:c>
      <x:c r="D72" s="15" t="s">
        <x:v>1653</x:v>
      </x:c>
      <x:c r="E72" s="15" t="s">
        <x:v>1521</x:v>
      </x:c>
      <x:c r="F72" s="15" t="s">
        <x:v>1654</x:v>
      </x:c>
      <x:c r="G72" s="15" t="s">
        <x:v>1655</x:v>
      </x:c>
    </x:row>
    <x:row r="73" ht="14.25" customHeight="1">
      <x:c r="A73" s="15" t="s">
        <x:v>1656</x:v>
      </x:c>
      <x:c r="B73" s="15" t="s">
        <x:v>454</x:v>
      </x:c>
      <x:c r="C73" s="15" t="s">
        <x:v>661</x:v>
      </x:c>
      <x:c r="D73" s="15" t="s">
        <x:v>1628</x:v>
      </x:c>
      <x:c r="E73" s="15" t="s">
        <x:v>1629</x:v>
      </x:c>
      <x:c r="F73" s="15" t="s">
        <x:v>1657</x:v>
      </x:c>
      <x:c r="G73" s="15" t="s">
        <x:v>1658</x:v>
      </x:c>
    </x:row>
    <x:row r="74" ht="14.25" customHeight="1">
      <x:c r="A74" s="15" t="s">
        <x:v>1659</x:v>
      </x:c>
      <x:c r="B74" s="15" t="s">
        <x:v>1491</x:v>
      </x:c>
      <x:c r="C74" s="15" t="s">
        <x:v>13</x:v>
      </x:c>
      <x:c r="D74" s="15" t="s">
        <x:v>1624</x:v>
      </x:c>
      <x:c r="E74" s="15" t="s">
        <x:v>1447</x:v>
      </x:c>
      <x:c r="F74" s="15" t="s">
        <x:v>1660</x:v>
      </x:c>
      <x:c r="G74" s="15" t="s">
        <x:v>1661</x:v>
      </x:c>
    </x:row>
    <x:row r="75" ht="14.25" customHeight="1">
      <x:c r="A75" s="15" t="s">
        <x:v>1662</x:v>
      </x:c>
      <x:c r="B75" s="15" t="s">
        <x:v>399</x:v>
      </x:c>
      <x:c r="C75" s="15" t="s">
        <x:v>13</x:v>
      </x:c>
      <x:c r="D75" s="15" t="s">
        <x:v>1663</x:v>
      </x:c>
      <x:c r="E75" s="15" t="s">
        <x:v>1442</x:v>
      </x:c>
      <x:c r="F75" s="15" t="s">
        <x:v>1664</x:v>
      </x:c>
      <x:c r="G75" s="15" t="s">
        <x:v>1665</x:v>
      </x:c>
    </x:row>
    <x:row r="76" ht="14.25" customHeight="1">
      <x:c r="A76" s="15" t="s">
        <x:v>1666</x:v>
      </x:c>
      <x:c r="B76" s="15" t="s">
        <x:v>1335</x:v>
      </x:c>
      <x:c r="C76" s="15" t="s">
        <x:v>13</x:v>
      </x:c>
      <x:c r="D76" s="15" t="s">
        <x:v>1667</x:v>
      </x:c>
      <x:c r="E76" s="15" t="s">
        <x:v>1327</x:v>
      </x:c>
      <x:c r="F76" s="15" t="s">
        <x:v>1668</x:v>
      </x:c>
      <x:c r="G76" s="15" t="s">
        <x:v>1669</x:v>
      </x:c>
    </x:row>
    <x:row r="77" ht="14.25" customHeight="1">
      <x:c r="A77" s="15" t="s">
        <x:v>1670</x:v>
      </x:c>
      <x:c r="B77" s="15" t="s">
        <x:v>1391</x:v>
      </x:c>
      <x:c r="C77" s="15" t="s">
        <x:v>13</x:v>
      </x:c>
      <x:c r="D77" s="15" t="s">
        <x:v>1671</x:v>
      </x:c>
      <x:c r="E77" s="15" t="s">
        <x:v>1672</x:v>
      </x:c>
      <x:c r="F77" s="15" t="s">
        <x:v>1673</x:v>
      </x:c>
      <x:c r="G77" s="15" t="s">
        <x:v>1674</x:v>
      </x:c>
    </x:row>
    <x:row r="78" ht="14.25" customHeight="1">
      <x:c r="A78" s="15" t="s">
        <x:v>1675</x:v>
      </x:c>
      <x:c r="B78" s="15" t="s">
        <x:v>561</x:v>
      </x:c>
      <x:c r="C78" s="15" t="s">
        <x:v>13</x:v>
      </x:c>
      <x:c r="D78" s="15" t="s">
        <x:v>1676</x:v>
      </x:c>
      <x:c r="E78" s="15" t="s">
        <x:v>1526</x:v>
      </x:c>
      <x:c r="F78" s="15" t="s">
        <x:v>1677</x:v>
      </x:c>
      <x:c r="G78" s="15" t="s">
        <x:v>1678</x:v>
      </x:c>
    </x:row>
    <x:row r="79" ht="14.25" customHeight="1">
      <x:c r="A79" s="15" t="s">
        <x:v>1679</x:v>
      </x:c>
      <x:c r="B79" s="15" t="s">
        <x:v>561</x:v>
      </x:c>
      <x:c r="C79" s="15" t="s">
        <x:v>701</x:v>
      </x:c>
      <x:c r="D79" s="15" t="s">
        <x:v>1680</x:v>
      </x:c>
      <x:c r="E79" s="15" t="s">
        <x:v>1526</x:v>
      </x:c>
      <x:c r="F79" s="15" t="s">
        <x:v>1681</x:v>
      </x:c>
      <x:c r="G79" s="15" t="s">
        <x:v>1682</x:v>
      </x:c>
    </x:row>
    <x:row r="80" ht="14.25" customHeight="1">
      <x:c r="A80" s="15" t="s">
        <x:v>1683</x:v>
      </x:c>
      <x:c r="B80" s="15" t="s">
        <x:v>1397</x:v>
      </x:c>
      <x:c r="C80" s="15" t="s">
        <x:v>701</x:v>
      </x:c>
      <x:c r="D80" s="15" t="s">
        <x:v>1684</x:v>
      </x:c>
      <x:c r="E80" s="15" t="s">
        <x:v>1481</x:v>
      </x:c>
      <x:c r="F80" s="15" t="s">
        <x:v>1685</x:v>
      </x:c>
      <x:c r="G80" s="15" t="s">
        <x:v>1686</x:v>
      </x:c>
    </x:row>
    <x:row r="81" ht="14.25" customHeight="1">
      <x:c r="A81" s="15" t="s">
        <x:v>1687</x:v>
      </x:c>
      <x:c r="B81" s="15" t="s">
        <x:v>1688</x:v>
      </x:c>
      <x:c r="C81" s="15" t="s">
        <x:v>701</x:v>
      </x:c>
      <x:c r="D81" s="15" t="s">
        <x:v>1689</x:v>
      </x:c>
      <x:c r="E81" s="15" t="s">
        <x:v>1447</x:v>
      </x:c>
      <x:c r="F81" s="15" t="s">
        <x:v>1690</x:v>
      </x:c>
      <x:c r="G81" s="15" t="s">
        <x:v>1691</x:v>
      </x:c>
    </x:row>
    <x:row r="82" ht="14.25" customHeight="1">
      <x:c r="A82" s="15" t="s">
        <x:v>1692</x:v>
      </x:c>
      <x:c r="B82" s="15" t="s">
        <x:v>386</x:v>
      </x:c>
      <x:c r="C82" s="15" t="s">
        <x:v>701</x:v>
      </x:c>
      <x:c r="D82" s="15" t="s">
        <x:v>1693</x:v>
      </x:c>
      <x:c r="E82" s="15" t="s">
        <x:v>1531</x:v>
      </x:c>
      <x:c r="F82" s="15" t="s">
        <x:v>1694</x:v>
      </x:c>
      <x:c r="G82" s="15" t="s">
        <x:v>1695</x:v>
      </x:c>
    </x:row>
    <x:row r="83" ht="14.25" customHeight="1">
      <x:c r="A83" s="15" t="s">
        <x:v>1696</x:v>
      </x:c>
      <x:c r="B83" s="15" t="s">
        <x:v>1697</x:v>
      </x:c>
      <x:c r="C83" s="15" t="s">
        <x:v>701</x:v>
      </x:c>
      <x:c r="D83" s="15" t="s">
        <x:v>1698</x:v>
      </x:c>
      <x:c r="E83" s="15" t="s">
        <x:v>1648</x:v>
      </x:c>
      <x:c r="F83" s="15" t="s">
        <x:v>1699</x:v>
      </x:c>
      <x:c r="G83" s="15" t="s">
        <x:v>1700</x:v>
      </x:c>
    </x:row>
    <x:row r="84" ht="14.25" customHeight="1">
      <x:c r="A84" s="15" t="s">
        <x:v>1701</x:v>
      </x:c>
      <x:c r="B84" s="15" t="s">
        <x:v>1702</x:v>
      </x:c>
      <x:c r="C84" s="15" t="s">
        <x:v>725</x:v>
      </x:c>
      <x:c r="D84" s="15" t="s">
        <x:v>1703</x:v>
      </x:c>
      <x:c r="E84" s="15" t="s">
        <x:v>1327</x:v>
      </x:c>
      <x:c r="F84" s="15" t="s">
        <x:v>1704</x:v>
      </x:c>
      <x:c r="G84" s="15" t="s">
        <x:v>1705</x:v>
      </x:c>
    </x:row>
    <x:row r="85" ht="14.25" customHeight="1">
      <x:c r="A85" s="15" t="s">
        <x:v>1706</x:v>
      </x:c>
      <x:c r="B85" s="15" t="s">
        <x:v>449</x:v>
      </x:c>
      <x:c r="C85" s="15" t="s">
        <x:v>725</x:v>
      </x:c>
      <x:c r="D85" s="15" t="s">
        <x:v>1561</x:v>
      </x:c>
      <x:c r="E85" s="15" t="s">
        <x:v>1552</x:v>
      </x:c>
      <x:c r="F85" s="15" t="s">
        <x:v>1707</x:v>
      </x:c>
      <x:c r="G85" s="15" t="s">
        <x:v>1708</x:v>
      </x:c>
    </x:row>
    <x:row r="86" ht="14.25" customHeight="1">
      <x:c r="A86" s="15" t="s">
        <x:v>1709</x:v>
      </x:c>
      <x:c r="B86" s="15" t="s">
        <x:v>710</x:v>
      </x:c>
      <x:c r="C86" s="15" t="s">
        <x:v>725</x:v>
      </x:c>
      <x:c r="D86" s="15" t="s">
        <x:v>1710</x:v>
      </x:c>
      <x:c r="E86" s="15" t="s">
        <x:v>1648</x:v>
      </x:c>
      <x:c r="F86" s="15" t="s">
        <x:v>1711</x:v>
      </x:c>
      <x:c r="G86" s="15" t="s">
        <x:v>1712</x:v>
      </x:c>
    </x:row>
    <x:row r="87" ht="14.25" customHeight="1">
      <x:c r="A87" s="15" t="s">
        <x:v>1713</x:v>
      </x:c>
      <x:c r="B87" s="15" t="s">
        <x:v>1397</x:v>
      </x:c>
      <x:c r="C87" s="15" t="s">
        <x:v>725</x:v>
      </x:c>
      <x:c r="D87" s="15" t="s">
        <x:v>1714</x:v>
      </x:c>
      <x:c r="E87" s="15" t="s">
        <x:v>1481</x:v>
      </x:c>
      <x:c r="F87" s="15" t="s">
        <x:v>1715</x:v>
      </x:c>
      <x:c r="G87" s="15" t="s">
        <x:v>1716</x:v>
      </x:c>
    </x:row>
    <x:row r="88" ht="14.25" customHeight="1">
      <x:c r="A88" s="15" t="s">
        <x:v>1717</x:v>
      </x:c>
      <x:c r="B88" s="15" t="s">
        <x:v>967</x:v>
      </x:c>
      <x:c r="C88" s="15" t="s">
        <x:v>725</x:v>
      </x:c>
      <x:c r="D88" s="15" t="s">
        <x:v>1718</x:v>
      </x:c>
      <x:c r="E88" s="15" t="s">
        <x:v>1432</x:v>
      </x:c>
      <x:c r="F88" s="15" t="s">
        <x:v>1719</x:v>
      </x:c>
      <x:c r="G88" s="15" t="s">
        <x:v>1720</x:v>
      </x:c>
    </x:row>
    <x:row r="89" ht="14.25" customHeight="1">
      <x:c r="A89" s="15" t="s">
        <x:v>1721</x:v>
      </x:c>
      <x:c r="B89" s="15" t="s">
        <x:v>561</x:v>
      </x:c>
      <x:c r="C89" s="15" t="s">
        <x:v>746</x:v>
      </x:c>
      <x:c r="D89" s="15" t="s">
        <x:v>1722</x:v>
      </x:c>
      <x:c r="E89" s="15" t="s">
        <x:v>1458</x:v>
      </x:c>
      <x:c r="F89" s="15" t="s">
        <x:v>1723</x:v>
      </x:c>
      <x:c r="G89" s="15" t="s">
        <x:v>1724</x:v>
      </x:c>
    </x:row>
    <x:row r="90" ht="14.25" customHeight="1">
      <x:c r="A90" s="15" t="s">
        <x:v>1725</x:v>
      </x:c>
      <x:c r="B90" s="15" t="s">
        <x:v>710</x:v>
      </x:c>
      <x:c r="C90" s="15" t="s">
        <x:v>746</x:v>
      </x:c>
      <x:c r="D90" s="15" t="s">
        <x:v>1726</x:v>
      </x:c>
      <x:c r="E90" s="15" t="s">
        <x:v>1648</x:v>
      </x:c>
      <x:c r="F90" s="15" t="s">
        <x:v>1727</x:v>
      </x:c>
      <x:c r="G90" s="15" t="s">
        <x:v>1728</x:v>
      </x:c>
    </x:row>
    <x:row r="91" ht="14.25" customHeight="1">
      <x:c r="A91" s="15" t="s">
        <x:v>1729</x:v>
      </x:c>
      <x:c r="B91" s="15" t="s">
        <x:v>1397</x:v>
      </x:c>
      <x:c r="C91" s="15" t="s">
        <x:v>746</x:v>
      </x:c>
      <x:c r="D91" s="15" t="s">
        <x:v>1730</x:v>
      </x:c>
      <x:c r="E91" s="15" t="s">
        <x:v>1399</x:v>
      </x:c>
      <x:c r="F91" s="15" t="s">
        <x:v>1731</x:v>
      </x:c>
      <x:c r="G91" s="15" t="s">
        <x:v>1732</x:v>
      </x:c>
    </x:row>
    <x:row r="92" ht="14.25" customHeight="1">
      <x:c r="A92" s="15" t="s">
        <x:v>1733</x:v>
      </x:c>
      <x:c r="B92" s="15" t="s">
        <x:v>386</x:v>
      </x:c>
      <x:c r="C92" s="15" t="s">
        <x:v>746</x:v>
      </x:c>
      <x:c r="D92" s="15" t="s">
        <x:v>1734</x:v>
      </x:c>
      <x:c r="E92" s="15" t="s">
        <x:v>1531</x:v>
      </x:c>
      <x:c r="F92" s="15" t="s">
        <x:v>1735</x:v>
      </x:c>
      <x:c r="G92" s="15" t="s">
        <x:v>1736</x:v>
      </x:c>
    </x:row>
    <x:row r="93" ht="14.25" customHeight="1">
      <x:c r="A93" s="15" t="s">
        <x:v>1737</x:v>
      </x:c>
      <x:c r="B93" s="15" t="s">
        <x:v>454</x:v>
      </x:c>
      <x:c r="C93" s="15" t="s">
        <x:v>746</x:v>
      </x:c>
      <x:c r="D93" s="15" t="s">
        <x:v>1738</x:v>
      </x:c>
      <x:c r="E93" s="15" t="s">
        <x:v>1739</x:v>
      </x:c>
      <x:c r="F93" s="15" t="s">
        <x:v>1740</x:v>
      </x:c>
      <x:c r="G93" s="15" t="s">
        <x:v>1741</x:v>
      </x:c>
    </x:row>
    <x:row r="94" ht="14.25" customHeight="1">
      <x:c r="A94" s="15" t="s">
        <x:v>1742</x:v>
      </x:c>
      <x:c r="B94" s="15" t="s">
        <x:v>1697</x:v>
      </x:c>
      <x:c r="C94" s="15" t="s">
        <x:v>766</x:v>
      </x:c>
      <x:c r="D94" s="15" t="s">
        <x:v>1743</x:v>
      </x:c>
      <x:c r="E94" s="15" t="s">
        <x:v>1526</x:v>
      </x:c>
      <x:c r="F94" s="15" t="s">
        <x:v>1744</x:v>
      </x:c>
      <x:c r="G94" s="15" t="s">
        <x:v>1745</x:v>
      </x:c>
    </x:row>
    <x:row r="95" ht="14.25" customHeight="1">
      <x:c r="A95" s="15" t="s">
        <x:v>1746</x:v>
      </x:c>
      <x:c r="B95" s="15" t="s">
        <x:v>454</x:v>
      </x:c>
      <x:c r="C95" s="15" t="s">
        <x:v>766</x:v>
      </x:c>
      <x:c r="D95" s="15" t="s">
        <x:v>1747</x:v>
      </x:c>
      <x:c r="E95" s="15" t="s">
        <x:v>1593</x:v>
      </x:c>
      <x:c r="F95" s="15" t="s">
        <x:v>1748</x:v>
      </x:c>
      <x:c r="G95" s="15" t="s">
        <x:v>1749</x:v>
      </x:c>
    </x:row>
    <x:row r="96" ht="14.25" customHeight="1">
      <x:c r="A96" s="15" t="s">
        <x:v>1750</x:v>
      </x:c>
      <x:c r="B96" s="15" t="s">
        <x:v>386</x:v>
      </x:c>
      <x:c r="C96" s="15" t="s">
        <x:v>766</x:v>
      </x:c>
      <x:c r="D96" s="15" t="s">
        <x:v>1751</x:v>
      </x:c>
      <x:c r="E96" s="15" t="s">
        <x:v>1531</x:v>
      </x:c>
      <x:c r="F96" s="15" t="s">
        <x:v>1752</x:v>
      </x:c>
      <x:c r="G96" s="15" t="s">
        <x:v>1753</x:v>
      </x:c>
    </x:row>
    <x:row r="97" ht="14.25" customHeight="1">
      <x:c r="A97" s="15" t="s">
        <x:v>1754</x:v>
      </x:c>
      <x:c r="B97" s="15" t="s">
        <x:v>1397</x:v>
      </x:c>
      <x:c r="C97" s="15" t="s">
        <x:v>766</x:v>
      </x:c>
      <x:c r="D97" s="15" t="s">
        <x:v>1755</x:v>
      </x:c>
      <x:c r="E97" s="15" t="s">
        <x:v>1481</x:v>
      </x:c>
      <x:c r="F97" s="15" t="s">
        <x:v>1756</x:v>
      </x:c>
      <x:c r="G97" s="15" t="s">
        <x:v>1757</x:v>
      </x:c>
    </x:row>
    <x:row r="98" ht="14.25" customHeight="1">
      <x:c r="A98" s="15" t="s">
        <x:v>1758</x:v>
      </x:c>
      <x:c r="B98" s="15" t="s">
        <x:v>361</x:v>
      </x:c>
      <x:c r="C98" s="15" t="s">
        <x:v>766</x:v>
      </x:c>
      <x:c r="D98" s="15" t="s">
        <x:v>1759</x:v>
      </x:c>
      <x:c r="E98" s="15" t="s">
        <x:v>1327</x:v>
      </x:c>
      <x:c r="F98" s="15" t="s">
        <x:v>1760</x:v>
      </x:c>
      <x:c r="G98" s="15" t="s">
        <x:v>1761</x:v>
      </x:c>
    </x:row>
    <x:row r="99" ht="14.25" customHeight="1">
      <x:c r="A99" s="15" t="s">
        <x:v>1762</x:v>
      </x:c>
      <x:c r="B99" s="15" t="s">
        <x:v>1491</x:v>
      </x:c>
      <x:c r="C99" s="15" t="s">
        <x:v>787</x:v>
      </x:c>
      <x:c r="D99" s="15" t="s">
        <x:v>1763</x:v>
      </x:c>
      <x:c r="E99" s="15" t="s">
        <x:v>1447</x:v>
      </x:c>
      <x:c r="F99" s="15" t="s">
        <x:v>1764</x:v>
      </x:c>
      <x:c r="G99" s="15" t="s">
        <x:v>1765</x:v>
      </x:c>
    </x:row>
    <x:row r="100" ht="14.25" customHeight="1">
      <x:c r="A100" s="15" t="s">
        <x:v>1766</x:v>
      </x:c>
      <x:c r="B100" s="15" t="s">
        <x:v>1767</x:v>
      </x:c>
      <x:c r="C100" s="15" t="s">
        <x:v>787</x:v>
      </x:c>
      <x:c r="D100" s="15" t="s">
        <x:v>1768</x:v>
      </x:c>
      <x:c r="E100" s="15" t="s">
        <x:v>1327</x:v>
      </x:c>
      <x:c r="F100" s="15" t="s">
        <x:v>1769</x:v>
      </x:c>
      <x:c r="G100" s="15" t="s">
        <x:v>1770</x:v>
      </x:c>
    </x:row>
    <x:row r="101" ht="14.25" customHeight="1">
      <x:c r="A101" s="15" t="s">
        <x:v>1771</x:v>
      </x:c>
      <x:c r="B101" s="15" t="s">
        <x:v>1391</x:v>
      </x:c>
      <x:c r="C101" s="15" t="s">
        <x:v>787</x:v>
      </x:c>
      <x:c r="D101" s="15" t="s">
        <x:v>1772</x:v>
      </x:c>
      <x:c r="E101" s="15" t="s">
        <x:v>1672</x:v>
      </x:c>
      <x:c r="F101" s="15" t="s">
        <x:v>1773</x:v>
      </x:c>
      <x:c r="G101" s="15" t="s">
        <x:v>1774</x:v>
      </x:c>
    </x:row>
    <x:row r="102" ht="14.25" customHeight="1">
      <x:c r="A102" s="15" t="s">
        <x:v>1775</x:v>
      </x:c>
      <x:c r="B102" s="15" t="s">
        <x:v>1397</x:v>
      </x:c>
      <x:c r="C102" s="15" t="s">
        <x:v>787</x:v>
      </x:c>
      <x:c r="D102" s="15" t="s">
        <x:v>1776</x:v>
      </x:c>
      <x:c r="E102" s="15" t="s">
        <x:v>1481</x:v>
      </x:c>
      <x:c r="F102" s="15" t="s">
        <x:v>1777</x:v>
      </x:c>
      <x:c r="G102" s="15" t="s">
        <x:v>1778</x:v>
      </x:c>
    </x:row>
    <x:row r="103" ht="14.25" customHeight="1">
      <x:c r="A103" s="15" t="s">
        <x:v>1779</x:v>
      </x:c>
      <x:c r="B103" s="15" t="s">
        <x:v>399</x:v>
      </x:c>
      <x:c r="C103" s="15" t="s">
        <x:v>787</x:v>
      </x:c>
      <x:c r="D103" s="15" t="s">
        <x:v>1780</x:v>
      </x:c>
      <x:c r="E103" s="15" t="s">
        <x:v>1442</x:v>
      </x:c>
      <x:c r="F103" s="15" t="s">
        <x:v>1781</x:v>
      </x:c>
      <x:c r="G103" s="15" t="s">
        <x:v>1782</x:v>
      </x:c>
    </x:row>
    <x:row r="104" ht="14.25" customHeight="1">
      <x:c r="A104" s="15" t="s">
        <x:v>1783</x:v>
      </x:c>
      <x:c r="B104" s="15" t="s">
        <x:v>1784</x:v>
      </x:c>
      <x:c r="C104" s="15" t="s">
        <x:v>805</x:v>
      </x:c>
      <x:c r="D104" s="15" t="s">
        <x:v>1785</x:v>
      </x:c>
      <x:c r="E104" s="15" t="s">
        <x:v>1786</x:v>
      </x:c>
      <x:c r="F104" s="15" t="s">
        <x:v>1787</x:v>
      </x:c>
      <x:c r="G104" s="15" t="s">
        <x:v>1788</x:v>
      </x:c>
    </x:row>
    <x:row r="105" ht="14.25" customHeight="1">
      <x:c r="A105" s="15" t="s">
        <x:v>1789</x:v>
      </x:c>
      <x:c r="B105" s="15" t="s">
        <x:v>1491</x:v>
      </x:c>
      <x:c r="C105" s="15" t="s">
        <x:v>805</x:v>
      </x:c>
      <x:c r="D105" s="15" t="s">
        <x:v>1790</x:v>
      </x:c>
      <x:c r="E105" s="15" t="s">
        <x:v>1447</x:v>
      </x:c>
      <x:c r="F105" s="15" t="s">
        <x:v>1791</x:v>
      </x:c>
      <x:c r="G105" s="15" t="s">
        <x:v>1792</x:v>
      </x:c>
    </x:row>
    <x:row r="106" ht="14.25" customHeight="1">
      <x:c r="A106" s="15" t="s">
        <x:v>1793</x:v>
      </x:c>
      <x:c r="B106" s="15" t="s">
        <x:v>1397</x:v>
      </x:c>
      <x:c r="C106" s="15" t="s">
        <x:v>805</x:v>
      </x:c>
      <x:c r="D106" s="15" t="s">
        <x:v>1684</x:v>
      </x:c>
      <x:c r="E106" s="15" t="s">
        <x:v>1481</x:v>
      </x:c>
      <x:c r="F106" s="15" t="s">
        <x:v>1794</x:v>
      </x:c>
      <x:c r="G106" s="15" t="s">
        <x:v>1795</x:v>
      </x:c>
    </x:row>
    <x:row r="107" ht="14.25" customHeight="1">
      <x:c r="A107" s="15" t="s">
        <x:v>1796</x:v>
      </x:c>
      <x:c r="B107" s="15" t="s">
        <x:v>1797</x:v>
      </x:c>
      <x:c r="C107" s="15" t="s">
        <x:v>805</x:v>
      </x:c>
      <x:c r="D107" s="15" t="s">
        <x:v>1798</x:v>
      </x:c>
      <x:c r="E107" s="15" t="s">
        <x:v>1442</x:v>
      </x:c>
      <x:c r="F107" s="15" t="s">
        <x:v>1799</x:v>
      </x:c>
      <x:c r="G107" s="15" t="s">
        <x:v>1800</x:v>
      </x:c>
    </x:row>
    <x:row r="108" ht="14.25" customHeight="1">
      <x:c r="A108" s="15" t="s">
        <x:v>1801</x:v>
      </x:c>
      <x:c r="B108" s="15" t="s">
        <x:v>561</x:v>
      </x:c>
      <x:c r="C108" s="15" t="s">
        <x:v>805</x:v>
      </x:c>
      <x:c r="D108" s="15" t="s">
        <x:v>1680</x:v>
      </x:c>
      <x:c r="E108" s="15" t="s">
        <x:v>1526</x:v>
      </x:c>
      <x:c r="F108" s="15" t="s">
        <x:v>1802</x:v>
      </x:c>
      <x:c r="G108" s="15" t="s">
        <x:v>1803</x:v>
      </x:c>
    </x:row>
    <x:row r="109" ht="14.25" customHeight="1"/>
    <x:row r="110" ht="14.25" customHeight="1"/>
    <x:row r="111" ht="14.25" customHeight="1"/>
    <x:row r="112" ht="14.25" customHeight="1"/>
    <x:row r="113" ht="14.25" customHeight="1"/>
    <x:row r="114" ht="14.25" customHeight="1"/>
    <x:row r="115" ht="14.25" customHeight="1"/>
    <x:row r="116" ht="14.25" customHeight="1"/>
    <x:row r="117" ht="14.25" customHeight="1"/>
    <x:row r="118" ht="14.25" customHeight="1"/>
    <x:row r="119" ht="14.25" customHeight="1"/>
    <x:row r="120" ht="14.25" customHeight="1"/>
    <x:row r="121" ht="14.25" customHeight="1"/>
    <x:row r="122" ht="14.25" customHeight="1"/>
    <x:row r="123" ht="14.25" customHeight="1"/>
    <x:row r="124" ht="14.25" customHeight="1"/>
    <x:row r="125" ht="14.25" customHeight="1"/>
    <x:row r="126" ht="14.25" customHeight="1"/>
    <x:row r="127" ht="14.25" customHeight="1"/>
    <x:row r="128" ht="14.25" customHeight="1"/>
    <x:row r="129" ht="14.25" customHeight="1"/>
    <x:row r="130" ht="14.25" customHeight="1"/>
    <x:row r="131" ht="14.25" customHeight="1"/>
    <x:row r="132" ht="14.25" customHeight="1"/>
    <x:row r="133" ht="14.25" customHeight="1"/>
    <x:row r="134" ht="14.25" customHeight="1"/>
    <x:row r="135" ht="14.25" customHeight="1"/>
    <x:row r="136" ht="14.25" customHeight="1"/>
    <x:row r="137" ht="14.25" customHeight="1"/>
    <x:row r="138" ht="14.25" customHeight="1"/>
    <x:row r="139" ht="14.25" customHeight="1"/>
    <x:row r="140" ht="14.25" customHeight="1"/>
    <x:row r="141" ht="14.25" customHeight="1"/>
    <x:row r="142" ht="14.25" customHeight="1"/>
    <x:row r="143" ht="14.25" customHeight="1"/>
    <x:row r="144" ht="14.25" customHeight="1"/>
    <x:row r="145" ht="14.25" customHeight="1"/>
    <x:row r="146" ht="14.25" customHeight="1"/>
    <x:row r="147" ht="14.25" customHeight="1"/>
    <x:row r="148" ht="14.25" customHeight="1"/>
    <x:row r="149" ht="14.25" customHeight="1"/>
    <x:row r="150" ht="14.25" customHeight="1"/>
    <x:row r="151" ht="14.25" customHeight="1"/>
    <x:row r="152" ht="14.25" customHeight="1"/>
    <x:row r="153" ht="14.25" customHeight="1"/>
    <x:row r="154" ht="14.25" customHeight="1"/>
    <x:row r="155" ht="14.25" customHeight="1"/>
    <x:row r="156" ht="14.25" customHeight="1"/>
    <x:row r="157" ht="14.25" customHeight="1"/>
    <x:row r="158" ht="14.25" customHeight="1"/>
    <x:row r="159" ht="14.25" customHeight="1"/>
    <x:row r="160" ht="14.25" customHeight="1"/>
    <x:row r="161" ht="14.25" customHeight="1"/>
    <x:row r="162" ht="14.25" customHeight="1"/>
    <x:row r="163" ht="14.25" customHeight="1"/>
    <x:row r="164" ht="14.25" customHeight="1"/>
    <x:row r="165" ht="14.25" customHeight="1"/>
    <x:row r="166" ht="14.25" customHeight="1"/>
    <x:row r="167" ht="14.25" customHeight="1"/>
    <x:row r="168" ht="14.25" customHeight="1"/>
    <x:row r="169" ht="14.25" customHeight="1"/>
    <x:row r="170" ht="14.25" customHeight="1"/>
    <x:row r="171" ht="14.25" customHeight="1"/>
    <x:row r="172" ht="14.25" customHeight="1"/>
    <x:row r="173" ht="14.25" customHeight="1"/>
    <x:row r="174" ht="14.25" customHeight="1"/>
    <x:row r="175" ht="14.25" customHeight="1"/>
    <x:row r="176" ht="14.25" customHeight="1"/>
    <x:row r="177" ht="14.25" customHeight="1"/>
    <x:row r="178" ht="14.25" customHeight="1"/>
    <x:row r="179" ht="14.25" customHeight="1"/>
    <x:row r="180" ht="14.25" customHeight="1"/>
    <x:row r="181" ht="14.25" customHeight="1"/>
    <x:row r="182" ht="14.25" customHeight="1"/>
    <x:row r="183" ht="14.25" customHeight="1"/>
    <x:row r="184" ht="14.25" customHeight="1"/>
    <x:row r="185" ht="14.25" customHeight="1"/>
    <x:row r="186" ht="14.25" customHeight="1"/>
    <x:row r="187" ht="14.25" customHeight="1"/>
    <x:row r="188" ht="14.25" customHeight="1"/>
    <x:row r="189" ht="14.25" customHeight="1"/>
    <x:row r="190" ht="14.25" customHeight="1"/>
    <x:row r="191" ht="14.25" customHeight="1"/>
    <x:row r="192" ht="14.25" customHeight="1"/>
    <x:row r="193" ht="14.25" customHeight="1"/>
    <x:row r="194" ht="14.25" customHeight="1"/>
    <x:row r="195" ht="14.25" customHeight="1"/>
    <x:row r="196" ht="14.25" customHeight="1"/>
    <x:row r="197" ht="14.25" customHeight="1"/>
    <x:row r="198" ht="14.25" customHeight="1"/>
    <x:row r="199" ht="14.25" customHeight="1"/>
    <x:row r="200" ht="14.25" customHeight="1"/>
    <x:row r="201" ht="14.25" customHeight="1"/>
    <x:row r="202" ht="14.25" customHeight="1"/>
    <x:row r="203" ht="14.25" customHeight="1"/>
    <x:row r="204" ht="14.25" customHeight="1"/>
    <x:row r="205" ht="14.25" customHeight="1"/>
    <x:row r="206" ht="14.25" customHeight="1"/>
    <x:row r="207" ht="14.25" customHeight="1"/>
    <x:row r="208" ht="14.25" customHeight="1"/>
    <x:row r="209" ht="14.25" customHeight="1"/>
    <x:row r="210" ht="14.25" customHeight="1"/>
    <x:row r="211" ht="14.25" customHeight="1"/>
    <x:row r="212" ht="14.25" customHeight="1"/>
    <x:row r="213" ht="14.25" customHeight="1"/>
    <x:row r="214" ht="14.25" customHeight="1"/>
    <x:row r="215" ht="14.25" customHeight="1"/>
    <x:row r="216" ht="14.25" customHeight="1"/>
    <x:row r="217" ht="14.25" customHeight="1"/>
    <x:row r="218" ht="14.25" customHeight="1"/>
    <x:row r="219" ht="14.25" customHeight="1"/>
    <x:row r="220" ht="14.25" customHeight="1"/>
    <x:row r="221" ht="14.25" customHeight="1"/>
    <x:row r="222" ht="14.2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pageMargins left="0.7" right="0.7" top="0.75" bottom="0.75" header="0.3" footer="0.3"/>
</x:worksheet>
</file>

<file path=xl/worksheets/sheet12.xml><?xml version="1.0" encoding="utf-8"?>
<x:worksheet xmlns:x="http://schemas.openxmlformats.org/spreadsheetml/2006/main">
  <x:sheetFormatPr defaultColWidth="12.630000114440918" defaultRowHeight="15"/>
  <x:cols>
    <x:col min="1" max="1" width="5.5" customWidth="1"/>
    <x:col min="2" max="2" width="3.25" customWidth="1"/>
    <x:col min="3" max="3" width="17.1299991607666" customWidth="1"/>
    <x:col min="4" max="6" width="9" customWidth="1"/>
  </x:cols>
  <x:sheetData>
    <x:row r="1" ht="14.25" customHeight="1">
      <x:c r="A1" s="33" t="s">
        <x:v>1804</x:v>
      </x:c>
      <x:c r="B1" s="33" t="s">
        <x:v>1805</x:v>
      </x:c>
      <x:c r="C1" s="33" t="s">
        <x:v>1806</x:v>
      </x:c>
    </x:row>
    <x:row r="2" ht="14.25" customHeight="1">
      <x:c r="A2" s="15" t="s">
        <x:v>1807</x:v>
      </x:c>
      <x:c r="B2" s="15" t="s">
        <x:v>1808</x:v>
      </x:c>
      <x:c r="C2" s="15" t="s">
        <x:v>1809</x:v>
      </x:c>
    </x:row>
    <x:row r="3" ht="14.25" customHeight="1">
      <x:c r="A3" s="15" t="s">
        <x:v>1810</x:v>
      </x:c>
      <x:c r="C3" s="15" t="s">
        <x:v>1811</x:v>
      </x:c>
    </x:row>
    <x:row r="4" ht="14.25" customHeight="1">
      <x:c r="A4" s="15" t="s">
        <x:v>1812</x:v>
      </x:c>
      <x:c r="B4" s="15" t="s">
        <x:v>1813</x:v>
      </x:c>
      <x:c r="C4" s="15" t="s">
        <x:v>1814</x:v>
      </x:c>
    </x:row>
    <x:row r="5" ht="14.25" customHeight="1">
      <x:c r="A5" s="23" t="s">
        <x:v>1815</x:v>
      </x:c>
      <x:c r="B5" s="23"/>
      <x:c r="C5" s="23" t="s">
        <x:v>1816</x:v>
      </x:c>
    </x:row>
    <x:row r="6" ht="14.25" customHeight="1">
      <x:c r="A6" s="23" t="s">
        <x:v>1817</x:v>
      </x:c>
      <x:c r="B6" s="23"/>
      <x:c r="C6" s="23" t="s">
        <x:v>1818</x:v>
      </x:c>
    </x:row>
    <x:row r="7" ht="14.25" customHeight="1"/>
    <x:row r="8" ht="14.25" customHeight="1"/>
    <x:row r="9" ht="14.25" customHeight="1"/>
    <x:row r="10" ht="14.25" customHeight="1"/>
    <x:row r="11" ht="14.25" customHeight="1"/>
    <x:row r="12" ht="14.25" customHeight="1"/>
    <x:row r="13" ht="14.25" customHeight="1"/>
    <x:row r="14" ht="14.25" customHeight="1"/>
    <x:row r="15" ht="14.25" customHeight="1"/>
    <x:row r="16" ht="14.25" customHeight="1"/>
    <x:row r="17" ht="14.25" customHeight="1"/>
    <x:row r="18" ht="14.25" customHeight="1"/>
    <x:row r="19" ht="14.25" customHeight="1"/>
    <x:row r="20" ht="14.25" customHeight="1"/>
    <x:row r="21" ht="14.25" customHeight="1"/>
    <x:row r="22" ht="14.25" customHeight="1"/>
    <x:row r="23" ht="14.25" customHeight="1"/>
    <x:row r="24" ht="14.25" customHeight="1"/>
    <x:row r="25" ht="14.25" customHeight="1"/>
    <x:row r="26" ht="14.25" customHeight="1"/>
    <x:row r="27" ht="14.25" customHeight="1"/>
    <x:row r="28" ht="14.25" customHeight="1"/>
    <x:row r="29" ht="14.25" customHeight="1"/>
    <x:row r="30" ht="14.25" customHeight="1"/>
    <x:row r="31" ht="14.25" customHeight="1"/>
    <x:row r="32" ht="14.25" customHeight="1"/>
    <x:row r="33" ht="14.25" customHeight="1"/>
    <x:row r="34" ht="14.25" customHeight="1"/>
    <x:row r="35" ht="14.25" customHeight="1"/>
    <x:row r="36" ht="14.25" customHeight="1"/>
    <x:row r="37" ht="14.25" customHeight="1"/>
    <x:row r="38" ht="14.25" customHeight="1"/>
    <x:row r="39" ht="14.25" customHeight="1"/>
    <x:row r="40" ht="14.25" customHeight="1"/>
    <x:row r="41" ht="14.25" customHeight="1"/>
    <x:row r="42" ht="14.25" customHeight="1"/>
    <x:row r="43" ht="14.25" customHeight="1"/>
    <x:row r="44" ht="14.25" customHeight="1"/>
    <x:row r="45" ht="14.25" customHeight="1"/>
    <x:row r="46" ht="14.25" customHeight="1"/>
    <x:row r="47" ht="14.25" customHeight="1"/>
    <x:row r="48" ht="14.25" customHeight="1"/>
    <x:row r="49" ht="14.25" customHeight="1"/>
    <x:row r="50" ht="14.25" customHeight="1"/>
    <x:row r="51" ht="14.25" customHeight="1"/>
    <x:row r="52" ht="14.25" customHeight="1"/>
    <x:row r="53" ht="14.25" customHeight="1"/>
    <x:row r="54" ht="14.25" customHeight="1"/>
    <x:row r="55" ht="14.25" customHeight="1"/>
    <x:row r="56" ht="14.25" customHeight="1"/>
    <x:row r="57" ht="14.25" customHeight="1"/>
    <x:row r="58" ht="14.25" customHeight="1"/>
    <x:row r="59" ht="14.25" customHeight="1"/>
    <x:row r="60" ht="14.25" customHeight="1"/>
    <x:row r="61" ht="14.25" customHeight="1"/>
    <x:row r="62" ht="14.25" customHeight="1"/>
    <x:row r="63" ht="14.25" customHeight="1"/>
    <x:row r="64" ht="14.25" customHeight="1"/>
    <x:row r="65" ht="14.25" customHeight="1"/>
    <x:row r="66" ht="14.25" customHeight="1"/>
    <x:row r="67" ht="14.25" customHeight="1"/>
    <x:row r="68" ht="14.25" customHeight="1"/>
    <x:row r="69" ht="14.25" customHeight="1"/>
    <x:row r="70" ht="14.25" customHeight="1"/>
    <x:row r="71" ht="14.25" customHeight="1"/>
    <x:row r="72" ht="14.25" customHeight="1"/>
    <x:row r="73" ht="14.25" customHeight="1"/>
    <x:row r="74" ht="14.25" customHeight="1"/>
    <x:row r="75" ht="14.25" customHeight="1"/>
    <x:row r="76" ht="14.25" customHeight="1"/>
    <x:row r="77" ht="14.25" customHeight="1"/>
    <x:row r="78" ht="14.25" customHeight="1"/>
    <x:row r="79" ht="14.25" customHeight="1"/>
    <x:row r="80" ht="14.25" customHeight="1"/>
    <x:row r="81" ht="14.25" customHeight="1"/>
    <x:row r="82" ht="14.25" customHeight="1"/>
    <x:row r="83" ht="14.25" customHeight="1"/>
    <x:row r="84" ht="14.25" customHeight="1"/>
    <x:row r="85" ht="14.25" customHeight="1"/>
    <x:row r="86" ht="14.25" customHeight="1"/>
    <x:row r="87" ht="14.25" customHeight="1"/>
    <x:row r="88" ht="14.25" customHeight="1"/>
    <x:row r="89" ht="14.25" customHeight="1"/>
    <x:row r="90" ht="14.25" customHeight="1"/>
    <x:row r="91" ht="14.25" customHeight="1"/>
    <x:row r="92" ht="14.25" customHeight="1"/>
    <x:row r="93" ht="14.25" customHeight="1"/>
    <x:row r="94" ht="14.25" customHeight="1"/>
    <x:row r="95" ht="14.25" customHeight="1"/>
    <x:row r="96" ht="14.25" customHeight="1"/>
    <x:row r="97" ht="14.25" customHeight="1"/>
    <x:row r="98" ht="14.25" customHeight="1"/>
    <x:row r="99" ht="14.25" customHeight="1"/>
    <x:row r="100" ht="14.25" customHeight="1"/>
    <x:row r="101" ht="14.25" customHeight="1"/>
    <x:row r="102" ht="14.25" customHeight="1"/>
    <x:row r="103" ht="14.25" customHeight="1"/>
    <x:row r="104" ht="14.25" customHeight="1"/>
    <x:row r="105" ht="14.25" customHeight="1"/>
    <x:row r="106" ht="14.25" customHeight="1"/>
    <x:row r="107" ht="14.25" customHeight="1"/>
    <x:row r="108" ht="14.25" customHeight="1"/>
    <x:row r="109" ht="14.25" customHeight="1"/>
    <x:row r="110" ht="14.25" customHeight="1"/>
    <x:row r="111" ht="14.25" customHeight="1"/>
    <x:row r="112" ht="14.25" customHeight="1"/>
    <x:row r="113" ht="14.25" customHeight="1"/>
    <x:row r="114" ht="14.25" customHeight="1"/>
    <x:row r="115" ht="14.25" customHeight="1"/>
    <x:row r="116" ht="14.25" customHeight="1"/>
    <x:row r="117" ht="14.25" customHeight="1"/>
    <x:row r="118" ht="14.25" customHeight="1"/>
    <x:row r="119" ht="14.25" customHeight="1"/>
    <x:row r="120" ht="14.25" customHeight="1"/>
    <x:row r="121" ht="14.25" customHeight="1"/>
    <x:row r="122" ht="14.25" customHeight="1"/>
    <x:row r="123" ht="14.25" customHeight="1"/>
    <x:row r="124" ht="14.25" customHeight="1"/>
    <x:row r="125" ht="14.25" customHeight="1"/>
    <x:row r="126" ht="14.25" customHeight="1"/>
    <x:row r="127" ht="14.25" customHeight="1"/>
    <x:row r="128" ht="14.25" customHeight="1"/>
    <x:row r="129" ht="14.25" customHeight="1"/>
    <x:row r="130" ht="14.25" customHeight="1"/>
    <x:row r="131" ht="14.25" customHeight="1"/>
    <x:row r="132" ht="14.25" customHeight="1"/>
    <x:row r="133" ht="14.25" customHeight="1"/>
    <x:row r="134" ht="14.25" customHeight="1"/>
    <x:row r="135" ht="14.25" customHeight="1"/>
    <x:row r="136" ht="14.25" customHeight="1"/>
    <x:row r="137" ht="14.25" customHeight="1"/>
    <x:row r="138" ht="14.25" customHeight="1"/>
    <x:row r="139" ht="14.25" customHeight="1"/>
    <x:row r="140" ht="14.25" customHeight="1"/>
    <x:row r="141" ht="14.25" customHeight="1"/>
    <x:row r="142" ht="14.25" customHeight="1"/>
    <x:row r="143" ht="14.25" customHeight="1"/>
    <x:row r="144" ht="14.25" customHeight="1"/>
    <x:row r="145" ht="14.25" customHeight="1"/>
    <x:row r="146" ht="14.25" customHeight="1"/>
    <x:row r="147" ht="14.25" customHeight="1"/>
    <x:row r="148" ht="14.25" customHeight="1"/>
    <x:row r="149" ht="14.25" customHeight="1"/>
    <x:row r="150" ht="14.25" customHeight="1"/>
    <x:row r="151" ht="14.25" customHeight="1"/>
    <x:row r="152" ht="14.25" customHeight="1"/>
    <x:row r="153" ht="14.25" customHeight="1"/>
    <x:row r="154" ht="14.25" customHeight="1"/>
    <x:row r="155" ht="14.25" customHeight="1"/>
    <x:row r="156" ht="14.25" customHeight="1"/>
    <x:row r="157" ht="14.25" customHeight="1"/>
    <x:row r="158" ht="14.25" customHeight="1"/>
    <x:row r="159" ht="14.25" customHeight="1"/>
    <x:row r="160" ht="14.25" customHeight="1"/>
    <x:row r="161" ht="14.25" customHeight="1"/>
    <x:row r="162" ht="14.25" customHeight="1"/>
    <x:row r="163" ht="14.25" customHeight="1"/>
    <x:row r="164" ht="14.25" customHeight="1"/>
    <x:row r="165" ht="14.25" customHeight="1"/>
    <x:row r="166" ht="14.25" customHeight="1"/>
    <x:row r="167" ht="14.25" customHeight="1"/>
    <x:row r="168" ht="14.25" customHeight="1"/>
    <x:row r="169" ht="14.25" customHeight="1"/>
    <x:row r="170" ht="14.25" customHeight="1"/>
    <x:row r="171" ht="14.25" customHeight="1"/>
    <x:row r="172" ht="14.25" customHeight="1"/>
    <x:row r="173" ht="14.25" customHeight="1"/>
    <x:row r="174" ht="14.25" customHeight="1"/>
    <x:row r="175" ht="14.25" customHeight="1"/>
    <x:row r="176" ht="14.25" customHeight="1"/>
    <x:row r="177" ht="14.25" customHeight="1"/>
    <x:row r="178" ht="14.25" customHeight="1"/>
    <x:row r="179" ht="14.25" customHeight="1"/>
    <x:row r="180" ht="14.25" customHeight="1"/>
    <x:row r="181" ht="14.25" customHeight="1"/>
    <x:row r="182" ht="14.25" customHeight="1"/>
    <x:row r="183" ht="14.25" customHeight="1"/>
    <x:row r="184" ht="14.25" customHeight="1"/>
    <x:row r="185" ht="14.25" customHeight="1"/>
    <x:row r="186" ht="14.25" customHeight="1"/>
    <x:row r="187" ht="14.25" customHeight="1"/>
    <x:row r="188" ht="14.25" customHeight="1"/>
    <x:row r="189" ht="14.25" customHeight="1"/>
    <x:row r="190" ht="14.25" customHeight="1"/>
    <x:row r="191" ht="14.25" customHeight="1"/>
    <x:row r="192" ht="14.25" customHeight="1"/>
    <x:row r="193" ht="14.25" customHeight="1"/>
    <x:row r="194" ht="14.25" customHeight="1"/>
    <x:row r="195" ht="14.25" customHeight="1"/>
    <x:row r="196" ht="14.25" customHeight="1"/>
    <x:row r="197" ht="14.25" customHeight="1"/>
    <x:row r="198" ht="14.25" customHeight="1"/>
    <x:row r="199" ht="14.25" customHeight="1"/>
    <x:row r="200" ht="14.25" customHeight="1"/>
    <x:row r="201" ht="14.25" customHeight="1"/>
    <x:row r="202" ht="14.25" customHeight="1"/>
    <x:row r="203" ht="14.25" customHeight="1"/>
    <x:row r="204" ht="14.25" customHeight="1"/>
    <x:row r="205" ht="14.25" customHeight="1"/>
    <x:row r="206" ht="14.25" customHeight="1"/>
    <x:row r="207" ht="14.25" customHeight="1"/>
    <x:row r="208" ht="14.25" customHeight="1"/>
    <x:row r="209" ht="14.25" customHeight="1"/>
    <x:row r="210" ht="14.25" customHeight="1"/>
    <x:row r="211" ht="14.25" customHeight="1"/>
    <x:row r="212" ht="14.25" customHeight="1"/>
    <x:row r="213" ht="14.25" customHeight="1"/>
    <x:row r="214" ht="14.25" customHeight="1"/>
    <x:row r="215" ht="14.25" customHeight="1"/>
    <x:row r="216" ht="14.25" customHeight="1"/>
    <x:row r="217" ht="14.25" customHeight="1"/>
    <x:row r="218" ht="14.25" customHeight="1"/>
    <x:row r="219" ht="14.25" customHeight="1"/>
    <x:row r="220" ht="14.2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pageMargins left="0.7" right="0.7" top="0.75" bottom="0.75" header="0.3" footer="0.3"/>
</x:worksheet>
</file>

<file path=xl/worksheets/sheet13.xml><?xml version="1.0" encoding="utf-8"?>
<x:worksheet xmlns:x="http://schemas.openxmlformats.org/spreadsheetml/2006/main">
  <x:sheetFormatPr defaultColWidth="12.630000114440918" defaultRowHeight="15"/>
  <x:cols>
    <x:col min="1" max="3" width="20" customWidth="1"/>
    <x:col min="4" max="4" width="58" customWidth="1"/>
    <x:col min="5" max="6" width="9" customWidth="1"/>
  </x:cols>
  <x:sheetData>
    <x:row r="1" ht="14.25" customHeight="1">
      <x:c r="A1" s="35" t="s">
        <x:v>40</x:v>
      </x:c>
      <x:c r="B1" s="35" t="s">
        <x:v>179</x:v>
      </x:c>
      <x:c r="C1" s="35" t="s">
        <x:v>149</x:v>
      </x:c>
      <x:c r="D1" s="108" t="s">
        <x:v>1819</x:v>
      </x:c>
    </x:row>
    <x:row r="2" ht="14.25" customHeight="1">
      <x:c r="A2" s="15" t="s">
        <x:v>1820</x:v>
      </x:c>
      <x:c r="B2" s="36">
        <x:v>0.25</x:v>
      </x:c>
      <x:c r="C2" s="15" t="s">
        <x:v>1820</x:v>
      </x:c>
      <x:c r="D2" s="15" t="s">
        <x:v>1821</x:v>
      </x:c>
    </x:row>
    <x:row r="3" ht="14.25" customHeight="1">
      <x:c r="A3" s="15" t="s">
        <x:v>1822</x:v>
      </x:c>
      <x:c r="B3" s="36">
        <x:v>0.5</x:v>
      </x:c>
      <x:c r="C3" s="15" t="s">
        <x:v>1822</x:v>
      </x:c>
      <x:c r="D3" s="15" t="s">
        <x:v>1823</x:v>
      </x:c>
    </x:row>
    <x:row r="4" ht="14.25" customHeight="1">
      <x:c r="A4" s="15" t="s">
        <x:v>1824</x:v>
      </x:c>
      <x:c r="B4" s="36">
        <x:v>0.75</x:v>
      </x:c>
      <x:c r="C4" s="15" t="s">
        <x:v>1824</x:v>
      </x:c>
      <x:c r="D4" s="15" t="s">
        <x:v>1825</x:v>
      </x:c>
    </x:row>
    <x:row r="5" ht="14.25" customHeight="1">
      <x:c r="A5" s="15" t="s">
        <x:v>1826</x:v>
      </x:c>
      <x:c r="B5" s="36">
        <x:v>1.0</x:v>
      </x:c>
      <x:c r="C5" s="15" t="s">
        <x:v>1826</x:v>
      </x:c>
      <x:c r="D5" s="15" t="s">
        <x:v>1827</x:v>
      </x:c>
    </x:row>
    <x:row r="6" ht="14.25" customHeight="1">
      <x:c r="A6" s="15" t="s">
        <x:v>41</x:v>
      </x:c>
      <x:c r="B6" s="36">
        <x:v>1.25</x:v>
      </x:c>
      <x:c r="C6" s="15" t="s">
        <x:v>41</x:v>
      </x:c>
      <x:c r="D6" s="15" t="s">
        <x:v>1828</x:v>
      </x:c>
    </x:row>
    <x:row r="7" ht="14.25" customHeight="1">
      <x:c r="A7" s="15" t="s">
        <x:v>1829</x:v>
      </x:c>
      <x:c r="B7" s="36">
        <x:v>1.5</x:v>
      </x:c>
      <x:c r="C7" s="15" t="s">
        <x:v>1829</x:v>
      </x:c>
      <x:c r="D7" s="15" t="s">
        <x:v>1830</x:v>
      </x:c>
    </x:row>
    <x:row r="8" ht="14.25" customHeight="1">
      <x:c r="A8" s="15" t="s">
        <x:v>1831</x:v>
      </x:c>
      <x:c r="B8" s="36">
        <x:v>2.0</x:v>
      </x:c>
      <x:c r="C8" s="15" t="s">
        <x:v>1831</x:v>
      </x:c>
      <x:c r="D8" s="15" t="s">
        <x:v>1832</x:v>
      </x:c>
    </x:row>
    <x:row r="9" ht="14.25" customHeight="1"/>
    <x:row r="10" ht="14.25" customHeight="1"/>
    <x:row r="11" ht="14.25" customHeight="1"/>
    <x:row r="12" ht="14.25" customHeight="1"/>
    <x:row r="13" ht="14.25" customHeight="1"/>
    <x:row r="14" ht="14.25" customHeight="1"/>
    <x:row r="15" ht="14.25" customHeight="1"/>
    <x:row r="16" ht="14.25" customHeight="1"/>
    <x:row r="17" ht="14.25" customHeight="1"/>
    <x:row r="18" ht="14.25" customHeight="1"/>
    <x:row r="19" ht="14.25" customHeight="1"/>
    <x:row r="20" ht="14.25" customHeight="1"/>
    <x:row r="21" ht="14.25" customHeight="1"/>
    <x:row r="22" ht="14.25" customHeight="1"/>
    <x:row r="23" ht="14.25" customHeight="1"/>
    <x:row r="24" ht="14.25" customHeight="1"/>
    <x:row r="25" ht="14.25" customHeight="1"/>
    <x:row r="26" ht="14.25" customHeight="1"/>
    <x:row r="27" ht="14.25" customHeight="1"/>
    <x:row r="28" ht="14.25" customHeight="1"/>
    <x:row r="29" ht="14.25" customHeight="1"/>
    <x:row r="30" ht="14.25" customHeight="1"/>
    <x:row r="31" ht="14.25" customHeight="1"/>
    <x:row r="32" ht="14.25" customHeight="1"/>
    <x:row r="33" ht="14.25" customHeight="1"/>
    <x:row r="34" ht="14.25" customHeight="1"/>
    <x:row r="35" ht="14.25" customHeight="1"/>
    <x:row r="36" ht="14.25" customHeight="1"/>
    <x:row r="37" ht="14.25" customHeight="1"/>
    <x:row r="38" ht="14.25" customHeight="1"/>
    <x:row r="39" ht="14.25" customHeight="1"/>
    <x:row r="40" ht="14.25" customHeight="1"/>
    <x:row r="41" ht="14.25" customHeight="1"/>
    <x:row r="42" ht="14.25" customHeight="1"/>
    <x:row r="43" ht="14.25" customHeight="1"/>
    <x:row r="44" ht="14.25" customHeight="1"/>
    <x:row r="45" ht="14.25" customHeight="1"/>
    <x:row r="46" ht="14.25" customHeight="1"/>
    <x:row r="47" ht="14.25" customHeight="1"/>
    <x:row r="48" ht="14.25" customHeight="1"/>
    <x:row r="49" ht="14.25" customHeight="1"/>
    <x:row r="50" ht="14.25" customHeight="1"/>
    <x:row r="51" ht="14.25" customHeight="1"/>
    <x:row r="52" ht="14.25" customHeight="1"/>
    <x:row r="53" ht="14.25" customHeight="1"/>
    <x:row r="54" ht="14.25" customHeight="1"/>
    <x:row r="55" ht="14.25" customHeight="1"/>
    <x:row r="56" ht="14.25" customHeight="1"/>
    <x:row r="57" ht="14.25" customHeight="1"/>
    <x:row r="58" ht="14.25" customHeight="1"/>
    <x:row r="59" ht="14.25" customHeight="1"/>
    <x:row r="60" ht="14.25" customHeight="1"/>
    <x:row r="61" ht="14.25" customHeight="1"/>
    <x:row r="62" ht="14.25" customHeight="1"/>
    <x:row r="63" ht="14.25" customHeight="1"/>
    <x:row r="64" ht="14.25" customHeight="1"/>
    <x:row r="65" ht="14.25" customHeight="1"/>
    <x:row r="66" ht="14.25" customHeight="1"/>
    <x:row r="67" ht="14.25" customHeight="1"/>
    <x:row r="68" ht="14.25" customHeight="1"/>
    <x:row r="69" ht="14.25" customHeight="1"/>
    <x:row r="70" ht="14.25" customHeight="1"/>
    <x:row r="71" ht="14.25" customHeight="1"/>
    <x:row r="72" ht="14.25" customHeight="1"/>
    <x:row r="73" ht="14.25" customHeight="1"/>
    <x:row r="74" ht="14.25" customHeight="1"/>
    <x:row r="75" ht="14.25" customHeight="1"/>
    <x:row r="76" ht="14.25" customHeight="1"/>
    <x:row r="77" ht="14.25" customHeight="1"/>
    <x:row r="78" ht="14.25" customHeight="1"/>
    <x:row r="79" ht="14.25" customHeight="1"/>
    <x:row r="80" ht="14.25" customHeight="1"/>
    <x:row r="81" ht="14.25" customHeight="1"/>
    <x:row r="82" ht="14.25" customHeight="1"/>
    <x:row r="83" ht="14.25" customHeight="1"/>
    <x:row r="84" ht="14.25" customHeight="1"/>
    <x:row r="85" ht="14.25" customHeight="1"/>
    <x:row r="86" ht="14.25" customHeight="1"/>
    <x:row r="87" ht="14.25" customHeight="1"/>
    <x:row r="88" ht="14.25" customHeight="1"/>
    <x:row r="89" ht="14.25" customHeight="1"/>
    <x:row r="90" ht="14.25" customHeight="1"/>
    <x:row r="91" ht="14.25" customHeight="1"/>
    <x:row r="92" ht="14.25" customHeight="1"/>
    <x:row r="93" ht="14.25" customHeight="1"/>
    <x:row r="94" ht="14.25" customHeight="1"/>
    <x:row r="95" ht="14.25" customHeight="1"/>
    <x:row r="96" ht="14.25" customHeight="1"/>
    <x:row r="97" ht="14.25" customHeight="1"/>
    <x:row r="98" ht="14.25" customHeight="1"/>
    <x:row r="99" ht="14.25" customHeight="1"/>
    <x:row r="100" ht="14.25" customHeight="1"/>
    <x:row r="101" ht="14.25" customHeight="1"/>
    <x:row r="102" ht="14.25" customHeight="1"/>
    <x:row r="103" ht="14.25" customHeight="1"/>
    <x:row r="104" ht="14.25" customHeight="1"/>
    <x:row r="105" ht="14.25" customHeight="1"/>
    <x:row r="106" ht="14.25" customHeight="1"/>
    <x:row r="107" ht="14.25" customHeight="1"/>
    <x:row r="108" ht="14.25" customHeight="1"/>
    <x:row r="109" ht="14.25" customHeight="1"/>
    <x:row r="110" ht="14.25" customHeight="1"/>
    <x:row r="111" ht="14.25" customHeight="1"/>
    <x:row r="112" ht="14.25" customHeight="1"/>
    <x:row r="113" ht="14.25" customHeight="1"/>
    <x:row r="114" ht="14.25" customHeight="1"/>
    <x:row r="115" ht="14.25" customHeight="1"/>
    <x:row r="116" ht="14.25" customHeight="1"/>
    <x:row r="117" ht="14.25" customHeight="1"/>
    <x:row r="118" ht="14.25" customHeight="1"/>
    <x:row r="119" ht="14.25" customHeight="1"/>
    <x:row r="120" ht="14.25" customHeight="1"/>
    <x:row r="121" ht="14.25" customHeight="1"/>
    <x:row r="122" ht="14.25" customHeight="1"/>
    <x:row r="123" ht="14.25" customHeight="1"/>
    <x:row r="124" ht="14.25" customHeight="1"/>
    <x:row r="125" ht="14.25" customHeight="1"/>
    <x:row r="126" ht="14.25" customHeight="1"/>
    <x:row r="127" ht="14.25" customHeight="1"/>
    <x:row r="128" ht="14.25" customHeight="1"/>
    <x:row r="129" ht="14.25" customHeight="1"/>
    <x:row r="130" ht="14.25" customHeight="1"/>
    <x:row r="131" ht="14.25" customHeight="1"/>
    <x:row r="132" ht="14.25" customHeight="1"/>
    <x:row r="133" ht="14.25" customHeight="1"/>
    <x:row r="134" ht="14.25" customHeight="1"/>
    <x:row r="135" ht="14.25" customHeight="1"/>
    <x:row r="136" ht="14.25" customHeight="1"/>
    <x:row r="137" ht="14.25" customHeight="1"/>
    <x:row r="138" ht="14.25" customHeight="1"/>
    <x:row r="139" ht="14.25" customHeight="1"/>
    <x:row r="140" ht="14.25" customHeight="1"/>
    <x:row r="141" ht="14.25" customHeight="1"/>
    <x:row r="142" ht="14.25" customHeight="1"/>
    <x:row r="143" ht="14.25" customHeight="1"/>
    <x:row r="144" ht="14.25" customHeight="1"/>
    <x:row r="145" ht="14.25" customHeight="1"/>
    <x:row r="146" ht="14.25" customHeight="1"/>
    <x:row r="147" ht="14.25" customHeight="1"/>
    <x:row r="148" ht="14.25" customHeight="1"/>
    <x:row r="149" ht="14.25" customHeight="1"/>
    <x:row r="150" ht="14.25" customHeight="1"/>
    <x:row r="151" ht="14.25" customHeight="1"/>
    <x:row r="152" ht="14.25" customHeight="1"/>
    <x:row r="153" ht="14.25" customHeight="1"/>
    <x:row r="154" ht="14.25" customHeight="1"/>
    <x:row r="155" ht="14.25" customHeight="1"/>
    <x:row r="156" ht="14.25" customHeight="1"/>
    <x:row r="157" ht="14.25" customHeight="1"/>
    <x:row r="158" ht="14.25" customHeight="1"/>
    <x:row r="159" ht="14.25" customHeight="1"/>
    <x:row r="160" ht="14.25" customHeight="1"/>
    <x:row r="161" ht="14.25" customHeight="1"/>
    <x:row r="162" ht="14.25" customHeight="1"/>
    <x:row r="163" ht="14.25" customHeight="1"/>
    <x:row r="164" ht="14.25" customHeight="1"/>
    <x:row r="165" ht="14.25" customHeight="1"/>
    <x:row r="166" ht="14.25" customHeight="1"/>
    <x:row r="167" ht="14.25" customHeight="1"/>
    <x:row r="168" ht="14.25" customHeight="1"/>
    <x:row r="169" ht="14.25" customHeight="1"/>
    <x:row r="170" ht="14.25" customHeight="1"/>
    <x:row r="171" ht="14.25" customHeight="1"/>
    <x:row r="172" ht="14.25" customHeight="1"/>
    <x:row r="173" ht="14.25" customHeight="1"/>
    <x:row r="174" ht="14.25" customHeight="1"/>
    <x:row r="175" ht="14.25" customHeight="1"/>
    <x:row r="176" ht="14.25" customHeight="1"/>
    <x:row r="177" ht="14.25" customHeight="1"/>
    <x:row r="178" ht="14.25" customHeight="1"/>
    <x:row r="179" ht="14.25" customHeight="1"/>
    <x:row r="180" ht="14.25" customHeight="1"/>
    <x:row r="181" ht="14.25" customHeight="1"/>
    <x:row r="182" ht="14.25" customHeight="1"/>
    <x:row r="183" ht="14.25" customHeight="1"/>
    <x:row r="184" ht="14.25" customHeight="1"/>
    <x:row r="185" ht="14.25" customHeight="1"/>
    <x:row r="186" ht="14.25" customHeight="1"/>
    <x:row r="187" ht="14.25" customHeight="1"/>
    <x:row r="188" ht="14.25" customHeight="1"/>
    <x:row r="189" ht="14.25" customHeight="1"/>
    <x:row r="190" ht="14.25" customHeight="1"/>
    <x:row r="191" ht="14.25" customHeight="1"/>
    <x:row r="192" ht="14.25" customHeight="1"/>
    <x:row r="193" ht="14.25" customHeight="1"/>
    <x:row r="194" ht="14.25" customHeight="1"/>
    <x:row r="195" ht="14.25" customHeight="1"/>
    <x:row r="196" ht="14.25" customHeight="1"/>
    <x:row r="197" ht="14.25" customHeight="1"/>
    <x:row r="198" ht="14.25" customHeight="1"/>
    <x:row r="199" ht="14.25" customHeight="1"/>
    <x:row r="200" ht="14.25" customHeight="1"/>
    <x:row r="201" ht="14.25" customHeight="1"/>
    <x:row r="202" ht="14.25" customHeight="1"/>
    <x:row r="203" ht="14.25" customHeight="1"/>
    <x:row r="204" ht="14.25" customHeight="1"/>
    <x:row r="205" ht="14.25" customHeight="1"/>
    <x:row r="206" ht="14.25" customHeight="1"/>
    <x:row r="207" ht="14.25" customHeight="1"/>
    <x:row r="208" ht="14.25" customHeight="1"/>
    <x:row r="209" ht="14.25" customHeight="1"/>
    <x:row r="210" ht="14.25" customHeight="1"/>
    <x:row r="211" ht="14.25" customHeight="1"/>
    <x:row r="212" ht="14.25" customHeight="1"/>
    <x:row r="213" ht="14.25" customHeight="1"/>
    <x:row r="214" ht="14.25" customHeight="1"/>
    <x:row r="215" ht="14.25" customHeight="1"/>
    <x:row r="216" ht="14.25" customHeight="1"/>
    <x:row r="217" ht="14.25" customHeight="1"/>
    <x:row r="218" ht="14.25" customHeight="1"/>
    <x:row r="219" ht="14.25" customHeight="1"/>
    <x:row r="220" ht="14.2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pageMargins left="0.7" right="0.7" top="0.75" bottom="0.75" header="0.3" footer="0.3"/>
</x:worksheet>
</file>

<file path=xl/worksheets/sheet14.xml><?xml version="1.0" encoding="utf-8"?>
<x:worksheet xmlns:x="http://schemas.openxmlformats.org/spreadsheetml/2006/main">
  <x:sheetFormatPr defaultColWidth="12.630000114440918" defaultRowHeight="15"/>
  <x:cols>
    <x:col min="1" max="1" width="25" customWidth="1"/>
    <x:col min="2" max="2" width="16" customWidth="1"/>
    <x:col min="3" max="4" width="9" customWidth="1"/>
    <x:col min="5" max="6" width="14" customWidth="1"/>
    <x:col min="7" max="8" width="60" customWidth="1"/>
  </x:cols>
  <x:sheetData>
    <x:row r="1" ht="14.25" customHeight="1">
      <x:c r="A1" s="111" t="s">
        <x:v>1833</x:v>
      </x:c>
      <x:c r="B1" s="111" t="s">
        <x:v>12</x:v>
      </x:c>
      <x:c r="C1" s="111" t="s">
        <x:v>1834</x:v>
      </x:c>
      <x:c r="D1" s="111" t="s">
        <x:v>1835</x:v>
      </x:c>
      <x:c r="E1" s="111" t="s">
        <x:v>1836</x:v>
      </x:c>
      <x:c r="F1" s="111" t="s">
        <x:v>1837</x:v>
      </x:c>
      <x:c r="G1" s="111" t="s">
        <x:v>1838</x:v>
      </x:c>
      <x:c r="H1" s="111" t="s">
        <x:v>1839</x:v>
      </x:c>
    </x:row>
    <x:row r="2" ht="14.25" customHeight="1">
      <x:c r="A2" s="15" t="s">
        <x:v>1840</x:v>
      </x:c>
      <x:c r="B2" s="15" t="s">
        <x:v>461</x:v>
      </x:c>
      <x:c r="C2" s="15">
        <x:v>0.0</x:v>
      </x:c>
      <x:c r="D2" s="15">
        <x:v>1.0</x:v>
      </x:c>
      <x:c r="E2" s="15" t="s">
        <x:v>1841</x:v>
      </x:c>
      <x:c r="F2" s="15" t="s">
        <x:v>1842</x:v>
      </x:c>
      <x:c r="G2" s="15" t="s">
        <x:v>1843</x:v>
      </x:c>
      <x:c r="H2" s="15" t="s">
        <x:v>1844</x:v>
      </x:c>
    </x:row>
    <x:row r="3" ht="14.25" customHeight="1">
      <x:c r="A3" s="15" t="s">
        <x:v>1845</x:v>
      </x:c>
      <x:c r="B3" s="15" t="s">
        <x:v>461</x:v>
      </x:c>
      <x:c r="C3" s="15">
        <x:v>2.0</x:v>
      </x:c>
      <x:c r="D3" s="15">
        <x:v>4.0</x:v>
      </x:c>
      <x:c r="E3" s="15" t="s">
        <x:v>1846</x:v>
      </x:c>
      <x:c r="F3" s="15" t="s">
        <x:v>1847</x:v>
      </x:c>
      <x:c r="G3" s="15" t="s">
        <x:v>1848</x:v>
      </x:c>
      <x:c r="H3" s="15" t="s">
        <x:v>1844</x:v>
      </x:c>
    </x:row>
    <x:row r="4" ht="14.25" customHeight="1">
      <x:c r="A4" s="15" t="s">
        <x:v>1849</x:v>
      </x:c>
      <x:c r="B4" s="15" t="s">
        <x:v>461</x:v>
      </x:c>
      <x:c r="C4" s="15">
        <x:v>5.0</x:v>
      </x:c>
      <x:c r="D4" s="15">
        <x:v>7.0</x:v>
      </x:c>
      <x:c r="E4" s="15" t="s">
        <x:v>1850</x:v>
      </x:c>
      <x:c r="F4" s="15" t="s">
        <x:v>1851</x:v>
      </x:c>
      <x:c r="G4" s="15" t="s">
        <x:v>1852</x:v>
      </x:c>
      <x:c r="H4" s="15" t="s">
        <x:v>1844</x:v>
      </x:c>
    </x:row>
    <x:row r="5" ht="14.25" customHeight="1">
      <x:c r="A5" s="15" t="s">
        <x:v>1853</x:v>
      </x:c>
      <x:c r="B5" s="15" t="s">
        <x:v>461</x:v>
      </x:c>
      <x:c r="C5" s="15">
        <x:v>8.0</x:v>
      </x:c>
      <x:c r="D5" s="15">
        <x:v>10.0</x:v>
      </x:c>
      <x:c r="E5" s="15" t="s">
        <x:v>1854</x:v>
      </x:c>
      <x:c r="F5" s="15" t="s">
        <x:v>1855</x:v>
      </x:c>
      <x:c r="G5" s="15" t="s">
        <x:v>1856</x:v>
      </x:c>
      <x:c r="H5" s="15" t="s">
        <x:v>1844</x:v>
      </x:c>
    </x:row>
    <x:row r="6" ht="14.25" customHeight="1">
      <x:c r="A6" s="15" t="s">
        <x:v>1857</x:v>
      </x:c>
      <x:c r="B6" s="15" t="s">
        <x:v>461</x:v>
      </x:c>
      <x:c r="C6" s="15">
        <x:v>11.0</x:v>
      </x:c>
      <x:c r="D6" s="15">
        <x:v>99.0</x:v>
      </x:c>
      <x:c r="E6" s="15" t="s">
        <x:v>1858</x:v>
      </x:c>
      <x:c r="F6" s="15" t="s">
        <x:v>1831</x:v>
      </x:c>
      <x:c r="G6" s="15" t="s">
        <x:v>1859</x:v>
      </x:c>
      <x:c r="H6" s="15" t="s">
        <x:v>1844</x:v>
      </x:c>
    </x:row>
    <x:row r="7" ht="14.25" customHeight="1">
      <x:c r="A7" s="15" t="s">
        <x:v>1860</x:v>
      </x:c>
      <x:c r="B7" s="15" t="s">
        <x:v>507</x:v>
      </x:c>
      <x:c r="C7" s="15">
        <x:v>0.0</x:v>
      </x:c>
      <x:c r="D7" s="15">
        <x:v>1.0</x:v>
      </x:c>
      <x:c r="E7" s="15" t="s">
        <x:v>1841</x:v>
      </x:c>
      <x:c r="F7" s="15" t="s">
        <x:v>1842</x:v>
      </x:c>
      <x:c r="G7" s="15" t="s">
        <x:v>1861</x:v>
      </x:c>
      <x:c r="H7" s="15" t="s">
        <x:v>1862</x:v>
      </x:c>
    </x:row>
    <x:row r="8" ht="14.25" customHeight="1">
      <x:c r="A8" s="15" t="s">
        <x:v>1863</x:v>
      </x:c>
      <x:c r="B8" s="15" t="s">
        <x:v>507</x:v>
      </x:c>
      <x:c r="C8" s="15">
        <x:v>2.0</x:v>
      </x:c>
      <x:c r="D8" s="15">
        <x:v>4.0</x:v>
      </x:c>
      <x:c r="E8" s="15" t="s">
        <x:v>1846</x:v>
      </x:c>
      <x:c r="F8" s="15" t="s">
        <x:v>1847</x:v>
      </x:c>
      <x:c r="G8" s="15" t="s">
        <x:v>1864</x:v>
      </x:c>
      <x:c r="H8" s="15" t="s">
        <x:v>1862</x:v>
      </x:c>
    </x:row>
    <x:row r="9" ht="14.25" customHeight="1">
      <x:c r="A9" s="15" t="s">
        <x:v>1865</x:v>
      </x:c>
      <x:c r="B9" s="15" t="s">
        <x:v>507</x:v>
      </x:c>
      <x:c r="C9" s="15">
        <x:v>5.0</x:v>
      </x:c>
      <x:c r="D9" s="15">
        <x:v>7.0</x:v>
      </x:c>
      <x:c r="E9" s="15" t="s">
        <x:v>1850</x:v>
      </x:c>
      <x:c r="F9" s="15" t="s">
        <x:v>1851</x:v>
      </x:c>
      <x:c r="G9" s="15" t="s">
        <x:v>1866</x:v>
      </x:c>
      <x:c r="H9" s="15" t="s">
        <x:v>1862</x:v>
      </x:c>
    </x:row>
    <x:row r="10" ht="14.25" customHeight="1">
      <x:c r="A10" s="15" t="s">
        <x:v>1867</x:v>
      </x:c>
      <x:c r="B10" s="15" t="s">
        <x:v>507</x:v>
      </x:c>
      <x:c r="C10" s="15">
        <x:v>8.0</x:v>
      </x:c>
      <x:c r="D10" s="15">
        <x:v>10.0</x:v>
      </x:c>
      <x:c r="E10" s="15" t="s">
        <x:v>1854</x:v>
      </x:c>
      <x:c r="F10" s="15" t="s">
        <x:v>1855</x:v>
      </x:c>
      <x:c r="G10" s="15" t="s">
        <x:v>1868</x:v>
      </x:c>
      <x:c r="H10" s="15" t="s">
        <x:v>1862</x:v>
      </x:c>
    </x:row>
    <x:row r="11" ht="14.25" customHeight="1">
      <x:c r="A11" s="15" t="s">
        <x:v>1869</x:v>
      </x:c>
      <x:c r="B11" s="15" t="s">
        <x:v>507</x:v>
      </x:c>
      <x:c r="C11" s="15">
        <x:v>11.0</x:v>
      </x:c>
      <x:c r="D11" s="15">
        <x:v>99.0</x:v>
      </x:c>
      <x:c r="E11" s="15" t="s">
        <x:v>1858</x:v>
      </x:c>
      <x:c r="F11" s="15" t="s">
        <x:v>1831</x:v>
      </x:c>
      <x:c r="G11" s="15" t="s">
        <x:v>1870</x:v>
      </x:c>
      <x:c r="H11" s="15" t="s">
        <x:v>1862</x:v>
      </x:c>
    </x:row>
    <x:row r="12" ht="14.25" customHeight="1">
      <x:c r="A12" s="15" t="s">
        <x:v>1871</x:v>
      </x:c>
      <x:c r="B12" s="15" t="s">
        <x:v>485</x:v>
      </x:c>
      <x:c r="C12" s="15">
        <x:v>0.0</x:v>
      </x:c>
      <x:c r="D12" s="15">
        <x:v>1.0</x:v>
      </x:c>
      <x:c r="E12" s="15" t="s">
        <x:v>1841</x:v>
      </x:c>
      <x:c r="F12" s="15" t="s">
        <x:v>1842</x:v>
      </x:c>
      <x:c r="G12" s="15" t="s">
        <x:v>1872</x:v>
      </x:c>
      <x:c r="H12" s="15" t="s">
        <x:v>1873</x:v>
      </x:c>
    </x:row>
    <x:row r="13" ht="14.25" customHeight="1">
      <x:c r="A13" s="15" t="s">
        <x:v>1874</x:v>
      </x:c>
      <x:c r="B13" s="15" t="s">
        <x:v>485</x:v>
      </x:c>
      <x:c r="C13" s="15">
        <x:v>2.0</x:v>
      </x:c>
      <x:c r="D13" s="15">
        <x:v>4.0</x:v>
      </x:c>
      <x:c r="E13" s="15" t="s">
        <x:v>1846</x:v>
      </x:c>
      <x:c r="F13" s="15" t="s">
        <x:v>1847</x:v>
      </x:c>
      <x:c r="G13" s="15" t="s">
        <x:v>1875</x:v>
      </x:c>
      <x:c r="H13" s="15" t="s">
        <x:v>1873</x:v>
      </x:c>
    </x:row>
    <x:row r="14" ht="14.25" customHeight="1">
      <x:c r="A14" s="15" t="s">
        <x:v>1876</x:v>
      </x:c>
      <x:c r="B14" s="15" t="s">
        <x:v>485</x:v>
      </x:c>
      <x:c r="C14" s="15">
        <x:v>5.0</x:v>
      </x:c>
      <x:c r="D14" s="15">
        <x:v>7.0</x:v>
      </x:c>
      <x:c r="E14" s="15" t="s">
        <x:v>1850</x:v>
      </x:c>
      <x:c r="F14" s="15" t="s">
        <x:v>1851</x:v>
      </x:c>
      <x:c r="G14" s="15" t="s">
        <x:v>1877</x:v>
      </x:c>
      <x:c r="H14" s="15" t="s">
        <x:v>1873</x:v>
      </x:c>
    </x:row>
    <x:row r="15" ht="14.25" customHeight="1">
      <x:c r="A15" s="15" t="s">
        <x:v>1878</x:v>
      </x:c>
      <x:c r="B15" s="15" t="s">
        <x:v>485</x:v>
      </x:c>
      <x:c r="C15" s="15">
        <x:v>8.0</x:v>
      </x:c>
      <x:c r="D15" s="15">
        <x:v>10.0</x:v>
      </x:c>
      <x:c r="E15" s="15" t="s">
        <x:v>1854</x:v>
      </x:c>
      <x:c r="F15" s="15" t="s">
        <x:v>1855</x:v>
      </x:c>
      <x:c r="G15" s="15" t="s">
        <x:v>1879</x:v>
      </x:c>
      <x:c r="H15" s="15" t="s">
        <x:v>1873</x:v>
      </x:c>
    </x:row>
    <x:row r="16" ht="14.25" customHeight="1">
      <x:c r="A16" s="15" t="s">
        <x:v>1880</x:v>
      </x:c>
      <x:c r="B16" s="15" t="s">
        <x:v>485</x:v>
      </x:c>
      <x:c r="C16" s="15">
        <x:v>11.0</x:v>
      </x:c>
      <x:c r="D16" s="15">
        <x:v>99.0</x:v>
      </x:c>
      <x:c r="E16" s="15" t="s">
        <x:v>1858</x:v>
      </x:c>
      <x:c r="F16" s="15" t="s">
        <x:v>1831</x:v>
      </x:c>
      <x:c r="G16" s="15" t="s">
        <x:v>1881</x:v>
      </x:c>
      <x:c r="H16" s="15" t="s">
        <x:v>1873</x:v>
      </x:c>
    </x:row>
    <x:row r="17" ht="14.25" customHeight="1">
      <x:c r="A17" s="15" t="s">
        <x:v>1882</x:v>
      </x:c>
      <x:c r="B17" s="15" t="s">
        <x:v>13</x:v>
      </x:c>
      <x:c r="C17" s="15">
        <x:v>0.0</x:v>
      </x:c>
      <x:c r="D17" s="15">
        <x:v>1.0</x:v>
      </x:c>
      <x:c r="E17" s="15" t="s">
        <x:v>1841</x:v>
      </x:c>
      <x:c r="F17" s="15" t="s">
        <x:v>1842</x:v>
      </x:c>
      <x:c r="G17" s="15" t="s">
        <x:v>1883</x:v>
      </x:c>
      <x:c r="H17" s="15" t="s">
        <x:v>1884</x:v>
      </x:c>
    </x:row>
    <x:row r="18" ht="14.25" customHeight="1">
      <x:c r="A18" s="15" t="s">
        <x:v>1885</x:v>
      </x:c>
      <x:c r="B18" s="15" t="s">
        <x:v>13</x:v>
      </x:c>
      <x:c r="C18" s="15">
        <x:v>2.0</x:v>
      </x:c>
      <x:c r="D18" s="15">
        <x:v>4.0</x:v>
      </x:c>
      <x:c r="E18" s="15" t="s">
        <x:v>1846</x:v>
      </x:c>
      <x:c r="F18" s="15" t="s">
        <x:v>1847</x:v>
      </x:c>
      <x:c r="G18" s="15" t="s">
        <x:v>1886</x:v>
      </x:c>
      <x:c r="H18" s="15" t="s">
        <x:v>1884</x:v>
      </x:c>
    </x:row>
    <x:row r="19" ht="14.25" customHeight="1">
      <x:c r="A19" s="15" t="s">
        <x:v>1887</x:v>
      </x:c>
      <x:c r="B19" s="15" t="s">
        <x:v>13</x:v>
      </x:c>
      <x:c r="C19" s="15">
        <x:v>5.0</x:v>
      </x:c>
      <x:c r="D19" s="15">
        <x:v>7.0</x:v>
      </x:c>
      <x:c r="E19" s="15" t="s">
        <x:v>1850</x:v>
      </x:c>
      <x:c r="F19" s="15" t="s">
        <x:v>1851</x:v>
      </x:c>
      <x:c r="G19" s="15" t="s">
        <x:v>1888</x:v>
      </x:c>
      <x:c r="H19" s="15" t="s">
        <x:v>1884</x:v>
      </x:c>
    </x:row>
    <x:row r="20" ht="14.25" customHeight="1">
      <x:c r="A20" s="15" t="s">
        <x:v>1889</x:v>
      </x:c>
      <x:c r="B20" s="15" t="s">
        <x:v>13</x:v>
      </x:c>
      <x:c r="C20" s="15">
        <x:v>8.0</x:v>
      </x:c>
      <x:c r="D20" s="15">
        <x:v>10.0</x:v>
      </x:c>
      <x:c r="E20" s="15" t="s">
        <x:v>1854</x:v>
      </x:c>
      <x:c r="F20" s="15" t="s">
        <x:v>1855</x:v>
      </x:c>
      <x:c r="G20" s="15" t="s">
        <x:v>1890</x:v>
      </x:c>
      <x:c r="H20" s="15" t="s">
        <x:v>1884</x:v>
      </x:c>
    </x:row>
    <x:row r="21" ht="14.25" customHeight="1">
      <x:c r="A21" s="15" t="s">
        <x:v>1891</x:v>
      </x:c>
      <x:c r="B21" s="15" t="s">
        <x:v>13</x:v>
      </x:c>
      <x:c r="C21" s="15">
        <x:v>11.0</x:v>
      </x:c>
      <x:c r="D21" s="15">
        <x:v>99.0</x:v>
      </x:c>
      <x:c r="E21" s="15" t="s">
        <x:v>1858</x:v>
      </x:c>
      <x:c r="F21" s="15" t="s">
        <x:v>1831</x:v>
      </x:c>
      <x:c r="G21" s="15" t="s">
        <x:v>1892</x:v>
      </x:c>
      <x:c r="H21" s="15" t="s">
        <x:v>1884</x:v>
      </x:c>
    </x:row>
    <x:row r="22" ht="14.25" customHeight="1">
      <x:c r="A22" s="15" t="s">
        <x:v>1893</x:v>
      </x:c>
      <x:c r="B22" s="15" t="s">
        <x:v>805</x:v>
      </x:c>
      <x:c r="C22" s="15">
        <x:v>0.0</x:v>
      </x:c>
      <x:c r="D22" s="15">
        <x:v>1.0</x:v>
      </x:c>
      <x:c r="E22" s="15" t="s">
        <x:v>1841</x:v>
      </x:c>
      <x:c r="F22" s="15" t="s">
        <x:v>1842</x:v>
      </x:c>
      <x:c r="G22" s="15" t="s">
        <x:v>1894</x:v>
      </x:c>
      <x:c r="H22" s="15" t="s">
        <x:v>1895</x:v>
      </x:c>
    </x:row>
    <x:row r="23" ht="14.25" customHeight="1">
      <x:c r="A23" s="15" t="s">
        <x:v>1896</x:v>
      </x:c>
      <x:c r="B23" s="15" t="s">
        <x:v>805</x:v>
      </x:c>
      <x:c r="C23" s="15">
        <x:v>2.0</x:v>
      </x:c>
      <x:c r="D23" s="15">
        <x:v>4.0</x:v>
      </x:c>
      <x:c r="E23" s="15" t="s">
        <x:v>1846</x:v>
      </x:c>
      <x:c r="F23" s="15" t="s">
        <x:v>1847</x:v>
      </x:c>
      <x:c r="G23" s="15" t="s">
        <x:v>1897</x:v>
      </x:c>
      <x:c r="H23" s="15" t="s">
        <x:v>1895</x:v>
      </x:c>
    </x:row>
    <x:row r="24" ht="14.25" customHeight="1">
      <x:c r="A24" s="15" t="s">
        <x:v>1898</x:v>
      </x:c>
      <x:c r="B24" s="15" t="s">
        <x:v>805</x:v>
      </x:c>
      <x:c r="C24" s="15">
        <x:v>5.0</x:v>
      </x:c>
      <x:c r="D24" s="15">
        <x:v>7.0</x:v>
      </x:c>
      <x:c r="E24" s="15" t="s">
        <x:v>1850</x:v>
      </x:c>
      <x:c r="F24" s="15" t="s">
        <x:v>1851</x:v>
      </x:c>
      <x:c r="G24" s="15" t="s">
        <x:v>1899</x:v>
      </x:c>
      <x:c r="H24" s="15" t="s">
        <x:v>1895</x:v>
      </x:c>
    </x:row>
    <x:row r="25" ht="14.25" customHeight="1">
      <x:c r="A25" s="15" t="s">
        <x:v>1900</x:v>
      </x:c>
      <x:c r="B25" s="15" t="s">
        <x:v>805</x:v>
      </x:c>
      <x:c r="C25" s="15">
        <x:v>8.0</x:v>
      </x:c>
      <x:c r="D25" s="15">
        <x:v>10.0</x:v>
      </x:c>
      <x:c r="E25" s="15" t="s">
        <x:v>1854</x:v>
      </x:c>
      <x:c r="F25" s="15" t="s">
        <x:v>1855</x:v>
      </x:c>
      <x:c r="G25" s="15" t="s">
        <x:v>1901</x:v>
      </x:c>
      <x:c r="H25" s="15" t="s">
        <x:v>1895</x:v>
      </x:c>
    </x:row>
    <x:row r="26" ht="14.25" customHeight="1">
      <x:c r="A26" s="15" t="s">
        <x:v>1902</x:v>
      </x:c>
      <x:c r="B26" s="15" t="s">
        <x:v>805</x:v>
      </x:c>
      <x:c r="C26" s="15">
        <x:v>11.0</x:v>
      </x:c>
      <x:c r="D26" s="15">
        <x:v>99.0</x:v>
      </x:c>
      <x:c r="E26" s="15" t="s">
        <x:v>1858</x:v>
      </x:c>
      <x:c r="F26" s="15" t="s">
        <x:v>1831</x:v>
      </x:c>
      <x:c r="G26" s="15" t="s">
        <x:v>1903</x:v>
      </x:c>
      <x:c r="H26" s="15" t="s">
        <x:v>1895</x:v>
      </x:c>
    </x:row>
    <x:row r="27" ht="14.25" customHeight="1">
      <x:c r="A27" s="15" t="s">
        <x:v>1904</x:v>
      </x:c>
      <x:c r="B27" s="15" t="s">
        <x:v>1905</x:v>
      </x:c>
      <x:c r="C27" s="15">
        <x:v>0.0</x:v>
      </x:c>
      <x:c r="D27" s="15">
        <x:v>1.0</x:v>
      </x:c>
      <x:c r="E27" s="15" t="s">
        <x:v>1841</x:v>
      </x:c>
      <x:c r="F27" s="15" t="s">
        <x:v>1842</x:v>
      </x:c>
      <x:c r="G27" s="15" t="s">
        <x:v>1906</x:v>
      </x:c>
      <x:c r="H27" s="15" t="s">
        <x:v>1907</x:v>
      </x:c>
    </x:row>
    <x:row r="28" ht="14.25" customHeight="1">
      <x:c r="A28" s="15" t="s">
        <x:v>1908</x:v>
      </x:c>
      <x:c r="B28" s="15" t="s">
        <x:v>1905</x:v>
      </x:c>
      <x:c r="C28" s="15">
        <x:v>2.0</x:v>
      </x:c>
      <x:c r="D28" s="15">
        <x:v>4.0</x:v>
      </x:c>
      <x:c r="E28" s="15" t="s">
        <x:v>1846</x:v>
      </x:c>
      <x:c r="F28" s="15" t="s">
        <x:v>1847</x:v>
      </x:c>
      <x:c r="G28" s="15" t="s">
        <x:v>1909</x:v>
      </x:c>
      <x:c r="H28" s="15" t="s">
        <x:v>1907</x:v>
      </x:c>
    </x:row>
    <x:row r="29" ht="14.25" customHeight="1">
      <x:c r="A29" s="15" t="s">
        <x:v>1910</x:v>
      </x:c>
      <x:c r="B29" s="15" t="s">
        <x:v>1905</x:v>
      </x:c>
      <x:c r="C29" s="15">
        <x:v>5.0</x:v>
      </x:c>
      <x:c r="D29" s="15">
        <x:v>7.0</x:v>
      </x:c>
      <x:c r="E29" s="15" t="s">
        <x:v>1850</x:v>
      </x:c>
      <x:c r="F29" s="15" t="s">
        <x:v>1851</x:v>
      </x:c>
      <x:c r="G29" s="15" t="s">
        <x:v>1911</x:v>
      </x:c>
      <x:c r="H29" s="15" t="s">
        <x:v>1907</x:v>
      </x:c>
    </x:row>
    <x:row r="30" ht="14.25" customHeight="1">
      <x:c r="A30" s="15" t="s">
        <x:v>1912</x:v>
      </x:c>
      <x:c r="B30" s="15" t="s">
        <x:v>1905</x:v>
      </x:c>
      <x:c r="C30" s="15">
        <x:v>8.0</x:v>
      </x:c>
      <x:c r="D30" s="15">
        <x:v>10.0</x:v>
      </x:c>
      <x:c r="E30" s="15" t="s">
        <x:v>1854</x:v>
      </x:c>
      <x:c r="F30" s="15" t="s">
        <x:v>1855</x:v>
      </x:c>
      <x:c r="G30" s="15" t="s">
        <x:v>1913</x:v>
      </x:c>
      <x:c r="H30" s="15" t="s">
        <x:v>1907</x:v>
      </x:c>
    </x:row>
    <x:row r="31" ht="14.25" customHeight="1">
      <x:c r="A31" s="15" t="s">
        <x:v>1914</x:v>
      </x:c>
      <x:c r="B31" s="15" t="s">
        <x:v>1905</x:v>
      </x:c>
      <x:c r="C31" s="15">
        <x:v>11.0</x:v>
      </x:c>
      <x:c r="D31" s="15">
        <x:v>99.0</x:v>
      </x:c>
      <x:c r="E31" s="15" t="s">
        <x:v>1858</x:v>
      </x:c>
      <x:c r="F31" s="15" t="s">
        <x:v>1831</x:v>
      </x:c>
      <x:c r="G31" s="15" t="s">
        <x:v>1915</x:v>
      </x:c>
      <x:c r="H31" s="15" t="s">
        <x:v>1907</x:v>
      </x:c>
    </x:row>
    <x:row r="32" ht="14.25" customHeight="1">
      <x:c r="A32" s="15" t="s">
        <x:v>1916</x:v>
      </x:c>
      <x:c r="B32" s="15" t="s">
        <x:v>576</x:v>
      </x:c>
      <x:c r="C32" s="15">
        <x:v>0.0</x:v>
      </x:c>
      <x:c r="D32" s="15">
        <x:v>1.0</x:v>
      </x:c>
      <x:c r="E32" s="15" t="s">
        <x:v>1841</x:v>
      </x:c>
      <x:c r="F32" s="15" t="s">
        <x:v>1842</x:v>
      </x:c>
      <x:c r="G32" s="15" t="s">
        <x:v>1917</x:v>
      </x:c>
      <x:c r="H32" s="15" t="s">
        <x:v>1918</x:v>
      </x:c>
    </x:row>
    <x:row r="33" ht="14.25" customHeight="1">
      <x:c r="A33" s="15" t="s">
        <x:v>1919</x:v>
      </x:c>
      <x:c r="B33" s="15" t="s">
        <x:v>576</x:v>
      </x:c>
      <x:c r="C33" s="15">
        <x:v>2.0</x:v>
      </x:c>
      <x:c r="D33" s="15">
        <x:v>4.0</x:v>
      </x:c>
      <x:c r="E33" s="15" t="s">
        <x:v>1846</x:v>
      </x:c>
      <x:c r="F33" s="15" t="s">
        <x:v>1847</x:v>
      </x:c>
      <x:c r="G33" s="15" t="s">
        <x:v>1920</x:v>
      </x:c>
      <x:c r="H33" s="15" t="s">
        <x:v>1918</x:v>
      </x:c>
    </x:row>
    <x:row r="34" ht="14.25" customHeight="1">
      <x:c r="A34" s="15" t="s">
        <x:v>1921</x:v>
      </x:c>
      <x:c r="B34" s="15" t="s">
        <x:v>576</x:v>
      </x:c>
      <x:c r="C34" s="15">
        <x:v>5.0</x:v>
      </x:c>
      <x:c r="D34" s="15">
        <x:v>7.0</x:v>
      </x:c>
      <x:c r="E34" s="15" t="s">
        <x:v>1850</x:v>
      </x:c>
      <x:c r="F34" s="15" t="s">
        <x:v>1851</x:v>
      </x:c>
      <x:c r="G34" s="15" t="s">
        <x:v>1922</x:v>
      </x:c>
      <x:c r="H34" s="15" t="s">
        <x:v>1918</x:v>
      </x:c>
    </x:row>
    <x:row r="35" ht="14.25" customHeight="1">
      <x:c r="A35" s="15" t="s">
        <x:v>1923</x:v>
      </x:c>
      <x:c r="B35" s="15" t="s">
        <x:v>576</x:v>
      </x:c>
      <x:c r="C35" s="15">
        <x:v>8.0</x:v>
      </x:c>
      <x:c r="D35" s="15">
        <x:v>10.0</x:v>
      </x:c>
      <x:c r="E35" s="15" t="s">
        <x:v>1854</x:v>
      </x:c>
      <x:c r="F35" s="15" t="s">
        <x:v>1855</x:v>
      </x:c>
      <x:c r="G35" s="15" t="s">
        <x:v>1924</x:v>
      </x:c>
      <x:c r="H35" s="15" t="s">
        <x:v>1918</x:v>
      </x:c>
    </x:row>
    <x:row r="36" ht="14.25" customHeight="1">
      <x:c r="A36" s="15" t="s">
        <x:v>1925</x:v>
      </x:c>
      <x:c r="B36" s="15" t="s">
        <x:v>576</x:v>
      </x:c>
      <x:c r="C36" s="15">
        <x:v>11.0</x:v>
      </x:c>
      <x:c r="D36" s="15">
        <x:v>99.0</x:v>
      </x:c>
      <x:c r="E36" s="15" t="s">
        <x:v>1858</x:v>
      </x:c>
      <x:c r="F36" s="15" t="s">
        <x:v>1831</x:v>
      </x:c>
      <x:c r="G36" s="15" t="s">
        <x:v>1926</x:v>
      </x:c>
      <x:c r="H36" s="15" t="s">
        <x:v>1918</x:v>
      </x:c>
    </x:row>
    <x:row r="37" ht="14.25" customHeight="1">
      <x:c r="A37" s="15" t="s">
        <x:v>1927</x:v>
      </x:c>
      <x:c r="B37" s="15" t="s">
        <x:v>597</x:v>
      </x:c>
      <x:c r="C37" s="15">
        <x:v>0.0</x:v>
      </x:c>
      <x:c r="D37" s="15">
        <x:v>1.0</x:v>
      </x:c>
      <x:c r="E37" s="15" t="s">
        <x:v>1841</x:v>
      </x:c>
      <x:c r="F37" s="15" t="s">
        <x:v>1842</x:v>
      </x:c>
      <x:c r="G37" s="15" t="s">
        <x:v>1928</x:v>
      </x:c>
      <x:c r="H37" s="15" t="s">
        <x:v>1929</x:v>
      </x:c>
    </x:row>
    <x:row r="38" ht="14.25" customHeight="1">
      <x:c r="A38" s="15" t="s">
        <x:v>1930</x:v>
      </x:c>
      <x:c r="B38" s="15" t="s">
        <x:v>597</x:v>
      </x:c>
      <x:c r="C38" s="15">
        <x:v>2.0</x:v>
      </x:c>
      <x:c r="D38" s="15">
        <x:v>4.0</x:v>
      </x:c>
      <x:c r="E38" s="15" t="s">
        <x:v>1846</x:v>
      </x:c>
      <x:c r="F38" s="15" t="s">
        <x:v>1847</x:v>
      </x:c>
      <x:c r="G38" s="15" t="s">
        <x:v>1931</x:v>
      </x:c>
      <x:c r="H38" s="15" t="s">
        <x:v>1929</x:v>
      </x:c>
    </x:row>
    <x:row r="39" ht="14.25" customHeight="1">
      <x:c r="A39" s="15" t="s">
        <x:v>1932</x:v>
      </x:c>
      <x:c r="B39" s="15" t="s">
        <x:v>597</x:v>
      </x:c>
      <x:c r="C39" s="15">
        <x:v>5.0</x:v>
      </x:c>
      <x:c r="D39" s="15">
        <x:v>7.0</x:v>
      </x:c>
      <x:c r="E39" s="15" t="s">
        <x:v>1850</x:v>
      </x:c>
      <x:c r="F39" s="15" t="s">
        <x:v>1851</x:v>
      </x:c>
      <x:c r="G39" s="15" t="s">
        <x:v>1933</x:v>
      </x:c>
      <x:c r="H39" s="15" t="s">
        <x:v>1929</x:v>
      </x:c>
    </x:row>
    <x:row r="40" ht="14.25" customHeight="1">
      <x:c r="A40" s="15" t="s">
        <x:v>1934</x:v>
      </x:c>
      <x:c r="B40" s="15" t="s">
        <x:v>597</x:v>
      </x:c>
      <x:c r="C40" s="15">
        <x:v>8.0</x:v>
      </x:c>
      <x:c r="D40" s="15">
        <x:v>10.0</x:v>
      </x:c>
      <x:c r="E40" s="15" t="s">
        <x:v>1854</x:v>
      </x:c>
      <x:c r="F40" s="15" t="s">
        <x:v>1855</x:v>
      </x:c>
      <x:c r="G40" s="15" t="s">
        <x:v>1935</x:v>
      </x:c>
      <x:c r="H40" s="15" t="s">
        <x:v>1929</x:v>
      </x:c>
    </x:row>
    <x:row r="41" ht="14.25" customHeight="1">
      <x:c r="A41" s="15" t="s">
        <x:v>1936</x:v>
      </x:c>
      <x:c r="B41" s="15" t="s">
        <x:v>597</x:v>
      </x:c>
      <x:c r="C41" s="15">
        <x:v>11.0</x:v>
      </x:c>
      <x:c r="D41" s="15">
        <x:v>99.0</x:v>
      </x:c>
      <x:c r="E41" s="15" t="s">
        <x:v>1858</x:v>
      </x:c>
      <x:c r="F41" s="15" t="s">
        <x:v>1831</x:v>
      </x:c>
      <x:c r="G41" s="15" t="s">
        <x:v>1937</x:v>
      </x:c>
      <x:c r="H41" s="15" t="s">
        <x:v>1929</x:v>
      </x:c>
    </x:row>
    <x:row r="42" ht="14.25" customHeight="1">
      <x:c r="A42" s="15" t="s">
        <x:v>1938</x:v>
      </x:c>
      <x:c r="B42" s="15" t="s">
        <x:v>661</x:v>
      </x:c>
      <x:c r="C42" s="15">
        <x:v>0.0</x:v>
      </x:c>
      <x:c r="D42" s="15">
        <x:v>1.0</x:v>
      </x:c>
      <x:c r="E42" s="15" t="s">
        <x:v>1841</x:v>
      </x:c>
      <x:c r="F42" s="15" t="s">
        <x:v>1842</x:v>
      </x:c>
      <x:c r="G42" s="15" t="s">
        <x:v>1939</x:v>
      </x:c>
      <x:c r="H42" s="15" t="s">
        <x:v>1940</x:v>
      </x:c>
    </x:row>
    <x:row r="43" ht="14.25" customHeight="1">
      <x:c r="A43" s="15" t="s">
        <x:v>1941</x:v>
      </x:c>
      <x:c r="B43" s="15" t="s">
        <x:v>661</x:v>
      </x:c>
      <x:c r="C43" s="15">
        <x:v>2.0</x:v>
      </x:c>
      <x:c r="D43" s="15">
        <x:v>4.0</x:v>
      </x:c>
      <x:c r="E43" s="15" t="s">
        <x:v>1846</x:v>
      </x:c>
      <x:c r="F43" s="15" t="s">
        <x:v>1847</x:v>
      </x:c>
      <x:c r="G43" s="15" t="s">
        <x:v>1942</x:v>
      </x:c>
      <x:c r="H43" s="15" t="s">
        <x:v>1940</x:v>
      </x:c>
    </x:row>
    <x:row r="44" ht="14.25" customHeight="1">
      <x:c r="A44" s="15" t="s">
        <x:v>1943</x:v>
      </x:c>
      <x:c r="B44" s="15" t="s">
        <x:v>661</x:v>
      </x:c>
      <x:c r="C44" s="15">
        <x:v>5.0</x:v>
      </x:c>
      <x:c r="D44" s="15">
        <x:v>7.0</x:v>
      </x:c>
      <x:c r="E44" s="15" t="s">
        <x:v>1850</x:v>
      </x:c>
      <x:c r="F44" s="15" t="s">
        <x:v>1851</x:v>
      </x:c>
      <x:c r="G44" s="15" t="s">
        <x:v>1944</x:v>
      </x:c>
      <x:c r="H44" s="15" t="s">
        <x:v>1940</x:v>
      </x:c>
    </x:row>
    <x:row r="45" ht="14.25" customHeight="1">
      <x:c r="A45" s="15" t="s">
        <x:v>1945</x:v>
      </x:c>
      <x:c r="B45" s="15" t="s">
        <x:v>661</x:v>
      </x:c>
      <x:c r="C45" s="15">
        <x:v>8.0</x:v>
      </x:c>
      <x:c r="D45" s="15">
        <x:v>10.0</x:v>
      </x:c>
      <x:c r="E45" s="15" t="s">
        <x:v>1854</x:v>
      </x:c>
      <x:c r="F45" s="15" t="s">
        <x:v>1855</x:v>
      </x:c>
      <x:c r="G45" s="15" t="s">
        <x:v>1946</x:v>
      </x:c>
      <x:c r="H45" s="15" t="s">
        <x:v>1940</x:v>
      </x:c>
    </x:row>
    <x:row r="46" ht="14.25" customHeight="1">
      <x:c r="A46" s="15" t="s">
        <x:v>1947</x:v>
      </x:c>
      <x:c r="B46" s="15" t="s">
        <x:v>661</x:v>
      </x:c>
      <x:c r="C46" s="15">
        <x:v>11.0</x:v>
      </x:c>
      <x:c r="D46" s="15">
        <x:v>99.0</x:v>
      </x:c>
      <x:c r="E46" s="15" t="s">
        <x:v>1858</x:v>
      </x:c>
      <x:c r="F46" s="15" t="s">
        <x:v>1831</x:v>
      </x:c>
      <x:c r="G46" s="15" t="s">
        <x:v>1948</x:v>
      </x:c>
      <x:c r="H46" s="15" t="s">
        <x:v>1940</x:v>
      </x:c>
    </x:row>
    <x:row r="47" ht="14.25" customHeight="1">
      <x:c r="A47" s="15" t="s">
        <x:v>1949</x:v>
      </x:c>
      <x:c r="B47" s="15" t="s">
        <x:v>725</x:v>
      </x:c>
      <x:c r="C47" s="15">
        <x:v>0.0</x:v>
      </x:c>
      <x:c r="D47" s="15">
        <x:v>1.0</x:v>
      </x:c>
      <x:c r="E47" s="15" t="s">
        <x:v>1841</x:v>
      </x:c>
      <x:c r="F47" s="15" t="s">
        <x:v>1842</x:v>
      </x:c>
      <x:c r="G47" s="15" t="s">
        <x:v>1950</x:v>
      </x:c>
      <x:c r="H47" s="15" t="s">
        <x:v>1951</x:v>
      </x:c>
    </x:row>
    <x:row r="48" ht="14.25" customHeight="1">
      <x:c r="A48" s="15" t="s">
        <x:v>1952</x:v>
      </x:c>
      <x:c r="B48" s="15" t="s">
        <x:v>725</x:v>
      </x:c>
      <x:c r="C48" s="15">
        <x:v>2.0</x:v>
      </x:c>
      <x:c r="D48" s="15">
        <x:v>4.0</x:v>
      </x:c>
      <x:c r="E48" s="15" t="s">
        <x:v>1846</x:v>
      </x:c>
      <x:c r="F48" s="15" t="s">
        <x:v>1847</x:v>
      </x:c>
      <x:c r="G48" s="15" t="s">
        <x:v>1953</x:v>
      </x:c>
      <x:c r="H48" s="15" t="s">
        <x:v>1951</x:v>
      </x:c>
    </x:row>
    <x:row r="49" ht="14.25" customHeight="1">
      <x:c r="A49" s="15" t="s">
        <x:v>1954</x:v>
      </x:c>
      <x:c r="B49" s="15" t="s">
        <x:v>725</x:v>
      </x:c>
      <x:c r="C49" s="15">
        <x:v>5.0</x:v>
      </x:c>
      <x:c r="D49" s="15">
        <x:v>7.0</x:v>
      </x:c>
      <x:c r="E49" s="15" t="s">
        <x:v>1850</x:v>
      </x:c>
      <x:c r="F49" s="15" t="s">
        <x:v>1851</x:v>
      </x:c>
      <x:c r="G49" s="15" t="s">
        <x:v>1955</x:v>
      </x:c>
      <x:c r="H49" s="15" t="s">
        <x:v>1951</x:v>
      </x:c>
    </x:row>
    <x:row r="50" ht="14.25" customHeight="1">
      <x:c r="A50" s="15" t="s">
        <x:v>1956</x:v>
      </x:c>
      <x:c r="B50" s="15" t="s">
        <x:v>725</x:v>
      </x:c>
      <x:c r="C50" s="15">
        <x:v>8.0</x:v>
      </x:c>
      <x:c r="D50" s="15">
        <x:v>10.0</x:v>
      </x:c>
      <x:c r="E50" s="15" t="s">
        <x:v>1854</x:v>
      </x:c>
      <x:c r="F50" s="15" t="s">
        <x:v>1855</x:v>
      </x:c>
      <x:c r="G50" s="15" t="s">
        <x:v>1957</x:v>
      </x:c>
      <x:c r="H50" s="15" t="s">
        <x:v>1951</x:v>
      </x:c>
    </x:row>
    <x:row r="51" ht="14.25" customHeight="1">
      <x:c r="A51" s="15" t="s">
        <x:v>1958</x:v>
      </x:c>
      <x:c r="B51" s="15" t="s">
        <x:v>725</x:v>
      </x:c>
      <x:c r="C51" s="15">
        <x:v>11.0</x:v>
      </x:c>
      <x:c r="D51" s="15">
        <x:v>99.0</x:v>
      </x:c>
      <x:c r="E51" s="15" t="s">
        <x:v>1858</x:v>
      </x:c>
      <x:c r="F51" s="15" t="s">
        <x:v>1831</x:v>
      </x:c>
      <x:c r="G51" s="15" t="s">
        <x:v>1959</x:v>
      </x:c>
      <x:c r="H51" s="15" t="s">
        <x:v>1951</x:v>
      </x:c>
    </x:row>
    <x:row r="52" ht="14.25" customHeight="1">
      <x:c r="A52" s="15" t="s">
        <x:v>1960</x:v>
      </x:c>
      <x:c r="B52" s="15" t="s">
        <x:v>620</x:v>
      </x:c>
      <x:c r="C52" s="15">
        <x:v>0.0</x:v>
      </x:c>
      <x:c r="D52" s="15">
        <x:v>1.0</x:v>
      </x:c>
      <x:c r="E52" s="15" t="s">
        <x:v>1841</x:v>
      </x:c>
      <x:c r="F52" s="15" t="s">
        <x:v>1842</x:v>
      </x:c>
      <x:c r="G52" s="15" t="s">
        <x:v>1961</x:v>
      </x:c>
      <x:c r="H52" s="15" t="s">
        <x:v>1962</x:v>
      </x:c>
    </x:row>
    <x:row r="53" ht="14.25" customHeight="1">
      <x:c r="A53" s="15" t="s">
        <x:v>1963</x:v>
      </x:c>
      <x:c r="B53" s="15" t="s">
        <x:v>620</x:v>
      </x:c>
      <x:c r="C53" s="15">
        <x:v>2.0</x:v>
      </x:c>
      <x:c r="D53" s="15">
        <x:v>4.0</x:v>
      </x:c>
      <x:c r="E53" s="15" t="s">
        <x:v>1846</x:v>
      </x:c>
      <x:c r="F53" s="15" t="s">
        <x:v>1847</x:v>
      </x:c>
      <x:c r="G53" s="15" t="s">
        <x:v>1964</x:v>
      </x:c>
      <x:c r="H53" s="15" t="s">
        <x:v>1962</x:v>
      </x:c>
    </x:row>
    <x:row r="54" ht="14.25" customHeight="1">
      <x:c r="A54" s="15" t="s">
        <x:v>1965</x:v>
      </x:c>
      <x:c r="B54" s="15" t="s">
        <x:v>620</x:v>
      </x:c>
      <x:c r="C54" s="15">
        <x:v>5.0</x:v>
      </x:c>
      <x:c r="D54" s="15">
        <x:v>7.0</x:v>
      </x:c>
      <x:c r="E54" s="15" t="s">
        <x:v>1850</x:v>
      </x:c>
      <x:c r="F54" s="15" t="s">
        <x:v>1851</x:v>
      </x:c>
      <x:c r="G54" s="15" t="s">
        <x:v>1966</x:v>
      </x:c>
      <x:c r="H54" s="15" t="s">
        <x:v>1962</x:v>
      </x:c>
    </x:row>
    <x:row r="55" ht="14.25" customHeight="1">
      <x:c r="A55" s="15" t="s">
        <x:v>1967</x:v>
      </x:c>
      <x:c r="B55" s="15" t="s">
        <x:v>620</x:v>
      </x:c>
      <x:c r="C55" s="15">
        <x:v>8.0</x:v>
      </x:c>
      <x:c r="D55" s="15">
        <x:v>10.0</x:v>
      </x:c>
      <x:c r="E55" s="15" t="s">
        <x:v>1854</x:v>
      </x:c>
      <x:c r="F55" s="15" t="s">
        <x:v>1855</x:v>
      </x:c>
      <x:c r="G55" s="15" t="s">
        <x:v>1968</x:v>
      </x:c>
      <x:c r="H55" s="15" t="s">
        <x:v>1962</x:v>
      </x:c>
    </x:row>
    <x:row r="56" ht="14.25" customHeight="1">
      <x:c r="A56" s="15" t="s">
        <x:v>1969</x:v>
      </x:c>
      <x:c r="B56" s="15" t="s">
        <x:v>620</x:v>
      </x:c>
      <x:c r="C56" s="15">
        <x:v>11.0</x:v>
      </x:c>
      <x:c r="D56" s="15">
        <x:v>99.0</x:v>
      </x:c>
      <x:c r="E56" s="15" t="s">
        <x:v>1858</x:v>
      </x:c>
      <x:c r="F56" s="15" t="s">
        <x:v>1831</x:v>
      </x:c>
      <x:c r="G56" s="15" t="s">
        <x:v>1970</x:v>
      </x:c>
      <x:c r="H56" s="15" t="s">
        <x:v>1962</x:v>
      </x:c>
    </x:row>
    <x:row r="57" ht="14.25" customHeight="1">
      <x:c r="A57" s="15" t="s">
        <x:v>1971</x:v>
      </x:c>
      <x:c r="B57" s="15" t="s">
        <x:v>701</x:v>
      </x:c>
      <x:c r="C57" s="15">
        <x:v>0.0</x:v>
      </x:c>
      <x:c r="D57" s="15">
        <x:v>1.0</x:v>
      </x:c>
      <x:c r="E57" s="15" t="s">
        <x:v>1841</x:v>
      </x:c>
      <x:c r="F57" s="15" t="s">
        <x:v>1842</x:v>
      </x:c>
      <x:c r="G57" s="15" t="s">
        <x:v>1972</x:v>
      </x:c>
      <x:c r="H57" s="15" t="s">
        <x:v>1973</x:v>
      </x:c>
    </x:row>
    <x:row r="58" ht="14.25" customHeight="1">
      <x:c r="A58" s="15" t="s">
        <x:v>1974</x:v>
      </x:c>
      <x:c r="B58" s="15" t="s">
        <x:v>701</x:v>
      </x:c>
      <x:c r="C58" s="15">
        <x:v>2.0</x:v>
      </x:c>
      <x:c r="D58" s="15">
        <x:v>4.0</x:v>
      </x:c>
      <x:c r="E58" s="15" t="s">
        <x:v>1846</x:v>
      </x:c>
      <x:c r="F58" s="15" t="s">
        <x:v>1847</x:v>
      </x:c>
      <x:c r="G58" s="15" t="s">
        <x:v>1975</x:v>
      </x:c>
      <x:c r="H58" s="15" t="s">
        <x:v>1973</x:v>
      </x:c>
    </x:row>
    <x:row r="59" ht="14.25" customHeight="1">
      <x:c r="A59" s="15" t="s">
        <x:v>1976</x:v>
      </x:c>
      <x:c r="B59" s="15" t="s">
        <x:v>701</x:v>
      </x:c>
      <x:c r="C59" s="15">
        <x:v>5.0</x:v>
      </x:c>
      <x:c r="D59" s="15">
        <x:v>7.0</x:v>
      </x:c>
      <x:c r="E59" s="15" t="s">
        <x:v>1850</x:v>
      </x:c>
      <x:c r="F59" s="15" t="s">
        <x:v>1851</x:v>
      </x:c>
      <x:c r="G59" s="15" t="s">
        <x:v>1977</x:v>
      </x:c>
      <x:c r="H59" s="15" t="s">
        <x:v>1973</x:v>
      </x:c>
    </x:row>
    <x:row r="60" ht="14.25" customHeight="1">
      <x:c r="A60" s="15" t="s">
        <x:v>1978</x:v>
      </x:c>
      <x:c r="B60" s="15" t="s">
        <x:v>701</x:v>
      </x:c>
      <x:c r="C60" s="15">
        <x:v>8.0</x:v>
      </x:c>
      <x:c r="D60" s="15">
        <x:v>10.0</x:v>
      </x:c>
      <x:c r="E60" s="15" t="s">
        <x:v>1854</x:v>
      </x:c>
      <x:c r="F60" s="15" t="s">
        <x:v>1855</x:v>
      </x:c>
      <x:c r="G60" s="15" t="s">
        <x:v>1979</x:v>
      </x:c>
      <x:c r="H60" s="15" t="s">
        <x:v>1973</x:v>
      </x:c>
    </x:row>
    <x:row r="61" ht="14.25" customHeight="1">
      <x:c r="A61" s="15" t="s">
        <x:v>1980</x:v>
      </x:c>
      <x:c r="B61" s="15" t="s">
        <x:v>701</x:v>
      </x:c>
      <x:c r="C61" s="15">
        <x:v>11.0</x:v>
      </x:c>
      <x:c r="D61" s="15">
        <x:v>99.0</x:v>
      </x:c>
      <x:c r="E61" s="15" t="s">
        <x:v>1858</x:v>
      </x:c>
      <x:c r="F61" s="15" t="s">
        <x:v>1831</x:v>
      </x:c>
      <x:c r="G61" s="15" t="s">
        <x:v>1981</x:v>
      </x:c>
      <x:c r="H61" s="15" t="s">
        <x:v>1973</x:v>
      </x:c>
    </x:row>
    <x:row r="62" ht="14.25" customHeight="1">
      <x:c r="A62" s="15" t="s">
        <x:v>1982</x:v>
      </x:c>
      <x:c r="B62" s="15" t="s">
        <x:v>1983</x:v>
      </x:c>
      <x:c r="C62" s="15">
        <x:v>0.0</x:v>
      </x:c>
      <x:c r="D62" s="15">
        <x:v>1.0</x:v>
      </x:c>
      <x:c r="E62" s="15" t="s">
        <x:v>1841</x:v>
      </x:c>
      <x:c r="F62" s="15" t="s">
        <x:v>1842</x:v>
      </x:c>
      <x:c r="G62" s="15" t="s">
        <x:v>1984</x:v>
      </x:c>
      <x:c r="H62" s="15" t="s">
        <x:v>1985</x:v>
      </x:c>
    </x:row>
    <x:row r="63" ht="14.25" customHeight="1">
      <x:c r="A63" s="15" t="s">
        <x:v>1986</x:v>
      </x:c>
      <x:c r="B63" s="15" t="s">
        <x:v>1983</x:v>
      </x:c>
      <x:c r="C63" s="15">
        <x:v>2.0</x:v>
      </x:c>
      <x:c r="D63" s="15">
        <x:v>4.0</x:v>
      </x:c>
      <x:c r="E63" s="15" t="s">
        <x:v>1846</x:v>
      </x:c>
      <x:c r="F63" s="15" t="s">
        <x:v>1847</x:v>
      </x:c>
      <x:c r="G63" s="15" t="s">
        <x:v>1987</x:v>
      </x:c>
      <x:c r="H63" s="15" t="s">
        <x:v>1985</x:v>
      </x:c>
    </x:row>
    <x:row r="64" ht="14.25" customHeight="1">
      <x:c r="A64" s="15" t="s">
        <x:v>1988</x:v>
      </x:c>
      <x:c r="B64" s="15" t="s">
        <x:v>1983</x:v>
      </x:c>
      <x:c r="C64" s="15">
        <x:v>5.0</x:v>
      </x:c>
      <x:c r="D64" s="15">
        <x:v>7.0</x:v>
      </x:c>
      <x:c r="E64" s="15" t="s">
        <x:v>1850</x:v>
      </x:c>
      <x:c r="F64" s="15" t="s">
        <x:v>1851</x:v>
      </x:c>
      <x:c r="G64" s="15" t="s">
        <x:v>1989</x:v>
      </x:c>
      <x:c r="H64" s="15" t="s">
        <x:v>1985</x:v>
      </x:c>
    </x:row>
    <x:row r="65" ht="14.25" customHeight="1">
      <x:c r="A65" s="15" t="s">
        <x:v>1990</x:v>
      </x:c>
      <x:c r="B65" s="15" t="s">
        <x:v>1983</x:v>
      </x:c>
      <x:c r="C65" s="15">
        <x:v>8.0</x:v>
      </x:c>
      <x:c r="D65" s="15">
        <x:v>10.0</x:v>
      </x:c>
      <x:c r="E65" s="15" t="s">
        <x:v>1854</x:v>
      </x:c>
      <x:c r="F65" s="15" t="s">
        <x:v>1855</x:v>
      </x:c>
      <x:c r="G65" s="15" t="s">
        <x:v>1991</x:v>
      </x:c>
      <x:c r="H65" s="15" t="s">
        <x:v>1985</x:v>
      </x:c>
    </x:row>
    <x:row r="66" ht="14.25" customHeight="1">
      <x:c r="A66" s="15" t="s">
        <x:v>1992</x:v>
      </x:c>
      <x:c r="B66" s="15" t="s">
        <x:v>1983</x:v>
      </x:c>
      <x:c r="C66" s="15">
        <x:v>11.0</x:v>
      </x:c>
      <x:c r="D66" s="15">
        <x:v>99.0</x:v>
      </x:c>
      <x:c r="E66" s="15" t="s">
        <x:v>1858</x:v>
      </x:c>
      <x:c r="F66" s="15" t="s">
        <x:v>1831</x:v>
      </x:c>
      <x:c r="G66" s="15" t="s">
        <x:v>1993</x:v>
      </x:c>
      <x:c r="H66" s="15" t="s">
        <x:v>1985</x:v>
      </x:c>
    </x:row>
    <x:row r="67" ht="14.25" customHeight="1">
      <x:c r="A67" s="15" t="s">
        <x:v>1994</x:v>
      </x:c>
      <x:c r="B67" s="15" t="s">
        <x:v>787</x:v>
      </x:c>
      <x:c r="C67" s="15">
        <x:v>0.0</x:v>
      </x:c>
      <x:c r="D67" s="15">
        <x:v>1.0</x:v>
      </x:c>
      <x:c r="E67" s="15" t="s">
        <x:v>1841</x:v>
      </x:c>
      <x:c r="F67" s="15" t="s">
        <x:v>1842</x:v>
      </x:c>
      <x:c r="G67" s="15" t="s">
        <x:v>1995</x:v>
      </x:c>
      <x:c r="H67" s="15" t="s">
        <x:v>1996</x:v>
      </x:c>
    </x:row>
    <x:row r="68" ht="14.25" customHeight="1">
      <x:c r="A68" s="15" t="s">
        <x:v>1997</x:v>
      </x:c>
      <x:c r="B68" s="15" t="s">
        <x:v>787</x:v>
      </x:c>
      <x:c r="C68" s="15">
        <x:v>2.0</x:v>
      </x:c>
      <x:c r="D68" s="15">
        <x:v>4.0</x:v>
      </x:c>
      <x:c r="E68" s="15" t="s">
        <x:v>1846</x:v>
      </x:c>
      <x:c r="F68" s="15" t="s">
        <x:v>1847</x:v>
      </x:c>
      <x:c r="G68" s="15" t="s">
        <x:v>1998</x:v>
      </x:c>
      <x:c r="H68" s="15" t="s">
        <x:v>1996</x:v>
      </x:c>
    </x:row>
    <x:row r="69" ht="14.25" customHeight="1">
      <x:c r="A69" s="15" t="s">
        <x:v>1999</x:v>
      </x:c>
      <x:c r="B69" s="15" t="s">
        <x:v>787</x:v>
      </x:c>
      <x:c r="C69" s="15">
        <x:v>5.0</x:v>
      </x:c>
      <x:c r="D69" s="15">
        <x:v>7.0</x:v>
      </x:c>
      <x:c r="E69" s="15" t="s">
        <x:v>1850</x:v>
      </x:c>
      <x:c r="F69" s="15" t="s">
        <x:v>1851</x:v>
      </x:c>
      <x:c r="G69" s="15" t="s">
        <x:v>2000</x:v>
      </x:c>
      <x:c r="H69" s="15" t="s">
        <x:v>1996</x:v>
      </x:c>
    </x:row>
    <x:row r="70" ht="14.25" customHeight="1">
      <x:c r="A70" s="15" t="s">
        <x:v>2001</x:v>
      </x:c>
      <x:c r="B70" s="15" t="s">
        <x:v>787</x:v>
      </x:c>
      <x:c r="C70" s="15">
        <x:v>8.0</x:v>
      </x:c>
      <x:c r="D70" s="15">
        <x:v>10.0</x:v>
      </x:c>
      <x:c r="E70" s="15" t="s">
        <x:v>1854</x:v>
      </x:c>
      <x:c r="F70" s="15" t="s">
        <x:v>1855</x:v>
      </x:c>
      <x:c r="G70" s="15" t="s">
        <x:v>2002</x:v>
      </x:c>
      <x:c r="H70" s="15" t="s">
        <x:v>1996</x:v>
      </x:c>
    </x:row>
    <x:row r="71" ht="14.25" customHeight="1">
      <x:c r="A71" s="15" t="s">
        <x:v>2003</x:v>
      </x:c>
      <x:c r="B71" s="15" t="s">
        <x:v>787</x:v>
      </x:c>
      <x:c r="C71" s="15">
        <x:v>11.0</x:v>
      </x:c>
      <x:c r="D71" s="15">
        <x:v>99.0</x:v>
      </x:c>
      <x:c r="E71" s="15" t="s">
        <x:v>1858</x:v>
      </x:c>
      <x:c r="F71" s="15" t="s">
        <x:v>1831</x:v>
      </x:c>
      <x:c r="G71" s="15" t="s">
        <x:v>2004</x:v>
      </x:c>
      <x:c r="H71" s="15" t="s">
        <x:v>1996</x:v>
      </x:c>
    </x:row>
    <x:row r="72" ht="14.25" customHeight="1">
      <x:c r="A72" s="15" t="s">
        <x:v>2005</x:v>
      </x:c>
      <x:c r="B72" s="15" t="s">
        <x:v>529</x:v>
      </x:c>
      <x:c r="C72" s="15">
        <x:v>0.0</x:v>
      </x:c>
      <x:c r="D72" s="15">
        <x:v>1.0</x:v>
      </x:c>
      <x:c r="E72" s="15" t="s">
        <x:v>1841</x:v>
      </x:c>
      <x:c r="F72" s="15" t="s">
        <x:v>1842</x:v>
      </x:c>
      <x:c r="G72" s="15" t="s">
        <x:v>2006</x:v>
      </x:c>
      <x:c r="H72" s="15" t="s">
        <x:v>2007</x:v>
      </x:c>
    </x:row>
    <x:row r="73" ht="14.25" customHeight="1">
      <x:c r="A73" s="15" t="s">
        <x:v>2008</x:v>
      </x:c>
      <x:c r="B73" s="15" t="s">
        <x:v>529</x:v>
      </x:c>
      <x:c r="C73" s="15">
        <x:v>2.0</x:v>
      </x:c>
      <x:c r="D73" s="15">
        <x:v>4.0</x:v>
      </x:c>
      <x:c r="E73" s="15" t="s">
        <x:v>1846</x:v>
      </x:c>
      <x:c r="F73" s="15" t="s">
        <x:v>1847</x:v>
      </x:c>
      <x:c r="G73" s="15" t="s">
        <x:v>2009</x:v>
      </x:c>
      <x:c r="H73" s="15" t="s">
        <x:v>2007</x:v>
      </x:c>
    </x:row>
    <x:row r="74" ht="14.25" customHeight="1">
      <x:c r="A74" s="15" t="s">
        <x:v>2010</x:v>
      </x:c>
      <x:c r="B74" s="15" t="s">
        <x:v>529</x:v>
      </x:c>
      <x:c r="C74" s="15">
        <x:v>5.0</x:v>
      </x:c>
      <x:c r="D74" s="15">
        <x:v>7.0</x:v>
      </x:c>
      <x:c r="E74" s="15" t="s">
        <x:v>1850</x:v>
      </x:c>
      <x:c r="F74" s="15" t="s">
        <x:v>1851</x:v>
      </x:c>
      <x:c r="G74" s="15" t="s">
        <x:v>2011</x:v>
      </x:c>
      <x:c r="H74" s="15" t="s">
        <x:v>2007</x:v>
      </x:c>
    </x:row>
    <x:row r="75" ht="14.25" customHeight="1">
      <x:c r="A75" s="15" t="s">
        <x:v>2012</x:v>
      </x:c>
      <x:c r="B75" s="15" t="s">
        <x:v>529</x:v>
      </x:c>
      <x:c r="C75" s="15">
        <x:v>8.0</x:v>
      </x:c>
      <x:c r="D75" s="15">
        <x:v>10.0</x:v>
      </x:c>
      <x:c r="E75" s="15" t="s">
        <x:v>1854</x:v>
      </x:c>
      <x:c r="F75" s="15" t="s">
        <x:v>1855</x:v>
      </x:c>
      <x:c r="G75" s="15" t="s">
        <x:v>2013</x:v>
      </x:c>
      <x:c r="H75" s="15" t="s">
        <x:v>2007</x:v>
      </x:c>
    </x:row>
    <x:row r="76" ht="14.25" customHeight="1">
      <x:c r="A76" s="15" t="s">
        <x:v>2014</x:v>
      </x:c>
      <x:c r="B76" s="15" t="s">
        <x:v>529</x:v>
      </x:c>
      <x:c r="C76" s="15">
        <x:v>11.0</x:v>
      </x:c>
      <x:c r="D76" s="15">
        <x:v>99.0</x:v>
      </x:c>
      <x:c r="E76" s="15" t="s">
        <x:v>1858</x:v>
      </x:c>
      <x:c r="F76" s="15" t="s">
        <x:v>1831</x:v>
      </x:c>
      <x:c r="G76" s="15" t="s">
        <x:v>2015</x:v>
      </x:c>
      <x:c r="H76" s="15" t="s">
        <x:v>2007</x:v>
      </x:c>
    </x:row>
    <x:row r="77" ht="14.25" customHeight="1"/>
    <x:row r="78" ht="14.25" customHeight="1"/>
    <x:row r="79" ht="14.25" customHeight="1"/>
    <x:row r="80" ht="14.25" customHeight="1"/>
    <x:row r="81" ht="14.25" customHeight="1"/>
    <x:row r="82" ht="14.25" customHeight="1"/>
    <x:row r="83" ht="14.25" customHeight="1"/>
    <x:row r="84" ht="14.25" customHeight="1"/>
    <x:row r="85" ht="14.25" customHeight="1"/>
    <x:row r="86" ht="14.25" customHeight="1"/>
    <x:row r="87" ht="14.25" customHeight="1"/>
    <x:row r="88" ht="14.25" customHeight="1"/>
    <x:row r="89" ht="14.25" customHeight="1"/>
    <x:row r="90" ht="14.25" customHeight="1"/>
    <x:row r="91" ht="14.25" customHeight="1"/>
    <x:row r="92" ht="14.25" customHeight="1"/>
    <x:row r="93" ht="14.25" customHeight="1"/>
    <x:row r="94" ht="14.25" customHeight="1"/>
    <x:row r="95" ht="14.25" customHeight="1"/>
    <x:row r="96" ht="14.25" customHeight="1"/>
    <x:row r="97" ht="14.25" customHeight="1"/>
    <x:row r="98" ht="14.25" customHeight="1"/>
    <x:row r="99" ht="14.25" customHeight="1"/>
    <x:row r="100" ht="14.25" customHeight="1"/>
    <x:row r="101" ht="14.25" customHeight="1"/>
    <x:row r="102" ht="14.25" customHeight="1"/>
    <x:row r="103" ht="14.25" customHeight="1"/>
    <x:row r="104" ht="14.25" customHeight="1"/>
    <x:row r="105" ht="14.25" customHeight="1"/>
    <x:row r="106" ht="14.25" customHeight="1"/>
    <x:row r="107" ht="14.25" customHeight="1"/>
    <x:row r="108" ht="14.25" customHeight="1"/>
    <x:row r="109" ht="14.25" customHeight="1"/>
    <x:row r="110" ht="14.25" customHeight="1"/>
    <x:row r="111" ht="14.25" customHeight="1"/>
    <x:row r="112" ht="14.25" customHeight="1"/>
    <x:row r="113" ht="14.25" customHeight="1"/>
    <x:row r="114" ht="14.25" customHeight="1"/>
    <x:row r="115" ht="14.25" customHeight="1"/>
    <x:row r="116" ht="14.25" customHeight="1"/>
    <x:row r="117" ht="14.25" customHeight="1"/>
    <x:row r="118" ht="14.25" customHeight="1"/>
    <x:row r="119" ht="14.25" customHeight="1"/>
    <x:row r="120" ht="14.25" customHeight="1"/>
    <x:row r="121" ht="14.25" customHeight="1"/>
    <x:row r="122" ht="14.25" customHeight="1"/>
    <x:row r="123" ht="14.25" customHeight="1"/>
    <x:row r="124" ht="14.25" customHeight="1"/>
    <x:row r="125" ht="14.25" customHeight="1"/>
    <x:row r="126" ht="14.25" customHeight="1"/>
    <x:row r="127" ht="14.25" customHeight="1"/>
    <x:row r="128" ht="14.25" customHeight="1"/>
    <x:row r="129" ht="14.25" customHeight="1"/>
    <x:row r="130" ht="14.25" customHeight="1"/>
    <x:row r="131" ht="14.25" customHeight="1"/>
    <x:row r="132" ht="14.25" customHeight="1"/>
    <x:row r="133" ht="14.25" customHeight="1"/>
    <x:row r="134" ht="14.25" customHeight="1"/>
    <x:row r="135" ht="14.25" customHeight="1"/>
    <x:row r="136" ht="14.25" customHeight="1"/>
    <x:row r="137" ht="14.25" customHeight="1"/>
    <x:row r="138" ht="14.25" customHeight="1"/>
    <x:row r="139" ht="14.25" customHeight="1"/>
    <x:row r="140" ht="14.25" customHeight="1"/>
    <x:row r="141" ht="14.25" customHeight="1"/>
    <x:row r="142" ht="14.25" customHeight="1"/>
    <x:row r="143" ht="14.25" customHeight="1"/>
    <x:row r="144" ht="14.25" customHeight="1"/>
    <x:row r="145" ht="14.25" customHeight="1"/>
    <x:row r="146" ht="14.25" customHeight="1"/>
    <x:row r="147" ht="14.25" customHeight="1"/>
    <x:row r="148" ht="14.25" customHeight="1"/>
    <x:row r="149" ht="14.25" customHeight="1"/>
    <x:row r="150" ht="14.25" customHeight="1"/>
    <x:row r="151" ht="14.25" customHeight="1"/>
    <x:row r="152" ht="14.25" customHeight="1"/>
    <x:row r="153" ht="14.25" customHeight="1"/>
    <x:row r="154" ht="14.25" customHeight="1"/>
    <x:row r="155" ht="14.25" customHeight="1"/>
    <x:row r="156" ht="14.25" customHeight="1"/>
    <x:row r="157" ht="14.25" customHeight="1"/>
    <x:row r="158" ht="14.25" customHeight="1"/>
    <x:row r="159" ht="14.25" customHeight="1"/>
    <x:row r="160" ht="14.25" customHeight="1"/>
    <x:row r="161" ht="14.25" customHeight="1"/>
    <x:row r="162" ht="14.25" customHeight="1"/>
    <x:row r="163" ht="14.25" customHeight="1"/>
    <x:row r="164" ht="14.25" customHeight="1"/>
    <x:row r="165" ht="14.25" customHeight="1"/>
    <x:row r="166" ht="14.25" customHeight="1"/>
    <x:row r="167" ht="14.25" customHeight="1"/>
    <x:row r="168" ht="14.25" customHeight="1"/>
    <x:row r="169" ht="14.25" customHeight="1"/>
    <x:row r="170" ht="14.25" customHeight="1"/>
    <x:row r="171" ht="14.25" customHeight="1"/>
    <x:row r="172" ht="14.25" customHeight="1"/>
    <x:row r="173" ht="14.25" customHeight="1"/>
    <x:row r="174" ht="14.25" customHeight="1"/>
    <x:row r="175" ht="14.25" customHeight="1"/>
    <x:row r="176" ht="14.25" customHeight="1"/>
    <x:row r="177" ht="14.25" customHeight="1"/>
    <x:row r="178" ht="14.25" customHeight="1"/>
    <x:row r="179" ht="14.25" customHeight="1"/>
    <x:row r="180" ht="14.25" customHeight="1"/>
    <x:row r="181" ht="14.25" customHeight="1"/>
    <x:row r="182" ht="14.25" customHeight="1"/>
    <x:row r="183" ht="14.25" customHeight="1"/>
    <x:row r="184" ht="14.25" customHeight="1"/>
    <x:row r="185" ht="14.25" customHeight="1"/>
    <x:row r="186" ht="14.25" customHeight="1"/>
    <x:row r="187" ht="14.25" customHeight="1"/>
    <x:row r="188" ht="14.25" customHeight="1"/>
    <x:row r="189" ht="14.25" customHeight="1"/>
    <x:row r="190" ht="14.25" customHeight="1"/>
    <x:row r="191" ht="14.25" customHeight="1"/>
    <x:row r="192" ht="14.25" customHeight="1"/>
    <x:row r="193" ht="14.25" customHeight="1"/>
    <x:row r="194" ht="14.25" customHeight="1"/>
    <x:row r="195" ht="14.25" customHeight="1"/>
    <x:row r="196" ht="14.25" customHeight="1"/>
    <x:row r="197" ht="14.25" customHeight="1"/>
    <x:row r="198" ht="14.25" customHeight="1"/>
    <x:row r="199" ht="14.25" customHeight="1"/>
    <x:row r="200" ht="14.25" customHeight="1"/>
    <x:row r="201" ht="14.25" customHeight="1"/>
    <x:row r="202" ht="14.25" customHeight="1"/>
    <x:row r="203" ht="14.25" customHeight="1"/>
    <x:row r="204" ht="14.25" customHeight="1"/>
    <x:row r="205" ht="14.25" customHeight="1"/>
    <x:row r="206" ht="14.25" customHeight="1"/>
    <x:row r="207" ht="14.25" customHeight="1"/>
    <x:row r="208" ht="14.25" customHeight="1"/>
    <x:row r="209" ht="14.25" customHeight="1"/>
    <x:row r="210" ht="14.25" customHeight="1"/>
    <x:row r="211" ht="14.25" customHeight="1"/>
    <x:row r="212" ht="14.25" customHeight="1"/>
    <x:row r="213" ht="14.25" customHeight="1"/>
    <x:row r="214" ht="14.25" customHeight="1"/>
    <x:row r="215" ht="14.25" customHeight="1"/>
    <x:row r="216" ht="14.25" customHeight="1"/>
    <x:row r="217" ht="14.25" customHeight="1"/>
    <x:row r="218" ht="14.25" customHeight="1"/>
    <x:row r="219" ht="14.25" customHeight="1"/>
    <x:row r="220" ht="14.25" customHeight="1"/>
    <x:row r="221" ht="14.25" customHeight="1"/>
    <x:row r="222" ht="14.25" customHeight="1"/>
    <x:row r="223" ht="14.25" customHeight="1"/>
    <x:row r="224" ht="14.25" customHeight="1"/>
    <x:row r="225" ht="14.25" customHeight="1"/>
    <x:row r="226" ht="14.25" customHeight="1"/>
    <x:row r="227" ht="14.25" customHeight="1"/>
    <x:row r="228" ht="14.25" customHeight="1"/>
    <x:row r="229" ht="14.25" customHeight="1"/>
    <x:row r="230" ht="14.25" customHeight="1"/>
    <x:row r="231" ht="14.25" customHeight="1"/>
    <x:row r="232" ht="14.25" customHeight="1"/>
    <x:row r="233" ht="14.25" customHeight="1"/>
    <x:row r="234" ht="14.25" customHeight="1"/>
    <x:row r="235" ht="14.25" customHeight="1"/>
    <x:row r="236" ht="14.25" customHeight="1"/>
    <x:row r="237" ht="14.25" customHeight="1"/>
    <x:row r="238" ht="14.25" customHeight="1"/>
    <x:row r="239" ht="14.25" customHeight="1"/>
    <x:row r="240" ht="14.25" customHeight="1"/>
    <x:row r="241" ht="14.25" customHeight="1"/>
    <x:row r="242" ht="14.25" customHeight="1"/>
    <x:row r="243" ht="14.25" customHeight="1"/>
    <x:row r="244" ht="14.25" customHeight="1"/>
    <x:row r="245" ht="14.25" customHeight="1"/>
    <x:row r="246" ht="14.25" customHeight="1"/>
    <x:row r="247" ht="14.25" customHeight="1"/>
    <x:row r="248" ht="14.25" customHeight="1"/>
    <x:row r="249" ht="14.25" customHeight="1"/>
    <x:row r="250" ht="14.25" customHeight="1"/>
    <x:row r="251" ht="14.25" customHeight="1"/>
    <x:row r="252" ht="14.25" customHeight="1"/>
    <x:row r="253" ht="14.25" customHeight="1"/>
    <x:row r="254" ht="14.25" customHeight="1"/>
    <x:row r="255" ht="14.25" customHeight="1"/>
    <x:row r="256" ht="14.25" customHeight="1"/>
    <x:row r="257" ht="14.25" customHeight="1"/>
    <x:row r="258" ht="14.25" customHeight="1"/>
    <x:row r="259" ht="14.25" customHeight="1"/>
    <x:row r="260" ht="14.25" customHeight="1"/>
    <x:row r="261" ht="14.25" customHeight="1"/>
    <x:row r="262" ht="14.25" customHeight="1"/>
    <x:row r="263" ht="14.25" customHeight="1"/>
    <x:row r="264" ht="14.25" customHeight="1"/>
    <x:row r="265" ht="14.25" customHeight="1"/>
    <x:row r="266" ht="14.25" customHeight="1"/>
    <x:row r="267" ht="14.25" customHeight="1"/>
    <x:row r="268" ht="14.25" customHeight="1"/>
    <x:row r="269" ht="14.25" customHeight="1"/>
    <x:row r="270" ht="14.25" customHeight="1"/>
    <x:row r="271" ht="14.25" customHeight="1"/>
    <x:row r="272" ht="14.25" customHeight="1"/>
    <x:row r="273" ht="14.25" customHeight="1"/>
    <x:row r="274" ht="14.25" customHeight="1"/>
    <x:row r="275" ht="14.25" customHeight="1"/>
    <x:row r="276" ht="14.2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pageMargins left="0.7" right="0.7" top="0.75" bottom="0.75" header="0.3" footer="0.3"/>
</x:worksheet>
</file>

<file path=xl/worksheets/sheet15.xml><?xml version="1.0" encoding="utf-8"?>
<x:worksheet xmlns:x="http://schemas.openxmlformats.org/spreadsheetml/2006/main">
  <x:sheetFormatPr defaultColWidth="12.630000114440918" defaultRowHeight="15"/>
  <x:cols>
    <x:col min="1" max="1" width="2.25" customWidth="1"/>
    <x:col min="2" max="2" width="9.380000114440918" customWidth="1"/>
    <x:col min="3" max="3" width="10.25" customWidth="1"/>
    <x:col min="4" max="6" width="9" customWidth="1"/>
  </x:cols>
  <x:sheetData>
    <x:row r="1" ht="14.25" customHeight="1">
      <x:c r="A1" s="1" t="s">
        <x:v>9</x:v>
      </x:c>
      <x:c r="B1" s="1" t="s">
        <x:v>136</x:v>
      </x:c>
      <x:c r="C1" s="1" t="s">
        <x:v>2016</x:v>
      </x:c>
    </x:row>
    <x:row r="2" ht="14.25" customHeight="1">
      <x:c r="A2" s="4">
        <x:v>0.0</x:v>
      </x:c>
      <x:c r="B2" s="4" t="s">
        <x:v>1841</x:v>
      </x:c>
      <x:c r="C2" s="4" t="s">
        <x:v>1842</x:v>
      </x:c>
    </x:row>
    <x:row r="3" ht="14.25" customHeight="1">
      <x:c r="A3" s="4">
        <x:v>1.0</x:v>
      </x:c>
      <x:c r="B3" s="4" t="s">
        <x:v>1841</x:v>
      </x:c>
      <x:c r="C3" s="4" t="s">
        <x:v>1842</x:v>
      </x:c>
    </x:row>
    <x:row r="4" ht="14.25" customHeight="1">
      <x:c r="A4" s="4">
        <x:v>2.0</x:v>
      </x:c>
      <x:c r="B4" s="4" t="s">
        <x:v>1846</x:v>
      </x:c>
      <x:c r="C4" s="4" t="s">
        <x:v>1847</x:v>
      </x:c>
    </x:row>
    <x:row r="5" ht="14.25" customHeight="1">
      <x:c r="A5" s="4">
        <x:v>3.0</x:v>
      </x:c>
      <x:c r="B5" s="4" t="s">
        <x:v>1846</x:v>
      </x:c>
      <x:c r="C5" s="4" t="s">
        <x:v>1847</x:v>
      </x:c>
    </x:row>
    <x:row r="6" ht="14.25" customHeight="1">
      <x:c r="A6" s="4">
        <x:v>4.0</x:v>
      </x:c>
      <x:c r="B6" s="4" t="s">
        <x:v>1846</x:v>
      </x:c>
      <x:c r="C6" s="4" t="s">
        <x:v>1847</x:v>
      </x:c>
    </x:row>
    <x:row r="7" ht="14.25" customHeight="1">
      <x:c r="A7" s="4">
        <x:v>5.0</x:v>
      </x:c>
      <x:c r="B7" s="4" t="s">
        <x:v>1850</x:v>
      </x:c>
      <x:c r="C7" s="4" t="s">
        <x:v>1851</x:v>
      </x:c>
    </x:row>
    <x:row r="8" ht="14.25" customHeight="1">
      <x:c r="A8" s="4">
        <x:v>6.0</x:v>
      </x:c>
      <x:c r="B8" s="4" t="s">
        <x:v>1850</x:v>
      </x:c>
      <x:c r="C8" s="4" t="s">
        <x:v>1851</x:v>
      </x:c>
    </x:row>
    <x:row r="9" ht="14.25" customHeight="1">
      <x:c r="A9" s="4">
        <x:v>7.0</x:v>
      </x:c>
      <x:c r="B9" s="4" t="s">
        <x:v>1850</x:v>
      </x:c>
      <x:c r="C9" s="4" t="s">
        <x:v>1851</x:v>
      </x:c>
    </x:row>
    <x:row r="10" ht="14.25" customHeight="1">
      <x:c r="A10" s="4">
        <x:v>8.0</x:v>
      </x:c>
      <x:c r="B10" s="4" t="s">
        <x:v>1854</x:v>
      </x:c>
      <x:c r="C10" s="4" t="s">
        <x:v>1855</x:v>
      </x:c>
    </x:row>
    <x:row r="11" ht="14.25" customHeight="1">
      <x:c r="A11" s="4">
        <x:v>9.0</x:v>
      </x:c>
      <x:c r="B11" s="4" t="s">
        <x:v>1854</x:v>
      </x:c>
      <x:c r="C11" s="4" t="s">
        <x:v>1855</x:v>
      </x:c>
    </x:row>
    <x:row r="12" ht="14.25" customHeight="1">
      <x:c r="A12" s="4">
        <x:v>10.0</x:v>
      </x:c>
      <x:c r="B12" s="4" t="s">
        <x:v>1854</x:v>
      </x:c>
      <x:c r="C12" s="4" t="s">
        <x:v>1855</x:v>
      </x:c>
    </x:row>
    <x:row r="13" ht="14.25" customHeight="1">
      <x:c r="A13" s="4">
        <x:v>11.0</x:v>
      </x:c>
      <x:c r="B13" s="4" t="s">
        <x:v>1858</x:v>
      </x:c>
      <x:c r="C13" s="4" t="s">
        <x:v>1831</x:v>
      </x:c>
    </x:row>
    <x:row r="14" ht="14.25" customHeight="1">
      <x:c r="A14" s="4">
        <x:v>12.0</x:v>
      </x:c>
      <x:c r="B14" s="4" t="s">
        <x:v>1858</x:v>
      </x:c>
      <x:c r="C14" s="4" t="s">
        <x:v>1831</x:v>
      </x:c>
    </x:row>
    <x:row r="15" ht="14.25" customHeight="1">
      <x:c r="A15" s="4">
        <x:v>13.0</x:v>
      </x:c>
      <x:c r="B15" s="4" t="s">
        <x:v>1858</x:v>
      </x:c>
      <x:c r="C15" s="4" t="s">
        <x:v>1831</x:v>
      </x:c>
    </x:row>
    <x:row r="16" ht="14.25" customHeight="1">
      <x:c r="A16" s="4">
        <x:v>14.0</x:v>
      </x:c>
      <x:c r="B16" s="4" t="s">
        <x:v>1858</x:v>
      </x:c>
      <x:c r="C16" s="4" t="s">
        <x:v>1831</x:v>
      </x:c>
    </x:row>
    <x:row r="17" ht="14.25" customHeight="1">
      <x:c r="A17" s="4">
        <x:v>15.0</x:v>
      </x:c>
      <x:c r="B17" s="4" t="s">
        <x:v>1858</x:v>
      </x:c>
      <x:c r="C17" s="4" t="s">
        <x:v>1831</x:v>
      </x:c>
    </x:row>
    <x:row r="18" ht="14.25" customHeight="1">
      <x:c r="A18" s="4">
        <x:v>16.0</x:v>
      </x:c>
      <x:c r="B18" s="4" t="s">
        <x:v>1858</x:v>
      </x:c>
      <x:c r="C18" s="4" t="s">
        <x:v>1831</x:v>
      </x:c>
    </x:row>
    <x:row r="19" ht="14.25" customHeight="1">
      <x:c r="A19" s="4">
        <x:v>17.0</x:v>
      </x:c>
      <x:c r="B19" s="4" t="s">
        <x:v>1858</x:v>
      </x:c>
      <x:c r="C19" s="4" t="s">
        <x:v>1831</x:v>
      </x:c>
    </x:row>
    <x:row r="20" ht="14.25" customHeight="1">
      <x:c r="A20" s="4">
        <x:v>18.0</x:v>
      </x:c>
      <x:c r="B20" s="4" t="s">
        <x:v>1858</x:v>
      </x:c>
      <x:c r="C20" s="4" t="s">
        <x:v>1831</x:v>
      </x:c>
    </x:row>
    <x:row r="21" ht="14.25" customHeight="1">
      <x:c r="A21" s="4">
        <x:v>19.0</x:v>
      </x:c>
      <x:c r="B21" s="4" t="s">
        <x:v>1858</x:v>
      </x:c>
      <x:c r="C21" s="4" t="s">
        <x:v>1831</x:v>
      </x:c>
    </x:row>
    <x:row r="22" ht="14.25" customHeight="1">
      <x:c r="A22" s="4">
        <x:v>20.0</x:v>
      </x:c>
      <x:c r="B22" s="4" t="s">
        <x:v>1858</x:v>
      </x:c>
      <x:c r="C22" s="4" t="s">
        <x:v>1831</x:v>
      </x:c>
    </x:row>
    <x:row r="23" ht="14.25" customHeight="1">
      <x:c r="A23" s="4"/>
      <x:c r="B23" s="4"/>
      <x:c r="C23" s="4"/>
    </x:row>
    <x:row r="24" ht="14.25" customHeight="1">
      <x:c r="A24" s="4"/>
      <x:c r="B24" s="4"/>
      <x:c r="C24" s="4"/>
    </x:row>
    <x:row r="25" ht="14.25" customHeight="1">
      <x:c r="A25" s="4"/>
      <x:c r="B25" s="4"/>
      <x:c r="C25" s="4"/>
    </x:row>
    <x:row r="26" ht="14.25" customHeight="1">
      <x:c r="A26" s="4"/>
      <x:c r="B26" s="4"/>
      <x:c r="C26" s="4"/>
    </x:row>
    <x:row r="27" ht="14.25" customHeight="1">
      <x:c r="A27" s="4"/>
      <x:c r="B27" s="4"/>
      <x:c r="C27" s="4"/>
    </x:row>
    <x:row r="28" ht="14.25" customHeight="1">
      <x:c r="A28" s="4"/>
      <x:c r="B28" s="4"/>
      <x:c r="C28" s="4"/>
    </x:row>
    <x:row r="29" ht="14.25" customHeight="1">
      <x:c r="A29" s="4"/>
      <x:c r="B29" s="4"/>
      <x:c r="C29" s="4"/>
    </x:row>
    <x:row r="30" ht="14.25" customHeight="1">
      <x:c r="A30" s="4"/>
      <x:c r="B30" s="4"/>
      <x:c r="C30" s="4"/>
    </x:row>
    <x:row r="31" ht="14.25" customHeight="1">
      <x:c r="A31" s="4"/>
      <x:c r="B31" s="4"/>
      <x:c r="C31" s="4"/>
    </x:row>
    <x:row r="32" ht="14.25" customHeight="1"/>
    <x:row r="33" ht="14.25" customHeight="1"/>
    <x:row r="34" ht="14.25" customHeight="1"/>
    <x:row r="35" ht="14.25" customHeight="1"/>
    <x:row r="36" ht="14.25" customHeight="1"/>
    <x:row r="37" ht="14.25" customHeight="1"/>
    <x:row r="38" ht="14.25" customHeight="1"/>
    <x:row r="39" ht="14.25" customHeight="1"/>
    <x:row r="40" ht="14.25" customHeight="1"/>
    <x:row r="41" ht="14.25" customHeight="1"/>
    <x:row r="42" ht="14.25" customHeight="1"/>
    <x:row r="43" ht="14.25" customHeight="1"/>
    <x:row r="44" ht="14.25" customHeight="1"/>
    <x:row r="45" ht="14.25" customHeight="1"/>
    <x:row r="46" ht="14.25" customHeight="1"/>
    <x:row r="47" ht="14.25" customHeight="1"/>
    <x:row r="48" ht="14.25" customHeight="1"/>
    <x:row r="49" ht="14.25" customHeight="1"/>
    <x:row r="50" ht="14.25" customHeight="1"/>
    <x:row r="51" ht="14.25" customHeight="1"/>
    <x:row r="52" ht="14.25" customHeight="1"/>
    <x:row r="53" ht="14.25" customHeight="1"/>
    <x:row r="54" ht="14.25" customHeight="1"/>
    <x:row r="55" ht="14.25" customHeight="1"/>
    <x:row r="56" ht="14.25" customHeight="1"/>
    <x:row r="57" ht="14.25" customHeight="1"/>
    <x:row r="58" ht="14.25" customHeight="1"/>
    <x:row r="59" ht="14.25" customHeight="1"/>
    <x:row r="60" ht="14.25" customHeight="1"/>
    <x:row r="61" ht="14.25" customHeight="1"/>
    <x:row r="62" ht="14.25" customHeight="1"/>
    <x:row r="63" ht="14.25" customHeight="1"/>
    <x:row r="64" ht="14.25" customHeight="1"/>
    <x:row r="65" ht="14.25" customHeight="1"/>
    <x:row r="66" ht="14.25" customHeight="1"/>
    <x:row r="67" ht="14.25" customHeight="1"/>
    <x:row r="68" ht="14.25" customHeight="1"/>
    <x:row r="69" ht="14.25" customHeight="1"/>
    <x:row r="70" ht="14.25" customHeight="1"/>
    <x:row r="71" ht="14.25" customHeight="1"/>
    <x:row r="72" ht="14.25" customHeight="1"/>
    <x:row r="73" ht="14.25" customHeight="1"/>
    <x:row r="74" ht="14.25" customHeight="1"/>
    <x:row r="75" ht="14.25" customHeight="1"/>
    <x:row r="76" ht="14.25" customHeight="1"/>
    <x:row r="77" ht="14.25" customHeight="1"/>
    <x:row r="78" ht="14.25" customHeight="1"/>
    <x:row r="79" ht="14.25" customHeight="1"/>
    <x:row r="80" ht="14.25" customHeight="1"/>
    <x:row r="81" ht="14.25" customHeight="1"/>
    <x:row r="82" ht="14.25" customHeight="1"/>
    <x:row r="83" ht="14.25" customHeight="1"/>
    <x:row r="84" ht="14.25" customHeight="1"/>
    <x:row r="85" ht="14.25" customHeight="1"/>
    <x:row r="86" ht="14.25" customHeight="1"/>
    <x:row r="87" ht="14.25" customHeight="1"/>
    <x:row r="88" ht="14.25" customHeight="1"/>
    <x:row r="89" ht="14.25" customHeight="1"/>
    <x:row r="90" ht="14.25" customHeight="1"/>
    <x:row r="91" ht="14.25" customHeight="1"/>
    <x:row r="92" ht="14.25" customHeight="1"/>
    <x:row r="93" ht="14.25" customHeight="1"/>
    <x:row r="94" ht="14.25" customHeight="1"/>
    <x:row r="95" ht="14.25" customHeight="1"/>
    <x:row r="96" ht="14.25" customHeight="1"/>
    <x:row r="97" ht="14.25" customHeight="1"/>
    <x:row r="98" ht="14.25" customHeight="1"/>
    <x:row r="99" ht="14.25" customHeight="1"/>
    <x:row r="100" ht="14.25" customHeight="1"/>
    <x:row r="101" ht="14.25" customHeight="1"/>
    <x:row r="102" ht="14.25" customHeight="1"/>
    <x:row r="103" ht="14.25" customHeight="1"/>
    <x:row r="104" ht="14.25" customHeight="1"/>
    <x:row r="105" ht="14.25" customHeight="1"/>
    <x:row r="106" ht="14.25" customHeight="1"/>
    <x:row r="107" ht="14.25" customHeight="1"/>
    <x:row r="108" ht="14.25" customHeight="1"/>
    <x:row r="109" ht="14.25" customHeight="1"/>
    <x:row r="110" ht="14.25" customHeight="1"/>
    <x:row r="111" ht="14.25" customHeight="1"/>
    <x:row r="112" ht="14.25" customHeight="1"/>
    <x:row r="113" ht="14.25" customHeight="1"/>
    <x:row r="114" ht="14.25" customHeight="1"/>
    <x:row r="115" ht="14.25" customHeight="1"/>
    <x:row r="116" ht="14.25" customHeight="1"/>
    <x:row r="117" ht="14.25" customHeight="1"/>
    <x:row r="118" ht="14.25" customHeight="1"/>
    <x:row r="119" ht="14.25" customHeight="1"/>
    <x:row r="120" ht="14.25" customHeight="1"/>
    <x:row r="121" ht="14.25" customHeight="1"/>
    <x:row r="122" ht="14.25" customHeight="1"/>
    <x:row r="123" ht="14.25" customHeight="1"/>
    <x:row r="124" ht="14.25" customHeight="1"/>
    <x:row r="125" ht="14.25" customHeight="1"/>
    <x:row r="126" ht="14.25" customHeight="1"/>
    <x:row r="127" ht="14.25" customHeight="1"/>
    <x:row r="128" ht="14.25" customHeight="1"/>
    <x:row r="129" ht="14.25" customHeight="1"/>
    <x:row r="130" ht="14.25" customHeight="1"/>
    <x:row r="131" ht="14.25" customHeight="1"/>
    <x:row r="132" ht="14.25" customHeight="1"/>
    <x:row r="133" ht="14.25" customHeight="1"/>
    <x:row r="134" ht="14.25" customHeight="1"/>
    <x:row r="135" ht="14.25" customHeight="1"/>
    <x:row r="136" ht="14.25" customHeight="1"/>
    <x:row r="137" ht="14.25" customHeight="1"/>
    <x:row r="138" ht="14.25" customHeight="1"/>
    <x:row r="139" ht="14.25" customHeight="1"/>
    <x:row r="140" ht="14.25" customHeight="1"/>
    <x:row r="141" ht="14.25" customHeight="1"/>
    <x:row r="142" ht="14.25" customHeight="1"/>
    <x:row r="143" ht="14.25" customHeight="1"/>
    <x:row r="144" ht="14.25" customHeight="1"/>
    <x:row r="145" ht="14.25" customHeight="1"/>
    <x:row r="146" ht="14.25" customHeight="1"/>
    <x:row r="147" ht="14.25" customHeight="1"/>
    <x:row r="148" ht="14.25" customHeight="1"/>
    <x:row r="149" ht="14.25" customHeight="1"/>
    <x:row r="150" ht="14.25" customHeight="1"/>
    <x:row r="151" ht="14.25" customHeight="1"/>
    <x:row r="152" ht="14.25" customHeight="1"/>
    <x:row r="153" ht="14.25" customHeight="1"/>
    <x:row r="154" ht="14.25" customHeight="1"/>
    <x:row r="155" ht="14.25" customHeight="1"/>
    <x:row r="156" ht="14.25" customHeight="1"/>
    <x:row r="157" ht="14.25" customHeight="1"/>
    <x:row r="158" ht="14.25" customHeight="1"/>
    <x:row r="159" ht="14.25" customHeight="1"/>
    <x:row r="160" ht="14.25" customHeight="1"/>
    <x:row r="161" ht="14.25" customHeight="1"/>
    <x:row r="162" ht="14.25" customHeight="1"/>
    <x:row r="163" ht="14.25" customHeight="1"/>
    <x:row r="164" ht="14.25" customHeight="1"/>
    <x:row r="165" ht="14.25" customHeight="1"/>
    <x:row r="166" ht="14.25" customHeight="1"/>
    <x:row r="167" ht="14.25" customHeight="1"/>
    <x:row r="168" ht="14.25" customHeight="1"/>
    <x:row r="169" ht="14.25" customHeight="1"/>
    <x:row r="170" ht="14.25" customHeight="1"/>
    <x:row r="171" ht="14.25" customHeight="1"/>
    <x:row r="172" ht="14.25" customHeight="1"/>
    <x:row r="173" ht="14.25" customHeight="1"/>
    <x:row r="174" ht="14.25" customHeight="1"/>
    <x:row r="175" ht="14.25" customHeight="1"/>
    <x:row r="176" ht="14.25" customHeight="1"/>
    <x:row r="177" ht="14.25" customHeight="1"/>
    <x:row r="178" ht="14.25" customHeight="1"/>
    <x:row r="179" ht="14.25" customHeight="1"/>
    <x:row r="180" ht="14.25" customHeight="1"/>
    <x:row r="181" ht="14.25" customHeight="1"/>
    <x:row r="182" ht="14.25" customHeight="1"/>
    <x:row r="183" ht="14.25" customHeight="1"/>
    <x:row r="184" ht="14.25" customHeight="1"/>
    <x:row r="185" ht="14.25" customHeight="1"/>
    <x:row r="186" ht="14.25" customHeight="1"/>
    <x:row r="187" ht="14.25" customHeight="1"/>
    <x:row r="188" ht="14.25" customHeight="1"/>
    <x:row r="189" ht="14.25" customHeight="1"/>
    <x:row r="190" ht="14.25" customHeight="1"/>
    <x:row r="191" ht="14.25" customHeight="1"/>
    <x:row r="192" ht="14.25" customHeight="1"/>
    <x:row r="193" ht="14.25" customHeight="1"/>
    <x:row r="194" ht="14.25" customHeight="1"/>
    <x:row r="195" ht="14.25" customHeight="1"/>
    <x:row r="196" ht="14.25" customHeight="1"/>
    <x:row r="197" ht="14.25" customHeight="1"/>
    <x:row r="198" ht="14.25" customHeight="1"/>
    <x:row r="199" ht="14.25" customHeight="1"/>
    <x:row r="200" ht="14.25" customHeight="1"/>
    <x:row r="201" ht="14.25" customHeight="1"/>
    <x:row r="202" ht="14.25" customHeight="1"/>
    <x:row r="203" ht="14.25" customHeight="1"/>
    <x:row r="204" ht="14.25" customHeight="1"/>
    <x:row r="205" ht="14.25" customHeight="1"/>
    <x:row r="206" ht="14.25" customHeight="1"/>
    <x:row r="207" ht="14.25" customHeight="1"/>
    <x:row r="208" ht="14.25" customHeight="1"/>
    <x:row r="209" ht="14.25" customHeight="1"/>
    <x:row r="210" ht="14.25" customHeight="1"/>
    <x:row r="211" ht="14.25" customHeight="1"/>
    <x:row r="212" ht="14.25" customHeight="1"/>
    <x:row r="213" ht="14.25" customHeight="1"/>
    <x:row r="214" ht="14.25" customHeight="1"/>
    <x:row r="215" ht="14.25" customHeight="1"/>
    <x:row r="216" ht="14.25" customHeight="1"/>
    <x:row r="217" ht="14.25" customHeight="1"/>
    <x:row r="218" ht="14.25" customHeight="1"/>
    <x:row r="219" ht="14.25" customHeight="1"/>
    <x:row r="220" ht="14.25" customHeight="1"/>
    <x:row r="221" ht="14.25" customHeight="1"/>
    <x:row r="222" ht="14.2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pageMargins left="0.7" right="0.7" top="0.75" bottom="0.75" header="0.3" footer="0.3"/>
</x:worksheet>
</file>

<file path=xl/worksheets/sheet16.xml><?xml version="1.0" encoding="utf-8"?>
<x:worksheet xmlns:x="http://schemas.openxmlformats.org/spreadsheetml/2006/main">
  <x:sheetFormatPr defaultColWidth="12.630000114440918" defaultRowHeight="15"/>
  <x:cols>
    <x:col min="1" max="1" width="42" customWidth="1"/>
    <x:col min="2" max="2" width="26" customWidth="1"/>
    <x:col min="3" max="14" width="9" customWidth="1"/>
    <x:col min="15" max="15" width="42" customWidth="1"/>
    <x:col min="16" max="19" width="12" customWidth="1"/>
  </x:cols>
  <x:sheetData>
    <x:row r="1" ht="14.25" customHeight="1">
      <x:c r="A1" s="112" t="s">
        <x:v>23</x:v>
      </x:c>
      <x:c r="B1" s="112" t="s">
        <x:v>174</x:v>
      </x:c>
      <x:c r="C1" s="112" t="s">
        <x:v>7</x:v>
      </x:c>
      <x:c r="D1" s="112" t="s">
        <x:v>10</x:v>
      </x:c>
      <x:c r="E1" s="112" t="s">
        <x:v>14</x:v>
      </x:c>
      <x:c r="F1" s="112" t="s">
        <x:v>17</x:v>
      </x:c>
      <x:c r="G1" s="112" t="s">
        <x:v>21</x:v>
      </x:c>
      <x:c r="H1" s="112" t="s">
        <x:v>25</x:v>
      </x:c>
      <x:c r="I1" s="112" t="s">
        <x:v>30</x:v>
      </x:c>
      <x:c r="J1" s="112" t="s">
        <x:v>175</x:v>
      </x:c>
      <x:c r="K1" s="112" t="s">
        <x:v>176</x:v>
      </x:c>
      <x:c r="L1" s="112" t="s">
        <x:v>177</x:v>
      </x:c>
      <x:c r="M1" s="112" t="s">
        <x:v>37</x:v>
      </x:c>
      <x:c r="N1" s="112" t="s">
        <x:v>178</x:v>
      </x:c>
      <x:c r="O1" s="112" t="s">
        <x:v>51</x:v>
      </x:c>
      <x:c r="P1" s="112" t="s">
        <x:v>179</x:v>
      </x:c>
      <x:c r="Q1" s="112" t="s">
        <x:v>2017</x:v>
      </x:c>
      <x:c r="R1" s="112" t="s">
        <x:v>2018</x:v>
      </x:c>
      <x:c r="S1" s="112" t="s">
        <x:v>2019</x:v>
      </x:c>
    </x:row>
    <x:row r="2" ht="14.25" customHeight="1">
      <x:c r="A2" s="15" t="s">
        <x:v>2020</x:v>
      </x:c>
      <x:c r="B2" s="15" t="s">
        <x:v>2021</x:v>
      </x:c>
      <x:c r="C2" s="15">
        <x:v>0.0</x:v>
      </x:c>
      <x:c r="D2" s="15">
        <x:v>0.0</x:v>
      </x:c>
      <x:c r="E2" s="15">
        <x:v>0.0</x:v>
      </x:c>
      <x:c r="F2" s="15">
        <x:v>0.0</x:v>
      </x:c>
      <x:c r="G2" s="15">
        <x:v>0.0</x:v>
      </x:c>
      <x:c r="H2" s="15">
        <x:v>0.0</x:v>
      </x:c>
      <x:c r="I2" s="15">
        <x:v>0.0</x:v>
      </x:c>
      <x:c r="J2" s="15">
        <x:v>1.0</x:v>
      </x:c>
      <x:c r="K2" s="15">
        <x:v>0.0</x:v>
      </x:c>
      <x:c r="L2" s="15">
        <x:v>0.0</x:v>
      </x:c>
      <x:c r="M2" s="15">
        <x:v>0.0</x:v>
      </x:c>
      <x:c r="N2" s="15">
        <x:v>0.65</x:v>
      </x:c>
      <x:c r="O2" s="15" t="s">
        <x:v>2022</x:v>
      </x:c>
      <x:c r="P2" s="15">
        <x:v>1.0</x:v>
      </x:c>
      <x:c r="Q2" s="15" t="s">
        <x:v>2021</x:v>
      </x:c>
      <x:c r="R2" s="15" t="s">
        <x:v>2021</x:v>
      </x:c>
      <x:c r="S2" s="15" t="s">
        <x:v>2021</x:v>
      </x:c>
    </x:row>
    <x:row r="3" ht="14.25" customHeight="1">
      <x:c r="A3" s="15" t="s">
        <x:v>2023</x:v>
      </x:c>
      <x:c r="B3" s="15" t="s">
        <x:v>2024</x:v>
      </x:c>
      <x:c r="C3" s="15">
        <x:v>3.0</x:v>
      </x:c>
      <x:c r="D3" s="15">
        <x:v>0.0</x:v>
      </x:c>
      <x:c r="E3" s="15">
        <x:v>0.0</x:v>
      </x:c>
      <x:c r="F3" s="15">
        <x:v>0.0</x:v>
      </x:c>
      <x:c r="G3" s="15">
        <x:v>0.0</x:v>
      </x:c>
      <x:c r="H3" s="15">
        <x:v>0.0</x:v>
      </x:c>
      <x:c r="I3" s="15">
        <x:v>0.0</x:v>
      </x:c>
      <x:c r="J3" s="15">
        <x:v>1.2</x:v>
      </x:c>
      <x:c r="K3" s="15">
        <x:v>0.0</x:v>
      </x:c>
      <x:c r="L3" s="15">
        <x:v>0.0</x:v>
      </x:c>
      <x:c r="M3" s="15">
        <x:v>0.0</x:v>
      </x:c>
      <x:c r="N3" s="15">
        <x:v>0.65</x:v>
      </x:c>
      <x:c r="O3" s="15" t="s">
        <x:v>2025</x:v>
      </x:c>
      <x:c r="P3" s="15">
        <x:v>1.0</x:v>
      </x:c>
      <x:c r="Q3" s="15" t="s">
        <x:v>7</x:v>
      </x:c>
      <x:c r="R3" s="15" t="s">
        <x:v>2026</x:v>
      </x:c>
      <x:c r="S3" s="15" t="s">
        <x:v>2027</x:v>
      </x:c>
    </x:row>
    <x:row r="4" ht="14.25" customHeight="1">
      <x:c r="A4" s="15" t="s">
        <x:v>2028</x:v>
      </x:c>
      <x:c r="B4" s="15" t="s">
        <x:v>194</x:v>
      </x:c>
      <x:c r="C4" s="15">
        <x:v>2.0</x:v>
      </x:c>
      <x:c r="D4" s="15">
        <x:v>0.0</x:v>
      </x:c>
      <x:c r="E4" s="15">
        <x:v>1.0</x:v>
      </x:c>
      <x:c r="F4" s="15">
        <x:v>0.0</x:v>
      </x:c>
      <x:c r="G4" s="15">
        <x:v>0.0</x:v>
      </x:c>
      <x:c r="H4" s="15">
        <x:v>0.0</x:v>
      </x:c>
      <x:c r="I4" s="15">
        <x:v>0.0</x:v>
      </x:c>
      <x:c r="J4" s="15">
        <x:v>1.2</x:v>
      </x:c>
      <x:c r="K4" s="15">
        <x:v>0.0</x:v>
      </x:c>
      <x:c r="L4" s="15">
        <x:v>0.0</x:v>
      </x:c>
      <x:c r="M4" s="15">
        <x:v>0.0</x:v>
      </x:c>
      <x:c r="N4" s="15">
        <x:v>0.65</x:v>
      </x:c>
      <x:c r="O4" s="15" t="s">
        <x:v>2029</x:v>
      </x:c>
      <x:c r="P4" s="15">
        <x:v>1.0</x:v>
      </x:c>
      <x:c r="Q4" s="15" t="s">
        <x:v>7</x:v>
      </x:c>
      <x:c r="R4" s="15" t="s">
        <x:v>2026</x:v>
      </x:c>
      <x:c r="S4" s="15" t="s">
        <x:v>2030</x:v>
      </x:c>
    </x:row>
    <x:row r="5" ht="14.25" customHeight="1">
      <x:c r="A5" s="15" t="s">
        <x:v>2031</x:v>
      </x:c>
      <x:c r="B5" s="15" t="s">
        <x:v>2032</x:v>
      </x:c>
      <x:c r="C5" s="15">
        <x:v>3.0</x:v>
      </x:c>
      <x:c r="D5" s="15">
        <x:v>0.0</x:v>
      </x:c>
      <x:c r="E5" s="15">
        <x:v>1.0</x:v>
      </x:c>
      <x:c r="F5" s="15">
        <x:v>0.0</x:v>
      </x:c>
      <x:c r="G5" s="15">
        <x:v>0.0</x:v>
      </x:c>
      <x:c r="H5" s="15">
        <x:v>0.0</x:v>
      </x:c>
      <x:c r="I5" s="15">
        <x:v>0.0</x:v>
      </x:c>
      <x:c r="J5" s="15">
        <x:v>1.2</x:v>
      </x:c>
      <x:c r="K5" s="15">
        <x:v>0.0</x:v>
      </x:c>
      <x:c r="L5" s="15">
        <x:v>0.0</x:v>
      </x:c>
      <x:c r="M5" s="15">
        <x:v>0.0</x:v>
      </x:c>
      <x:c r="N5" s="15">
        <x:v>0.65</x:v>
      </x:c>
      <x:c r="O5" s="15" t="s">
        <x:v>2033</x:v>
      </x:c>
      <x:c r="P5" s="15">
        <x:v>1.0</x:v>
      </x:c>
      <x:c r="Q5" s="15" t="s">
        <x:v>7</x:v>
      </x:c>
      <x:c r="R5" s="15" t="s">
        <x:v>2034</x:v>
      </x:c>
      <x:c r="S5" s="15" t="s">
        <x:v>2027</x:v>
      </x:c>
    </x:row>
    <x:row r="6" ht="14.25" customHeight="1">
      <x:c r="A6" s="15" t="s">
        <x:v>2035</x:v>
      </x:c>
      <x:c r="B6" s="15" t="s">
        <x:v>2036</x:v>
      </x:c>
      <x:c r="C6" s="15">
        <x:v>2.0</x:v>
      </x:c>
      <x:c r="D6" s="15">
        <x:v>0.0</x:v>
      </x:c>
      <x:c r="E6" s="15">
        <x:v>2.0</x:v>
      </x:c>
      <x:c r="F6" s="15">
        <x:v>0.0</x:v>
      </x:c>
      <x:c r="G6" s="15">
        <x:v>0.0</x:v>
      </x:c>
      <x:c r="H6" s="15">
        <x:v>0.0</x:v>
      </x:c>
      <x:c r="I6" s="15">
        <x:v>0.0</x:v>
      </x:c>
      <x:c r="J6" s="15">
        <x:v>1.2</x:v>
      </x:c>
      <x:c r="K6" s="15">
        <x:v>0.0</x:v>
      </x:c>
      <x:c r="L6" s="15">
        <x:v>0.0</x:v>
      </x:c>
      <x:c r="M6" s="15">
        <x:v>0.0</x:v>
      </x:c>
      <x:c r="N6" s="15">
        <x:v>0.65</x:v>
      </x:c>
      <x:c r="O6" s="15" t="s">
        <x:v>2037</x:v>
      </x:c>
      <x:c r="P6" s="15">
        <x:v>1.0</x:v>
      </x:c>
      <x:c r="Q6" s="15" t="s">
        <x:v>7</x:v>
      </x:c>
      <x:c r="R6" s="15" t="s">
        <x:v>2034</x:v>
      </x:c>
      <x:c r="S6" s="15" t="s">
        <x:v>2030</x:v>
      </x:c>
    </x:row>
    <x:row r="7" ht="14.25" customHeight="1">
      <x:c r="A7" s="15" t="s">
        <x:v>2038</x:v>
      </x:c>
      <x:c r="B7" s="15" t="s">
        <x:v>2039</x:v>
      </x:c>
      <x:c r="C7" s="15">
        <x:v>3.0</x:v>
      </x:c>
      <x:c r="D7" s="15">
        <x:v>1.0</x:v>
      </x:c>
      <x:c r="E7" s="15">
        <x:v>2.0</x:v>
      </x:c>
      <x:c r="F7" s="15">
        <x:v>0.0</x:v>
      </x:c>
      <x:c r="G7" s="15">
        <x:v>0.0</x:v>
      </x:c>
      <x:c r="H7" s="15">
        <x:v>0.0</x:v>
      </x:c>
      <x:c r="I7" s="15">
        <x:v>0.0</x:v>
      </x:c>
      <x:c r="J7" s="15">
        <x:v>1.2</x:v>
      </x:c>
      <x:c r="K7" s="15">
        <x:v>0.0</x:v>
      </x:c>
      <x:c r="L7" s="15">
        <x:v>0.0</x:v>
      </x:c>
      <x:c r="M7" s="15">
        <x:v>0.0</x:v>
      </x:c>
      <x:c r="N7" s="15">
        <x:v>0.65</x:v>
      </x:c>
      <x:c r="O7" s="15" t="s">
        <x:v>2040</x:v>
      </x:c>
      <x:c r="P7" s="15">
        <x:v>1.0</x:v>
      </x:c>
      <x:c r="Q7" s="15" t="s">
        <x:v>7</x:v>
      </x:c>
      <x:c r="R7" s="15" t="s">
        <x:v>2041</x:v>
      </x:c>
      <x:c r="S7" s="15" t="s">
        <x:v>2027</x:v>
      </x:c>
    </x:row>
    <x:row r="8" ht="14.25" customHeight="1">
      <x:c r="A8" s="15" t="s">
        <x:v>2042</x:v>
      </x:c>
      <x:c r="B8" s="15" t="s">
        <x:v>2043</x:v>
      </x:c>
      <x:c r="C8" s="15">
        <x:v>4.0</x:v>
      </x:c>
      <x:c r="D8" s="15">
        <x:v>0.0</x:v>
      </x:c>
      <x:c r="E8" s="15">
        <x:v>2.0</x:v>
      </x:c>
      <x:c r="F8" s="15">
        <x:v>0.0</x:v>
      </x:c>
      <x:c r="G8" s="15">
        <x:v>0.0</x:v>
      </x:c>
      <x:c r="H8" s="15">
        <x:v>0.0</x:v>
      </x:c>
      <x:c r="I8" s="15">
        <x:v>0.0</x:v>
      </x:c>
      <x:c r="J8" s="15">
        <x:v>1.2</x:v>
      </x:c>
      <x:c r="K8" s="15">
        <x:v>0.0</x:v>
      </x:c>
      <x:c r="L8" s="15">
        <x:v>0.0</x:v>
      </x:c>
      <x:c r="M8" s="15">
        <x:v>0.0</x:v>
      </x:c>
      <x:c r="N8" s="15">
        <x:v>0.65</x:v>
      </x:c>
      <x:c r="O8" s="15" t="s">
        <x:v>2044</x:v>
      </x:c>
      <x:c r="P8" s="15">
        <x:v>1.0</x:v>
      </x:c>
      <x:c r="Q8" s="15" t="s">
        <x:v>7</x:v>
      </x:c>
      <x:c r="R8" s="15" t="s">
        <x:v>2041</x:v>
      </x:c>
      <x:c r="S8" s="15" t="s">
        <x:v>2030</x:v>
      </x:c>
    </x:row>
    <x:row r="9" ht="14.25" customHeight="1">
      <x:c r="A9" s="15" t="s">
        <x:v>2045</x:v>
      </x:c>
      <x:c r="B9" s="15" t="s">
        <x:v>2046</x:v>
      </x:c>
      <x:c r="C9" s="15">
        <x:v>4.0</x:v>
      </x:c>
      <x:c r="D9" s="15">
        <x:v>2.0</x:v>
      </x:c>
      <x:c r="E9" s="15">
        <x:v>2.0</x:v>
      </x:c>
      <x:c r="F9" s="15">
        <x:v>0.0</x:v>
      </x:c>
      <x:c r="G9" s="15">
        <x:v>0.0</x:v>
      </x:c>
      <x:c r="H9" s="15">
        <x:v>0.0</x:v>
      </x:c>
      <x:c r="I9" s="15">
        <x:v>0.0</x:v>
      </x:c>
      <x:c r="J9" s="15">
        <x:v>1.2</x:v>
      </x:c>
      <x:c r="K9" s="15">
        <x:v>0.0</x:v>
      </x:c>
      <x:c r="L9" s="15">
        <x:v>0.0</x:v>
      </x:c>
      <x:c r="M9" s="15">
        <x:v>0.0</x:v>
      </x:c>
      <x:c r="N9" s="15">
        <x:v>0.65</x:v>
      </x:c>
      <x:c r="O9" s="15" t="s">
        <x:v>2047</x:v>
      </x:c>
      <x:c r="P9" s="15">
        <x:v>1.0</x:v>
      </x:c>
      <x:c r="Q9" s="15" t="s">
        <x:v>7</x:v>
      </x:c>
      <x:c r="R9" s="15" t="s">
        <x:v>2048</x:v>
      </x:c>
      <x:c r="S9" s="15" t="s">
        <x:v>2027</x:v>
      </x:c>
    </x:row>
    <x:row r="10" ht="14.25" customHeight="1">
      <x:c r="A10" s="15" t="s">
        <x:v>2049</x:v>
      </x:c>
      <x:c r="B10" s="15" t="s">
        <x:v>2050</x:v>
      </x:c>
      <x:c r="C10" s="15">
        <x:v>4.0</x:v>
      </x:c>
      <x:c r="D10" s="15">
        <x:v>1.0</x:v>
      </x:c>
      <x:c r="E10" s="15">
        <x:v>3.0</x:v>
      </x:c>
      <x:c r="F10" s="15">
        <x:v>0.0</x:v>
      </x:c>
      <x:c r="G10" s="15">
        <x:v>0.0</x:v>
      </x:c>
      <x:c r="H10" s="15">
        <x:v>0.0</x:v>
      </x:c>
      <x:c r="I10" s="15">
        <x:v>0.0</x:v>
      </x:c>
      <x:c r="J10" s="15">
        <x:v>1.2</x:v>
      </x:c>
      <x:c r="K10" s="15">
        <x:v>0.0</x:v>
      </x:c>
      <x:c r="L10" s="15">
        <x:v>0.0</x:v>
      </x:c>
      <x:c r="M10" s="15">
        <x:v>0.0</x:v>
      </x:c>
      <x:c r="N10" s="15">
        <x:v>0.65</x:v>
      </x:c>
      <x:c r="O10" s="15" t="s">
        <x:v>2051</x:v>
      </x:c>
      <x:c r="P10" s="15">
        <x:v>1.0</x:v>
      </x:c>
      <x:c r="Q10" s="15" t="s">
        <x:v>7</x:v>
      </x:c>
      <x:c r="R10" s="15" t="s">
        <x:v>2048</x:v>
      </x:c>
      <x:c r="S10" s="15" t="s">
        <x:v>2030</x:v>
      </x:c>
    </x:row>
    <x:row r="11" ht="14.25" customHeight="1">
      <x:c r="A11" s="15" t="s">
        <x:v>2052</x:v>
      </x:c>
      <x:c r="B11" s="15" t="s">
        <x:v>2024</x:v>
      </x:c>
      <x:c r="C11" s="15">
        <x:v>3.0</x:v>
      </x:c>
      <x:c r="D11" s="15">
        <x:v>0.0</x:v>
      </x:c>
      <x:c r="E11" s="15">
        <x:v>0.0</x:v>
      </x:c>
      <x:c r="F11" s="15">
        <x:v>0.0</x:v>
      </x:c>
      <x:c r="G11" s="15">
        <x:v>0.0</x:v>
      </x:c>
      <x:c r="H11" s="15">
        <x:v>0.0</x:v>
      </x:c>
      <x:c r="I11" s="15">
        <x:v>0.0</x:v>
      </x:c>
      <x:c r="J11" s="15">
        <x:v>1.1</x:v>
      </x:c>
      <x:c r="K11" s="15">
        <x:v>0.0</x:v>
      </x:c>
      <x:c r="L11" s="15">
        <x:v>0.0</x:v>
      </x:c>
      <x:c r="M11" s="15">
        <x:v>0.0</x:v>
      </x:c>
      <x:c r="N11" s="15">
        <x:v>0.68</x:v>
      </x:c>
      <x:c r="O11" s="15" t="s">
        <x:v>2053</x:v>
      </x:c>
      <x:c r="P11" s="15">
        <x:v>1.0</x:v>
      </x:c>
      <x:c r="Q11" s="15" t="s">
        <x:v>7</x:v>
      </x:c>
      <x:c r="R11" s="15" t="s">
        <x:v>2026</x:v>
      </x:c>
      <x:c r="S11" s="15" t="s">
        <x:v>2027</x:v>
      </x:c>
    </x:row>
    <x:row r="12" ht="14.25" customHeight="1">
      <x:c r="A12" s="15" t="s">
        <x:v>24</x:v>
      </x:c>
      <x:c r="B12" s="15" t="s">
        <x:v>202</x:v>
      </x:c>
      <x:c r="C12" s="15">
        <x:v>2.0</x:v>
      </x:c>
      <x:c r="D12" s="15">
        <x:v>1.0</x:v>
      </x:c>
      <x:c r="E12" s="15">
        <x:v>0.0</x:v>
      </x:c>
      <x:c r="F12" s="15">
        <x:v>0.0</x:v>
      </x:c>
      <x:c r="G12" s="15">
        <x:v>0.0</x:v>
      </x:c>
      <x:c r="H12" s="15">
        <x:v>0.0</x:v>
      </x:c>
      <x:c r="I12" s="15">
        <x:v>0.0</x:v>
      </x:c>
      <x:c r="J12" s="15">
        <x:v>1.1</x:v>
      </x:c>
      <x:c r="K12" s="15">
        <x:v>0.0</x:v>
      </x:c>
      <x:c r="L12" s="15">
        <x:v>0.0</x:v>
      </x:c>
      <x:c r="M12" s="15">
        <x:v>0.0</x:v>
      </x:c>
      <x:c r="N12" s="15">
        <x:v>0.68</x:v>
      </x:c>
      <x:c r="O12" s="15" t="s">
        <x:v>2054</x:v>
      </x:c>
      <x:c r="P12" s="15">
        <x:v>1.0</x:v>
      </x:c>
      <x:c r="Q12" s="15" t="s">
        <x:v>7</x:v>
      </x:c>
      <x:c r="R12" s="15" t="s">
        <x:v>2026</x:v>
      </x:c>
      <x:c r="S12" s="15" t="s">
        <x:v>2030</x:v>
      </x:c>
    </x:row>
    <x:row r="13" ht="14.25" customHeight="1">
      <x:c r="A13" s="15" t="s">
        <x:v>2055</x:v>
      </x:c>
      <x:c r="B13" s="15" t="s">
        <x:v>2056</x:v>
      </x:c>
      <x:c r="C13" s="15">
        <x:v>3.0</x:v>
      </x:c>
      <x:c r="D13" s="15">
        <x:v>1.0</x:v>
      </x:c>
      <x:c r="E13" s="15">
        <x:v>0.0</x:v>
      </x:c>
      <x:c r="F13" s="15">
        <x:v>0.0</x:v>
      </x:c>
      <x:c r="G13" s="15">
        <x:v>0.0</x:v>
      </x:c>
      <x:c r="H13" s="15">
        <x:v>0.0</x:v>
      </x:c>
      <x:c r="I13" s="15">
        <x:v>0.0</x:v>
      </x:c>
      <x:c r="J13" s="15">
        <x:v>1.1</x:v>
      </x:c>
      <x:c r="K13" s="15">
        <x:v>0.0</x:v>
      </x:c>
      <x:c r="L13" s="15">
        <x:v>0.0</x:v>
      </x:c>
      <x:c r="M13" s="15">
        <x:v>0.0</x:v>
      </x:c>
      <x:c r="N13" s="15">
        <x:v>0.68</x:v>
      </x:c>
      <x:c r="O13" s="15" t="s">
        <x:v>2057</x:v>
      </x:c>
      <x:c r="P13" s="15">
        <x:v>1.0</x:v>
      </x:c>
      <x:c r="Q13" s="15" t="s">
        <x:v>7</x:v>
      </x:c>
      <x:c r="R13" s="15" t="s">
        <x:v>2034</x:v>
      </x:c>
      <x:c r="S13" s="15" t="s">
        <x:v>2027</x:v>
      </x:c>
    </x:row>
    <x:row r="14" ht="14.25" customHeight="1">
      <x:c r="A14" s="15" t="s">
        <x:v>2058</x:v>
      </x:c>
      <x:c r="B14" s="15" t="s">
        <x:v>2059</x:v>
      </x:c>
      <x:c r="C14" s="15">
        <x:v>2.0</x:v>
      </x:c>
      <x:c r="D14" s="15">
        <x:v>2.0</x:v>
      </x:c>
      <x:c r="E14" s="15">
        <x:v>0.0</x:v>
      </x:c>
      <x:c r="F14" s="15">
        <x:v>0.0</x:v>
      </x:c>
      <x:c r="G14" s="15">
        <x:v>0.0</x:v>
      </x:c>
      <x:c r="H14" s="15">
        <x:v>0.0</x:v>
      </x:c>
      <x:c r="I14" s="15">
        <x:v>0.0</x:v>
      </x:c>
      <x:c r="J14" s="15">
        <x:v>1.1</x:v>
      </x:c>
      <x:c r="K14" s="15">
        <x:v>0.0</x:v>
      </x:c>
      <x:c r="L14" s="15">
        <x:v>0.0</x:v>
      </x:c>
      <x:c r="M14" s="15">
        <x:v>0.0</x:v>
      </x:c>
      <x:c r="N14" s="15">
        <x:v>0.68</x:v>
      </x:c>
      <x:c r="O14" s="15" t="s">
        <x:v>2060</x:v>
      </x:c>
      <x:c r="P14" s="15">
        <x:v>1.0</x:v>
      </x:c>
      <x:c r="Q14" s="15" t="s">
        <x:v>7</x:v>
      </x:c>
      <x:c r="R14" s="15" t="s">
        <x:v>2034</x:v>
      </x:c>
      <x:c r="S14" s="15" t="s">
        <x:v>2030</x:v>
      </x:c>
    </x:row>
    <x:row r="15" ht="14.25" customHeight="1">
      <x:c r="A15" s="15" t="s">
        <x:v>2061</x:v>
      </x:c>
      <x:c r="B15" s="15" t="s">
        <x:v>2062</x:v>
      </x:c>
      <x:c r="C15" s="15">
        <x:v>3.0</x:v>
      </x:c>
      <x:c r="D15" s="15">
        <x:v>2.0</x:v>
      </x:c>
      <x:c r="E15" s="15">
        <x:v>1.0</x:v>
      </x:c>
      <x:c r="F15" s="15">
        <x:v>0.0</x:v>
      </x:c>
      <x:c r="G15" s="15">
        <x:v>0.0</x:v>
      </x:c>
      <x:c r="H15" s="15">
        <x:v>0.0</x:v>
      </x:c>
      <x:c r="I15" s="15">
        <x:v>0.0</x:v>
      </x:c>
      <x:c r="J15" s="15">
        <x:v>1.1</x:v>
      </x:c>
      <x:c r="K15" s="15">
        <x:v>0.0</x:v>
      </x:c>
      <x:c r="L15" s="15">
        <x:v>0.0</x:v>
      </x:c>
      <x:c r="M15" s="15">
        <x:v>0.0</x:v>
      </x:c>
      <x:c r="N15" s="15">
        <x:v>0.68</x:v>
      </x:c>
      <x:c r="O15" s="15" t="s">
        <x:v>2063</x:v>
      </x:c>
      <x:c r="P15" s="15">
        <x:v>1.0</x:v>
      </x:c>
      <x:c r="Q15" s="15" t="s">
        <x:v>7</x:v>
      </x:c>
      <x:c r="R15" s="15" t="s">
        <x:v>2041</x:v>
      </x:c>
      <x:c r="S15" s="15" t="s">
        <x:v>2027</x:v>
      </x:c>
    </x:row>
    <x:row r="16" ht="14.25" customHeight="1">
      <x:c r="A16" s="15" t="s">
        <x:v>2064</x:v>
      </x:c>
      <x:c r="B16" s="15" t="s">
        <x:v>2065</x:v>
      </x:c>
      <x:c r="C16" s="15">
        <x:v>4.0</x:v>
      </x:c>
      <x:c r="D16" s="15">
        <x:v>2.0</x:v>
      </x:c>
      <x:c r="E16" s="15">
        <x:v>0.0</x:v>
      </x:c>
      <x:c r="F16" s="15">
        <x:v>0.0</x:v>
      </x:c>
      <x:c r="G16" s="15">
        <x:v>0.0</x:v>
      </x:c>
      <x:c r="H16" s="15">
        <x:v>0.0</x:v>
      </x:c>
      <x:c r="I16" s="15">
        <x:v>0.0</x:v>
      </x:c>
      <x:c r="J16" s="15">
        <x:v>1.1</x:v>
      </x:c>
      <x:c r="K16" s="15">
        <x:v>0.0</x:v>
      </x:c>
      <x:c r="L16" s="15">
        <x:v>0.0</x:v>
      </x:c>
      <x:c r="M16" s="15">
        <x:v>0.0</x:v>
      </x:c>
      <x:c r="N16" s="15">
        <x:v>0.68</x:v>
      </x:c>
      <x:c r="O16" s="15" t="s">
        <x:v>2066</x:v>
      </x:c>
      <x:c r="P16" s="15">
        <x:v>1.0</x:v>
      </x:c>
      <x:c r="Q16" s="15" t="s">
        <x:v>7</x:v>
      </x:c>
      <x:c r="R16" s="15" t="s">
        <x:v>2041</x:v>
      </x:c>
      <x:c r="S16" s="15" t="s">
        <x:v>2030</x:v>
      </x:c>
    </x:row>
    <x:row r="17" ht="14.25" customHeight="1">
      <x:c r="A17" s="15" t="s">
        <x:v>2067</x:v>
      </x:c>
      <x:c r="B17" s="15" t="s">
        <x:v>2068</x:v>
      </x:c>
      <x:c r="C17" s="15">
        <x:v>4.0</x:v>
      </x:c>
      <x:c r="D17" s="15">
        <x:v>2.0</x:v>
      </x:c>
      <x:c r="E17" s="15">
        <x:v>2.0</x:v>
      </x:c>
      <x:c r="F17" s="15">
        <x:v>0.0</x:v>
      </x:c>
      <x:c r="G17" s="15">
        <x:v>0.0</x:v>
      </x:c>
      <x:c r="H17" s="15">
        <x:v>0.0</x:v>
      </x:c>
      <x:c r="I17" s="15">
        <x:v>0.0</x:v>
      </x:c>
      <x:c r="J17" s="15">
        <x:v>1.1</x:v>
      </x:c>
      <x:c r="K17" s="15">
        <x:v>0.0</x:v>
      </x:c>
      <x:c r="L17" s="15">
        <x:v>0.0</x:v>
      </x:c>
      <x:c r="M17" s="15">
        <x:v>0.0</x:v>
      </x:c>
      <x:c r="N17" s="15">
        <x:v>0.68</x:v>
      </x:c>
      <x:c r="O17" s="15" t="s">
        <x:v>2069</x:v>
      </x:c>
      <x:c r="P17" s="15">
        <x:v>1.0</x:v>
      </x:c>
      <x:c r="Q17" s="15" t="s">
        <x:v>7</x:v>
      </x:c>
      <x:c r="R17" s="15" t="s">
        <x:v>2048</x:v>
      </x:c>
      <x:c r="S17" s="15" t="s">
        <x:v>2027</x:v>
      </x:c>
    </x:row>
    <x:row r="18" ht="14.25" customHeight="1">
      <x:c r="A18" s="15" t="s">
        <x:v>2070</x:v>
      </x:c>
      <x:c r="B18" s="15" t="s">
        <x:v>2071</x:v>
      </x:c>
      <x:c r="C18" s="15">
        <x:v>4.0</x:v>
      </x:c>
      <x:c r="D18" s="15">
        <x:v>3.0</x:v>
      </x:c>
      <x:c r="E18" s="15">
        <x:v>1.0</x:v>
      </x:c>
      <x:c r="F18" s="15">
        <x:v>0.0</x:v>
      </x:c>
      <x:c r="G18" s="15">
        <x:v>0.0</x:v>
      </x:c>
      <x:c r="H18" s="15">
        <x:v>0.0</x:v>
      </x:c>
      <x:c r="I18" s="15">
        <x:v>0.0</x:v>
      </x:c>
      <x:c r="J18" s="15">
        <x:v>1.1</x:v>
      </x:c>
      <x:c r="K18" s="15">
        <x:v>0.0</x:v>
      </x:c>
      <x:c r="L18" s="15">
        <x:v>0.0</x:v>
      </x:c>
      <x:c r="M18" s="15">
        <x:v>0.0</x:v>
      </x:c>
      <x:c r="N18" s="15">
        <x:v>0.68</x:v>
      </x:c>
      <x:c r="O18" s="15" t="s">
        <x:v>2072</x:v>
      </x:c>
      <x:c r="P18" s="15">
        <x:v>1.0</x:v>
      </x:c>
      <x:c r="Q18" s="15" t="s">
        <x:v>7</x:v>
      </x:c>
      <x:c r="R18" s="15" t="s">
        <x:v>2048</x:v>
      </x:c>
      <x:c r="S18" s="15" t="s">
        <x:v>2030</x:v>
      </x:c>
    </x:row>
    <x:row r="19" ht="14.25" customHeight="1">
      <x:c r="A19" s="15" t="s">
        <x:v>2073</x:v>
      </x:c>
      <x:c r="B19" s="15" t="s">
        <x:v>2024</x:v>
      </x:c>
      <x:c r="C19" s="15">
        <x:v>3.0</x:v>
      </x:c>
      <x:c r="D19" s="15">
        <x:v>0.0</x:v>
      </x:c>
      <x:c r="E19" s="15">
        <x:v>0.0</x:v>
      </x:c>
      <x:c r="F19" s="15">
        <x:v>0.0</x:v>
      </x:c>
      <x:c r="G19" s="15">
        <x:v>0.0</x:v>
      </x:c>
      <x:c r="H19" s="15">
        <x:v>0.0</x:v>
      </x:c>
      <x:c r="I19" s="15">
        <x:v>0.0</x:v>
      </x:c>
      <x:c r="J19" s="15">
        <x:v>1.15</x:v>
      </x:c>
      <x:c r="K19" s="15">
        <x:v>0.0</x:v>
      </x:c>
      <x:c r="L19" s="15">
        <x:v>0.0</x:v>
      </x:c>
      <x:c r="M19" s="15">
        <x:v>0.0</x:v>
      </x:c>
      <x:c r="N19" s="15">
        <x:v>0.62</x:v>
      </x:c>
      <x:c r="O19" s="15" t="s">
        <x:v>2074</x:v>
      </x:c>
      <x:c r="P19" s="15">
        <x:v>1.0</x:v>
      </x:c>
      <x:c r="Q19" s="15" t="s">
        <x:v>7</x:v>
      </x:c>
      <x:c r="R19" s="15" t="s">
        <x:v>2026</x:v>
      </x:c>
      <x:c r="S19" s="15" t="s">
        <x:v>2027</x:v>
      </x:c>
    </x:row>
    <x:row r="20" ht="14.25" customHeight="1">
      <x:c r="A20" s="15" t="s">
        <x:v>2075</x:v>
      </x:c>
      <x:c r="B20" s="15" t="s">
        <x:v>194</x:v>
      </x:c>
      <x:c r="C20" s="15">
        <x:v>2.0</x:v>
      </x:c>
      <x:c r="D20" s="15">
        <x:v>0.0</x:v>
      </x:c>
      <x:c r="E20" s="15">
        <x:v>1.0</x:v>
      </x:c>
      <x:c r="F20" s="15">
        <x:v>0.0</x:v>
      </x:c>
      <x:c r="G20" s="15">
        <x:v>0.0</x:v>
      </x:c>
      <x:c r="H20" s="15">
        <x:v>0.0</x:v>
      </x:c>
      <x:c r="I20" s="15">
        <x:v>0.0</x:v>
      </x:c>
      <x:c r="J20" s="15">
        <x:v>1.15</x:v>
      </x:c>
      <x:c r="K20" s="15">
        <x:v>0.0</x:v>
      </x:c>
      <x:c r="L20" s="15">
        <x:v>0.0</x:v>
      </x:c>
      <x:c r="M20" s="15">
        <x:v>0.0</x:v>
      </x:c>
      <x:c r="N20" s="15">
        <x:v>0.62</x:v>
      </x:c>
      <x:c r="O20" s="15" t="s">
        <x:v>2076</x:v>
      </x:c>
      <x:c r="P20" s="15">
        <x:v>1.0</x:v>
      </x:c>
      <x:c r="Q20" s="15" t="s">
        <x:v>7</x:v>
      </x:c>
      <x:c r="R20" s="15" t="s">
        <x:v>2026</x:v>
      </x:c>
      <x:c r="S20" s="15" t="s">
        <x:v>2030</x:v>
      </x:c>
    </x:row>
    <x:row r="21" ht="15.75" customHeight="1">
      <x:c r="A21" s="15" t="s">
        <x:v>2077</x:v>
      </x:c>
      <x:c r="B21" s="15" t="s">
        <x:v>2032</x:v>
      </x:c>
      <x:c r="C21" s="15">
        <x:v>3.0</x:v>
      </x:c>
      <x:c r="D21" s="15">
        <x:v>0.0</x:v>
      </x:c>
      <x:c r="E21" s="15">
        <x:v>1.0</x:v>
      </x:c>
      <x:c r="F21" s="15">
        <x:v>0.0</x:v>
      </x:c>
      <x:c r="G21" s="15">
        <x:v>0.0</x:v>
      </x:c>
      <x:c r="H21" s="15">
        <x:v>0.0</x:v>
      </x:c>
      <x:c r="I21" s="15">
        <x:v>0.0</x:v>
      </x:c>
      <x:c r="J21" s="15">
        <x:v>1.15</x:v>
      </x:c>
      <x:c r="K21" s="15">
        <x:v>0.0</x:v>
      </x:c>
      <x:c r="L21" s="15">
        <x:v>0.0</x:v>
      </x:c>
      <x:c r="M21" s="15">
        <x:v>0.0</x:v>
      </x:c>
      <x:c r="N21" s="15">
        <x:v>0.62</x:v>
      </x:c>
      <x:c r="O21" s="15" t="s">
        <x:v>2078</x:v>
      </x:c>
      <x:c r="P21" s="15">
        <x:v>1.0</x:v>
      </x:c>
      <x:c r="Q21" s="15" t="s">
        <x:v>7</x:v>
      </x:c>
      <x:c r="R21" s="15" t="s">
        <x:v>2034</x:v>
      </x:c>
      <x:c r="S21" s="15" t="s">
        <x:v>2027</x:v>
      </x:c>
    </x:row>
    <x:row r="22" ht="15.75" customHeight="1">
      <x:c r="A22" s="15" t="s">
        <x:v>2079</x:v>
      </x:c>
      <x:c r="B22" s="15" t="s">
        <x:v>2036</x:v>
      </x:c>
      <x:c r="C22" s="15">
        <x:v>2.0</x:v>
      </x:c>
      <x:c r="D22" s="15">
        <x:v>0.0</x:v>
      </x:c>
      <x:c r="E22" s="15">
        <x:v>2.0</x:v>
      </x:c>
      <x:c r="F22" s="15">
        <x:v>0.0</x:v>
      </x:c>
      <x:c r="G22" s="15">
        <x:v>0.0</x:v>
      </x:c>
      <x:c r="H22" s="15">
        <x:v>0.0</x:v>
      </x:c>
      <x:c r="I22" s="15">
        <x:v>0.0</x:v>
      </x:c>
      <x:c r="J22" s="15">
        <x:v>1.15</x:v>
      </x:c>
      <x:c r="K22" s="15">
        <x:v>0.0</x:v>
      </x:c>
      <x:c r="L22" s="15">
        <x:v>0.0</x:v>
      </x:c>
      <x:c r="M22" s="15">
        <x:v>0.0</x:v>
      </x:c>
      <x:c r="N22" s="15">
        <x:v>0.62</x:v>
      </x:c>
      <x:c r="O22" s="15" t="s">
        <x:v>2080</x:v>
      </x:c>
      <x:c r="P22" s="15">
        <x:v>1.0</x:v>
      </x:c>
      <x:c r="Q22" s="15" t="s">
        <x:v>7</x:v>
      </x:c>
      <x:c r="R22" s="15" t="s">
        <x:v>2034</x:v>
      </x:c>
      <x:c r="S22" s="15" t="s">
        <x:v>2030</x:v>
      </x:c>
    </x:row>
    <x:row r="23" ht="15.75" customHeight="1">
      <x:c r="A23" s="15" t="s">
        <x:v>2081</x:v>
      </x:c>
      <x:c r="B23" s="15" t="s">
        <x:v>2039</x:v>
      </x:c>
      <x:c r="C23" s="15">
        <x:v>3.0</x:v>
      </x:c>
      <x:c r="D23" s="15">
        <x:v>1.0</x:v>
      </x:c>
      <x:c r="E23" s="15">
        <x:v>2.0</x:v>
      </x:c>
      <x:c r="F23" s="15">
        <x:v>0.0</x:v>
      </x:c>
      <x:c r="G23" s="15">
        <x:v>0.0</x:v>
      </x:c>
      <x:c r="H23" s="15">
        <x:v>0.0</x:v>
      </x:c>
      <x:c r="I23" s="15">
        <x:v>0.0</x:v>
      </x:c>
      <x:c r="J23" s="15">
        <x:v>1.15</x:v>
      </x:c>
      <x:c r="K23" s="15">
        <x:v>0.0</x:v>
      </x:c>
      <x:c r="L23" s="15">
        <x:v>0.0</x:v>
      </x:c>
      <x:c r="M23" s="15">
        <x:v>0.0</x:v>
      </x:c>
      <x:c r="N23" s="15">
        <x:v>0.62</x:v>
      </x:c>
      <x:c r="O23" s="15" t="s">
        <x:v>2082</x:v>
      </x:c>
      <x:c r="P23" s="15">
        <x:v>1.0</x:v>
      </x:c>
      <x:c r="Q23" s="15" t="s">
        <x:v>7</x:v>
      </x:c>
      <x:c r="R23" s="15" t="s">
        <x:v>2041</x:v>
      </x:c>
      <x:c r="S23" s="15" t="s">
        <x:v>2027</x:v>
      </x:c>
    </x:row>
    <x:row r="24" ht="15.75" customHeight="1">
      <x:c r="A24" s="15" t="s">
        <x:v>2083</x:v>
      </x:c>
      <x:c r="B24" s="15" t="s">
        <x:v>2043</x:v>
      </x:c>
      <x:c r="C24" s="15">
        <x:v>4.0</x:v>
      </x:c>
      <x:c r="D24" s="15">
        <x:v>0.0</x:v>
      </x:c>
      <x:c r="E24" s="15">
        <x:v>2.0</x:v>
      </x:c>
      <x:c r="F24" s="15">
        <x:v>0.0</x:v>
      </x:c>
      <x:c r="G24" s="15">
        <x:v>0.0</x:v>
      </x:c>
      <x:c r="H24" s="15">
        <x:v>0.0</x:v>
      </x:c>
      <x:c r="I24" s="15">
        <x:v>0.0</x:v>
      </x:c>
      <x:c r="J24" s="15">
        <x:v>1.15</x:v>
      </x:c>
      <x:c r="K24" s="15">
        <x:v>0.0</x:v>
      </x:c>
      <x:c r="L24" s="15">
        <x:v>0.0</x:v>
      </x:c>
      <x:c r="M24" s="15">
        <x:v>0.0</x:v>
      </x:c>
      <x:c r="N24" s="15">
        <x:v>0.62</x:v>
      </x:c>
      <x:c r="O24" s="15" t="s">
        <x:v>2084</x:v>
      </x:c>
      <x:c r="P24" s="15">
        <x:v>1.0</x:v>
      </x:c>
      <x:c r="Q24" s="15" t="s">
        <x:v>7</x:v>
      </x:c>
      <x:c r="R24" s="15" t="s">
        <x:v>2041</x:v>
      </x:c>
      <x:c r="S24" s="15" t="s">
        <x:v>2030</x:v>
      </x:c>
    </x:row>
    <x:row r="25" ht="15.75" customHeight="1">
      <x:c r="A25" s="15" t="s">
        <x:v>2085</x:v>
      </x:c>
      <x:c r="B25" s="15" t="s">
        <x:v>2046</x:v>
      </x:c>
      <x:c r="C25" s="15">
        <x:v>4.0</x:v>
      </x:c>
      <x:c r="D25" s="15">
        <x:v>2.0</x:v>
      </x:c>
      <x:c r="E25" s="15">
        <x:v>2.0</x:v>
      </x:c>
      <x:c r="F25" s="15">
        <x:v>0.0</x:v>
      </x:c>
      <x:c r="G25" s="15">
        <x:v>0.0</x:v>
      </x:c>
      <x:c r="H25" s="15">
        <x:v>0.0</x:v>
      </x:c>
      <x:c r="I25" s="15">
        <x:v>0.0</x:v>
      </x:c>
      <x:c r="J25" s="15">
        <x:v>1.15</x:v>
      </x:c>
      <x:c r="K25" s="15">
        <x:v>0.0</x:v>
      </x:c>
      <x:c r="L25" s="15">
        <x:v>0.0</x:v>
      </x:c>
      <x:c r="M25" s="15">
        <x:v>0.0</x:v>
      </x:c>
      <x:c r="N25" s="15">
        <x:v>0.62</x:v>
      </x:c>
      <x:c r="O25" s="15" t="s">
        <x:v>2086</x:v>
      </x:c>
      <x:c r="P25" s="15">
        <x:v>1.0</x:v>
      </x:c>
      <x:c r="Q25" s="15" t="s">
        <x:v>7</x:v>
      </x:c>
      <x:c r="R25" s="15" t="s">
        <x:v>2048</x:v>
      </x:c>
      <x:c r="S25" s="15" t="s">
        <x:v>2027</x:v>
      </x:c>
    </x:row>
    <x:row r="26" ht="15.75" customHeight="1">
      <x:c r="A26" s="15" t="s">
        <x:v>2087</x:v>
      </x:c>
      <x:c r="B26" s="15" t="s">
        <x:v>2050</x:v>
      </x:c>
      <x:c r="C26" s="15">
        <x:v>4.0</x:v>
      </x:c>
      <x:c r="D26" s="15">
        <x:v>1.0</x:v>
      </x:c>
      <x:c r="E26" s="15">
        <x:v>3.0</x:v>
      </x:c>
      <x:c r="F26" s="15">
        <x:v>0.0</x:v>
      </x:c>
      <x:c r="G26" s="15">
        <x:v>0.0</x:v>
      </x:c>
      <x:c r="H26" s="15">
        <x:v>0.0</x:v>
      </x:c>
      <x:c r="I26" s="15">
        <x:v>0.0</x:v>
      </x:c>
      <x:c r="J26" s="15">
        <x:v>1.15</x:v>
      </x:c>
      <x:c r="K26" s="15">
        <x:v>0.0</x:v>
      </x:c>
      <x:c r="L26" s="15">
        <x:v>0.0</x:v>
      </x:c>
      <x:c r="M26" s="15">
        <x:v>0.0</x:v>
      </x:c>
      <x:c r="N26" s="15">
        <x:v>0.62</x:v>
      </x:c>
      <x:c r="O26" s="15" t="s">
        <x:v>2088</x:v>
      </x:c>
      <x:c r="P26" s="15">
        <x:v>1.0</x:v>
      </x:c>
      <x:c r="Q26" s="15" t="s">
        <x:v>7</x:v>
      </x:c>
      <x:c r="R26" s="15" t="s">
        <x:v>2048</x:v>
      </x:c>
      <x:c r="S26" s="15" t="s">
        <x:v>2030</x:v>
      </x:c>
    </x:row>
    <x:row r="27" ht="15.75" customHeight="1">
      <x:c r="A27" s="15" t="s">
        <x:v>2089</x:v>
      </x:c>
      <x:c r="B27" s="15" t="s">
        <x:v>2090</x:v>
      </x:c>
      <x:c r="C27" s="15">
        <x:v>0.0</x:v>
      </x:c>
      <x:c r="D27" s="15">
        <x:v>3.0</x:v>
      </x:c>
      <x:c r="E27" s="15">
        <x:v>0.0</x:v>
      </x:c>
      <x:c r="F27" s="15">
        <x:v>0.0</x:v>
      </x:c>
      <x:c r="G27" s="15">
        <x:v>0.0</x:v>
      </x:c>
      <x:c r="H27" s="15">
        <x:v>0.0</x:v>
      </x:c>
      <x:c r="I27" s="15">
        <x:v>0.0</x:v>
      </x:c>
      <x:c r="J27" s="15">
        <x:v>0.9</x:v>
      </x:c>
      <x:c r="K27" s="15">
        <x:v>0.0</x:v>
      </x:c>
      <x:c r="L27" s="15">
        <x:v>0.0</x:v>
      </x:c>
      <x:c r="M27" s="15">
        <x:v>0.0</x:v>
      </x:c>
      <x:c r="N27" s="15">
        <x:v>0.78</x:v>
      </x:c>
      <x:c r="O27" s="15" t="s">
        <x:v>2091</x:v>
      </x:c>
      <x:c r="P27" s="15">
        <x:v>1.0</x:v>
      </x:c>
      <x:c r="Q27" s="15" t="s">
        <x:v>10</x:v>
      </x:c>
      <x:c r="R27" s="15" t="s">
        <x:v>2026</x:v>
      </x:c>
      <x:c r="S27" s="15" t="s">
        <x:v>2027</x:v>
      </x:c>
    </x:row>
    <x:row r="28" ht="15.75" customHeight="1">
      <x:c r="A28" s="15" t="s">
        <x:v>2092</x:v>
      </x:c>
      <x:c r="B28" s="15" t="s">
        <x:v>219</x:v>
      </x:c>
      <x:c r="C28" s="15">
        <x:v>0.0</x:v>
      </x:c>
      <x:c r="D28" s="15">
        <x:v>2.0</x:v>
      </x:c>
      <x:c r="E28" s="15">
        <x:v>1.0</x:v>
      </x:c>
      <x:c r="F28" s="15">
        <x:v>0.0</x:v>
      </x:c>
      <x:c r="G28" s="15">
        <x:v>0.0</x:v>
      </x:c>
      <x:c r="H28" s="15">
        <x:v>0.0</x:v>
      </x:c>
      <x:c r="I28" s="15">
        <x:v>0.0</x:v>
      </x:c>
      <x:c r="J28" s="15">
        <x:v>0.9</x:v>
      </x:c>
      <x:c r="K28" s="15">
        <x:v>0.0</x:v>
      </x:c>
      <x:c r="L28" s="15">
        <x:v>0.0</x:v>
      </x:c>
      <x:c r="M28" s="15">
        <x:v>0.0</x:v>
      </x:c>
      <x:c r="N28" s="15">
        <x:v>0.78</x:v>
      </x:c>
      <x:c r="O28" s="15" t="s">
        <x:v>2093</x:v>
      </x:c>
      <x:c r="P28" s="15">
        <x:v>1.0</x:v>
      </x:c>
      <x:c r="Q28" s="15" t="s">
        <x:v>10</x:v>
      </x:c>
      <x:c r="R28" s="15" t="s">
        <x:v>2026</x:v>
      </x:c>
      <x:c r="S28" s="15" t="s">
        <x:v>2030</x:v>
      </x:c>
    </x:row>
    <x:row r="29" ht="15.75" customHeight="1">
      <x:c r="A29" s="15" t="s">
        <x:v>2094</x:v>
      </x:c>
      <x:c r="B29" s="15" t="s">
        <x:v>2095</x:v>
      </x:c>
      <x:c r="C29" s="15">
        <x:v>0.0</x:v>
      </x:c>
      <x:c r="D29" s="15">
        <x:v>3.0</x:v>
      </x:c>
      <x:c r="E29" s="15">
        <x:v>1.0</x:v>
      </x:c>
      <x:c r="F29" s="15">
        <x:v>0.0</x:v>
      </x:c>
      <x:c r="G29" s="15">
        <x:v>0.0</x:v>
      </x:c>
      <x:c r="H29" s="15">
        <x:v>0.0</x:v>
      </x:c>
      <x:c r="I29" s="15">
        <x:v>0.0</x:v>
      </x:c>
      <x:c r="J29" s="15">
        <x:v>0.9</x:v>
      </x:c>
      <x:c r="K29" s="15">
        <x:v>0.0</x:v>
      </x:c>
      <x:c r="L29" s="15">
        <x:v>0.0</x:v>
      </x:c>
      <x:c r="M29" s="15">
        <x:v>0.0</x:v>
      </x:c>
      <x:c r="N29" s="15">
        <x:v>0.78</x:v>
      </x:c>
      <x:c r="O29" s="15" t="s">
        <x:v>2096</x:v>
      </x:c>
      <x:c r="P29" s="15">
        <x:v>1.0</x:v>
      </x:c>
      <x:c r="Q29" s="15" t="s">
        <x:v>10</x:v>
      </x:c>
      <x:c r="R29" s="15" t="s">
        <x:v>2034</x:v>
      </x:c>
      <x:c r="S29" s="15" t="s">
        <x:v>2027</x:v>
      </x:c>
    </x:row>
    <x:row r="30" ht="15.75" customHeight="1">
      <x:c r="A30" s="15" t="s">
        <x:v>2097</x:v>
      </x:c>
      <x:c r="B30" s="15" t="s">
        <x:v>2098</x:v>
      </x:c>
      <x:c r="C30" s="15">
        <x:v>0.0</x:v>
      </x:c>
      <x:c r="D30" s="15">
        <x:v>2.0</x:v>
      </x:c>
      <x:c r="E30" s="15">
        <x:v>2.0</x:v>
      </x:c>
      <x:c r="F30" s="15">
        <x:v>0.0</x:v>
      </x:c>
      <x:c r="G30" s="15">
        <x:v>0.0</x:v>
      </x:c>
      <x:c r="H30" s="15">
        <x:v>0.0</x:v>
      </x:c>
      <x:c r="I30" s="15">
        <x:v>0.0</x:v>
      </x:c>
      <x:c r="J30" s="15">
        <x:v>0.9</x:v>
      </x:c>
      <x:c r="K30" s="15">
        <x:v>0.0</x:v>
      </x:c>
      <x:c r="L30" s="15">
        <x:v>0.0</x:v>
      </x:c>
      <x:c r="M30" s="15">
        <x:v>0.0</x:v>
      </x:c>
      <x:c r="N30" s="15">
        <x:v>0.78</x:v>
      </x:c>
      <x:c r="O30" s="15" t="s">
        <x:v>2099</x:v>
      </x:c>
      <x:c r="P30" s="15">
        <x:v>1.0</x:v>
      </x:c>
      <x:c r="Q30" s="15" t="s">
        <x:v>10</x:v>
      </x:c>
      <x:c r="R30" s="15" t="s">
        <x:v>2034</x:v>
      </x:c>
      <x:c r="S30" s="15" t="s">
        <x:v>2030</x:v>
      </x:c>
    </x:row>
    <x:row r="31" ht="15.75" customHeight="1">
      <x:c r="A31" s="15" t="s">
        <x:v>2100</x:v>
      </x:c>
      <x:c r="B31" s="15" t="s">
        <x:v>2101</x:v>
      </x:c>
      <x:c r="C31" s="15">
        <x:v>1.0</x:v>
      </x:c>
      <x:c r="D31" s="15">
        <x:v>3.0</x:v>
      </x:c>
      <x:c r="E31" s="15">
        <x:v>2.0</x:v>
      </x:c>
      <x:c r="F31" s="15">
        <x:v>0.0</x:v>
      </x:c>
      <x:c r="G31" s="15">
        <x:v>0.0</x:v>
      </x:c>
      <x:c r="H31" s="15">
        <x:v>0.0</x:v>
      </x:c>
      <x:c r="I31" s="15">
        <x:v>0.0</x:v>
      </x:c>
      <x:c r="J31" s="15">
        <x:v>0.9</x:v>
      </x:c>
      <x:c r="K31" s="15">
        <x:v>0.0</x:v>
      </x:c>
      <x:c r="L31" s="15">
        <x:v>0.0</x:v>
      </x:c>
      <x:c r="M31" s="15">
        <x:v>0.0</x:v>
      </x:c>
      <x:c r="N31" s="15">
        <x:v>0.78</x:v>
      </x:c>
      <x:c r="O31" s="15" t="s">
        <x:v>2102</x:v>
      </x:c>
      <x:c r="P31" s="15">
        <x:v>1.0</x:v>
      </x:c>
      <x:c r="Q31" s="15" t="s">
        <x:v>10</x:v>
      </x:c>
      <x:c r="R31" s="15" t="s">
        <x:v>2041</x:v>
      </x:c>
      <x:c r="S31" s="15" t="s">
        <x:v>2027</x:v>
      </x:c>
    </x:row>
    <x:row r="32" ht="15.75" customHeight="1">
      <x:c r="A32" s="15" t="s">
        <x:v>2103</x:v>
      </x:c>
      <x:c r="B32" s="15" t="s">
        <x:v>2104</x:v>
      </x:c>
      <x:c r="C32" s="15">
        <x:v>0.0</x:v>
      </x:c>
      <x:c r="D32" s="15">
        <x:v>4.0</x:v>
      </x:c>
      <x:c r="E32" s="15">
        <x:v>2.0</x:v>
      </x:c>
      <x:c r="F32" s="15">
        <x:v>0.0</x:v>
      </x:c>
      <x:c r="G32" s="15">
        <x:v>0.0</x:v>
      </x:c>
      <x:c r="H32" s="15">
        <x:v>0.0</x:v>
      </x:c>
      <x:c r="I32" s="15">
        <x:v>0.0</x:v>
      </x:c>
      <x:c r="J32" s="15">
        <x:v>0.9</x:v>
      </x:c>
      <x:c r="K32" s="15">
        <x:v>0.0</x:v>
      </x:c>
      <x:c r="L32" s="15">
        <x:v>0.0</x:v>
      </x:c>
      <x:c r="M32" s="15">
        <x:v>0.0</x:v>
      </x:c>
      <x:c r="N32" s="15">
        <x:v>0.78</x:v>
      </x:c>
      <x:c r="O32" s="15" t="s">
        <x:v>2105</x:v>
      </x:c>
      <x:c r="P32" s="15">
        <x:v>1.0</x:v>
      </x:c>
      <x:c r="Q32" s="15" t="s">
        <x:v>10</x:v>
      </x:c>
      <x:c r="R32" s="15" t="s">
        <x:v>2041</x:v>
      </x:c>
      <x:c r="S32" s="15" t="s">
        <x:v>2030</x:v>
      </x:c>
    </x:row>
    <x:row r="33" ht="15.75" customHeight="1">
      <x:c r="A33" s="15" t="s">
        <x:v>2106</x:v>
      </x:c>
      <x:c r="B33" s="15" t="s">
        <x:v>2107</x:v>
      </x:c>
      <x:c r="C33" s="15">
        <x:v>2.0</x:v>
      </x:c>
      <x:c r="D33" s="15">
        <x:v>4.0</x:v>
      </x:c>
      <x:c r="E33" s="15">
        <x:v>2.0</x:v>
      </x:c>
      <x:c r="F33" s="15">
        <x:v>0.0</x:v>
      </x:c>
      <x:c r="G33" s="15">
        <x:v>0.0</x:v>
      </x:c>
      <x:c r="H33" s="15">
        <x:v>0.0</x:v>
      </x:c>
      <x:c r="I33" s="15">
        <x:v>0.0</x:v>
      </x:c>
      <x:c r="J33" s="15">
        <x:v>0.9</x:v>
      </x:c>
      <x:c r="K33" s="15">
        <x:v>0.0</x:v>
      </x:c>
      <x:c r="L33" s="15">
        <x:v>0.0</x:v>
      </x:c>
      <x:c r="M33" s="15">
        <x:v>0.0</x:v>
      </x:c>
      <x:c r="N33" s="15">
        <x:v>0.78</x:v>
      </x:c>
      <x:c r="O33" s="15" t="s">
        <x:v>2108</x:v>
      </x:c>
      <x:c r="P33" s="15">
        <x:v>1.0</x:v>
      </x:c>
      <x:c r="Q33" s="15" t="s">
        <x:v>10</x:v>
      </x:c>
      <x:c r="R33" s="15" t="s">
        <x:v>2048</x:v>
      </x:c>
      <x:c r="S33" s="15" t="s">
        <x:v>2027</x:v>
      </x:c>
    </x:row>
    <x:row r="34" ht="15.75" customHeight="1">
      <x:c r="A34" s="15" t="s">
        <x:v>2109</x:v>
      </x:c>
      <x:c r="B34" s="15" t="s">
        <x:v>2110</x:v>
      </x:c>
      <x:c r="C34" s="15">
        <x:v>1.0</x:v>
      </x:c>
      <x:c r="D34" s="15">
        <x:v>4.0</x:v>
      </x:c>
      <x:c r="E34" s="15">
        <x:v>3.0</x:v>
      </x:c>
      <x:c r="F34" s="15">
        <x:v>0.0</x:v>
      </x:c>
      <x:c r="G34" s="15">
        <x:v>0.0</x:v>
      </x:c>
      <x:c r="H34" s="15">
        <x:v>0.0</x:v>
      </x:c>
      <x:c r="I34" s="15">
        <x:v>0.0</x:v>
      </x:c>
      <x:c r="J34" s="15">
        <x:v>0.9</x:v>
      </x:c>
      <x:c r="K34" s="15">
        <x:v>0.0</x:v>
      </x:c>
      <x:c r="L34" s="15">
        <x:v>0.0</x:v>
      </x:c>
      <x:c r="M34" s="15">
        <x:v>0.0</x:v>
      </x:c>
      <x:c r="N34" s="15">
        <x:v>0.78</x:v>
      </x:c>
      <x:c r="O34" s="15" t="s">
        <x:v>2111</x:v>
      </x:c>
      <x:c r="P34" s="15">
        <x:v>1.0</x:v>
      </x:c>
      <x:c r="Q34" s="15" t="s">
        <x:v>10</x:v>
      </x:c>
      <x:c r="R34" s="15" t="s">
        <x:v>2048</x:v>
      </x:c>
      <x:c r="S34" s="15" t="s">
        <x:v>2030</x:v>
      </x:c>
    </x:row>
    <x:row r="35" ht="15.75" customHeight="1">
      <x:c r="A35" s="15" t="s">
        <x:v>2112</x:v>
      </x:c>
      <x:c r="B35" s="15" t="s">
        <x:v>2090</x:v>
      </x:c>
      <x:c r="C35" s="15">
        <x:v>0.0</x:v>
      </x:c>
      <x:c r="D35" s="15">
        <x:v>3.0</x:v>
      </x:c>
      <x:c r="E35" s="15">
        <x:v>0.0</x:v>
      </x:c>
      <x:c r="F35" s="15">
        <x:v>0.0</x:v>
      </x:c>
      <x:c r="G35" s="15">
        <x:v>0.0</x:v>
      </x:c>
      <x:c r="H35" s="15">
        <x:v>0.0</x:v>
      </x:c>
      <x:c r="I35" s="15">
        <x:v>0.0</x:v>
      </x:c>
      <x:c r="J35" s="15">
        <x:v>0.9</x:v>
      </x:c>
      <x:c r="K35" s="15">
        <x:v>0.0</x:v>
      </x:c>
      <x:c r="L35" s="15">
        <x:v>0.0</x:v>
      </x:c>
      <x:c r="M35" s="15">
        <x:v>0.0</x:v>
      </x:c>
      <x:c r="N35" s="15">
        <x:v>0.72</x:v>
      </x:c>
      <x:c r="O35" s="15" t="s">
        <x:v>2113</x:v>
      </x:c>
      <x:c r="P35" s="15">
        <x:v>1.15</x:v>
      </x:c>
      <x:c r="Q35" s="15" t="s">
        <x:v>10</x:v>
      </x:c>
      <x:c r="R35" s="15" t="s">
        <x:v>2026</x:v>
      </x:c>
      <x:c r="S35" s="15" t="s">
        <x:v>2027</x:v>
      </x:c>
    </x:row>
    <x:row r="36" ht="15.75" customHeight="1">
      <x:c r="A36" s="15" t="s">
        <x:v>2114</x:v>
      </x:c>
      <x:c r="B36" s="15" t="s">
        <x:v>2115</x:v>
      </x:c>
      <x:c r="C36" s="15">
        <x:v>1.0</x:v>
      </x:c>
      <x:c r="D36" s="15">
        <x:v>2.0</x:v>
      </x:c>
      <x:c r="E36" s="15">
        <x:v>0.0</x:v>
      </x:c>
      <x:c r="F36" s="15">
        <x:v>0.0</x:v>
      </x:c>
      <x:c r="G36" s="15">
        <x:v>0.0</x:v>
      </x:c>
      <x:c r="H36" s="15">
        <x:v>0.0</x:v>
      </x:c>
      <x:c r="I36" s="15">
        <x:v>0.0</x:v>
      </x:c>
      <x:c r="J36" s="15">
        <x:v>0.9</x:v>
      </x:c>
      <x:c r="K36" s="15">
        <x:v>0.0</x:v>
      </x:c>
      <x:c r="L36" s="15">
        <x:v>0.0</x:v>
      </x:c>
      <x:c r="M36" s="15">
        <x:v>0.0</x:v>
      </x:c>
      <x:c r="N36" s="15">
        <x:v>0.72</x:v>
      </x:c>
      <x:c r="O36" s="15" t="s">
        <x:v>2116</x:v>
      </x:c>
      <x:c r="P36" s="15">
        <x:v>1.15</x:v>
      </x:c>
      <x:c r="Q36" s="15" t="s">
        <x:v>10</x:v>
      </x:c>
      <x:c r="R36" s="15" t="s">
        <x:v>2026</x:v>
      </x:c>
      <x:c r="S36" s="15" t="s">
        <x:v>2030</x:v>
      </x:c>
    </x:row>
    <x:row r="37" ht="15.75" customHeight="1">
      <x:c r="A37" s="15" t="s">
        <x:v>2117</x:v>
      </x:c>
      <x:c r="B37" s="15" t="s">
        <x:v>2118</x:v>
      </x:c>
      <x:c r="C37" s="15">
        <x:v>1.0</x:v>
      </x:c>
      <x:c r="D37" s="15">
        <x:v>3.0</x:v>
      </x:c>
      <x:c r="E37" s="15">
        <x:v>0.0</x:v>
      </x:c>
      <x:c r="F37" s="15">
        <x:v>0.0</x:v>
      </x:c>
      <x:c r="G37" s="15">
        <x:v>0.0</x:v>
      </x:c>
      <x:c r="H37" s="15">
        <x:v>0.0</x:v>
      </x:c>
      <x:c r="I37" s="15">
        <x:v>0.0</x:v>
      </x:c>
      <x:c r="J37" s="15">
        <x:v>0.9</x:v>
      </x:c>
      <x:c r="K37" s="15">
        <x:v>0.0</x:v>
      </x:c>
      <x:c r="L37" s="15">
        <x:v>0.0</x:v>
      </x:c>
      <x:c r="M37" s="15">
        <x:v>0.0</x:v>
      </x:c>
      <x:c r="N37" s="15">
        <x:v>0.72</x:v>
      </x:c>
      <x:c r="O37" s="15" t="s">
        <x:v>2119</x:v>
      </x:c>
      <x:c r="P37" s="15">
        <x:v>1.15</x:v>
      </x:c>
      <x:c r="Q37" s="15" t="s">
        <x:v>10</x:v>
      </x:c>
      <x:c r="R37" s="15" t="s">
        <x:v>2034</x:v>
      </x:c>
      <x:c r="S37" s="15" t="s">
        <x:v>2027</x:v>
      </x:c>
    </x:row>
    <x:row r="38" ht="15.75" customHeight="1">
      <x:c r="A38" s="15" t="s">
        <x:v>2120</x:v>
      </x:c>
      <x:c r="B38" s="15" t="s">
        <x:v>2121</x:v>
      </x:c>
      <x:c r="C38" s="15">
        <x:v>2.0</x:v>
      </x:c>
      <x:c r="D38" s="15">
        <x:v>2.0</x:v>
      </x:c>
      <x:c r="E38" s="15">
        <x:v>0.0</x:v>
      </x:c>
      <x:c r="F38" s="15">
        <x:v>0.0</x:v>
      </x:c>
      <x:c r="G38" s="15">
        <x:v>0.0</x:v>
      </x:c>
      <x:c r="H38" s="15">
        <x:v>0.0</x:v>
      </x:c>
      <x:c r="I38" s="15">
        <x:v>0.0</x:v>
      </x:c>
      <x:c r="J38" s="15">
        <x:v>0.9</x:v>
      </x:c>
      <x:c r="K38" s="15">
        <x:v>0.0</x:v>
      </x:c>
      <x:c r="L38" s="15">
        <x:v>0.0</x:v>
      </x:c>
      <x:c r="M38" s="15">
        <x:v>0.0</x:v>
      </x:c>
      <x:c r="N38" s="15">
        <x:v>0.72</x:v>
      </x:c>
      <x:c r="O38" s="15" t="s">
        <x:v>2122</x:v>
      </x:c>
      <x:c r="P38" s="15">
        <x:v>1.15</x:v>
      </x:c>
      <x:c r="Q38" s="15" t="s">
        <x:v>10</x:v>
      </x:c>
      <x:c r="R38" s="15" t="s">
        <x:v>2034</x:v>
      </x:c>
      <x:c r="S38" s="15" t="s">
        <x:v>2030</x:v>
      </x:c>
    </x:row>
    <x:row r="39" ht="15.75" customHeight="1">
      <x:c r="A39" s="15" t="s">
        <x:v>2123</x:v>
      </x:c>
      <x:c r="B39" s="15" t="s">
        <x:v>2124</x:v>
      </x:c>
      <x:c r="C39" s="15">
        <x:v>2.0</x:v>
      </x:c>
      <x:c r="D39" s="15">
        <x:v>3.0</x:v>
      </x:c>
      <x:c r="E39" s="15">
        <x:v>1.0</x:v>
      </x:c>
      <x:c r="F39" s="15">
        <x:v>0.0</x:v>
      </x:c>
      <x:c r="G39" s="15">
        <x:v>0.0</x:v>
      </x:c>
      <x:c r="H39" s="15">
        <x:v>0.0</x:v>
      </x:c>
      <x:c r="I39" s="15">
        <x:v>0.0</x:v>
      </x:c>
      <x:c r="J39" s="15">
        <x:v>0.9</x:v>
      </x:c>
      <x:c r="K39" s="15">
        <x:v>0.0</x:v>
      </x:c>
      <x:c r="L39" s="15">
        <x:v>0.0</x:v>
      </x:c>
      <x:c r="M39" s="15">
        <x:v>0.0</x:v>
      </x:c>
      <x:c r="N39" s="15">
        <x:v>0.72</x:v>
      </x:c>
      <x:c r="O39" s="15" t="s">
        <x:v>2125</x:v>
      </x:c>
      <x:c r="P39" s="15">
        <x:v>1.15</x:v>
      </x:c>
      <x:c r="Q39" s="15" t="s">
        <x:v>10</x:v>
      </x:c>
      <x:c r="R39" s="15" t="s">
        <x:v>2041</x:v>
      </x:c>
      <x:c r="S39" s="15" t="s">
        <x:v>2027</x:v>
      </x:c>
    </x:row>
    <x:row r="40" ht="15.75" customHeight="1">
      <x:c r="A40" s="15" t="s">
        <x:v>2126</x:v>
      </x:c>
      <x:c r="B40" s="15" t="s">
        <x:v>2127</x:v>
      </x:c>
      <x:c r="C40" s="15">
        <x:v>2.0</x:v>
      </x:c>
      <x:c r="D40" s="15">
        <x:v>4.0</x:v>
      </x:c>
      <x:c r="E40" s="15">
        <x:v>0.0</x:v>
      </x:c>
      <x:c r="F40" s="15">
        <x:v>0.0</x:v>
      </x:c>
      <x:c r="G40" s="15">
        <x:v>0.0</x:v>
      </x:c>
      <x:c r="H40" s="15">
        <x:v>0.0</x:v>
      </x:c>
      <x:c r="I40" s="15">
        <x:v>0.0</x:v>
      </x:c>
      <x:c r="J40" s="15">
        <x:v>0.9</x:v>
      </x:c>
      <x:c r="K40" s="15">
        <x:v>0.0</x:v>
      </x:c>
      <x:c r="L40" s="15">
        <x:v>0.0</x:v>
      </x:c>
      <x:c r="M40" s="15">
        <x:v>0.0</x:v>
      </x:c>
      <x:c r="N40" s="15">
        <x:v>0.72</x:v>
      </x:c>
      <x:c r="O40" s="15" t="s">
        <x:v>2128</x:v>
      </x:c>
      <x:c r="P40" s="15">
        <x:v>1.15</x:v>
      </x:c>
      <x:c r="Q40" s="15" t="s">
        <x:v>10</x:v>
      </x:c>
      <x:c r="R40" s="15" t="s">
        <x:v>2041</x:v>
      </x:c>
      <x:c r="S40" s="15" t="s">
        <x:v>2030</x:v>
      </x:c>
    </x:row>
    <x:row r="41" ht="15.75" customHeight="1">
      <x:c r="A41" s="15" t="s">
        <x:v>2129</x:v>
      </x:c>
      <x:c r="B41" s="15" t="s">
        <x:v>2130</x:v>
      </x:c>
      <x:c r="C41" s="15">
        <x:v>2.0</x:v>
      </x:c>
      <x:c r="D41" s="15">
        <x:v>4.0</x:v>
      </x:c>
      <x:c r="E41" s="15">
        <x:v>2.0</x:v>
      </x:c>
      <x:c r="F41" s="15">
        <x:v>0.0</x:v>
      </x:c>
      <x:c r="G41" s="15">
        <x:v>0.0</x:v>
      </x:c>
      <x:c r="H41" s="15">
        <x:v>0.0</x:v>
      </x:c>
      <x:c r="I41" s="15">
        <x:v>0.0</x:v>
      </x:c>
      <x:c r="J41" s="15">
        <x:v>0.9</x:v>
      </x:c>
      <x:c r="K41" s="15">
        <x:v>0.0</x:v>
      </x:c>
      <x:c r="L41" s="15">
        <x:v>0.0</x:v>
      </x:c>
      <x:c r="M41" s="15">
        <x:v>0.0</x:v>
      </x:c>
      <x:c r="N41" s="15">
        <x:v>0.72</x:v>
      </x:c>
      <x:c r="O41" s="15" t="s">
        <x:v>2131</x:v>
      </x:c>
      <x:c r="P41" s="15">
        <x:v>1.15</x:v>
      </x:c>
      <x:c r="Q41" s="15" t="s">
        <x:v>10</x:v>
      </x:c>
      <x:c r="R41" s="15" t="s">
        <x:v>2048</x:v>
      </x:c>
      <x:c r="S41" s="15" t="s">
        <x:v>2027</x:v>
      </x:c>
    </x:row>
    <x:row r="42" ht="15.75" customHeight="1">
      <x:c r="A42" s="15" t="s">
        <x:v>2132</x:v>
      </x:c>
      <x:c r="B42" s="15" t="s">
        <x:v>2133</x:v>
      </x:c>
      <x:c r="C42" s="15">
        <x:v>3.0</x:v>
      </x:c>
      <x:c r="D42" s="15">
        <x:v>4.0</x:v>
      </x:c>
      <x:c r="E42" s="15">
        <x:v>1.0</x:v>
      </x:c>
      <x:c r="F42" s="15">
        <x:v>0.0</x:v>
      </x:c>
      <x:c r="G42" s="15">
        <x:v>0.0</x:v>
      </x:c>
      <x:c r="H42" s="15">
        <x:v>0.0</x:v>
      </x:c>
      <x:c r="I42" s="15">
        <x:v>0.0</x:v>
      </x:c>
      <x:c r="J42" s="15">
        <x:v>0.9</x:v>
      </x:c>
      <x:c r="K42" s="15">
        <x:v>0.0</x:v>
      </x:c>
      <x:c r="L42" s="15">
        <x:v>0.0</x:v>
      </x:c>
      <x:c r="M42" s="15">
        <x:v>0.0</x:v>
      </x:c>
      <x:c r="N42" s="15">
        <x:v>0.72</x:v>
      </x:c>
      <x:c r="O42" s="15" t="s">
        <x:v>2134</x:v>
      </x:c>
      <x:c r="P42" s="15">
        <x:v>1.15</x:v>
      </x:c>
      <x:c r="Q42" s="15" t="s">
        <x:v>10</x:v>
      </x:c>
      <x:c r="R42" s="15" t="s">
        <x:v>2048</x:v>
      </x:c>
      <x:c r="S42" s="15" t="s">
        <x:v>2030</x:v>
      </x:c>
    </x:row>
    <x:row r="43" ht="15.75" customHeight="1">
      <x:c r="A43" s="15" t="s">
        <x:v>2135</x:v>
      </x:c>
      <x:c r="B43" s="15" t="s">
        <x:v>2090</x:v>
      </x:c>
      <x:c r="C43" s="15">
        <x:v>0.0</x:v>
      </x:c>
      <x:c r="D43" s="15">
        <x:v>3.0</x:v>
      </x:c>
      <x:c r="E43" s="15">
        <x:v>0.0</x:v>
      </x:c>
      <x:c r="F43" s="15">
        <x:v>0.0</x:v>
      </x:c>
      <x:c r="G43" s="15">
        <x:v>0.0</x:v>
      </x:c>
      <x:c r="H43" s="15">
        <x:v>0.0</x:v>
      </x:c>
      <x:c r="I43" s="15">
        <x:v>0.0</x:v>
      </x:c>
      <x:c r="J43" s="15">
        <x:v>0.9</x:v>
      </x:c>
      <x:c r="K43" s="15">
        <x:v>0.0</x:v>
      </x:c>
      <x:c r="L43" s="15">
        <x:v>0.0</x:v>
      </x:c>
      <x:c r="M43" s="15">
        <x:v>0.0</x:v>
      </x:c>
      <x:c r="N43" s="15">
        <x:v>0.76</x:v>
      </x:c>
      <x:c r="O43" s="15" t="s">
        <x:v>2136</x:v>
      </x:c>
      <x:c r="P43" s="15">
        <x:v>1.05</x:v>
      </x:c>
      <x:c r="Q43" s="15" t="s">
        <x:v>10</x:v>
      </x:c>
      <x:c r="R43" s="15" t="s">
        <x:v>2026</x:v>
      </x:c>
      <x:c r="S43" s="15" t="s">
        <x:v>2027</x:v>
      </x:c>
    </x:row>
    <x:row r="44" ht="15.75" customHeight="1">
      <x:c r="A44" s="15" t="s">
        <x:v>2137</x:v>
      </x:c>
      <x:c r="B44" s="15" t="s">
        <x:v>219</x:v>
      </x:c>
      <x:c r="C44" s="15">
        <x:v>0.0</x:v>
      </x:c>
      <x:c r="D44" s="15">
        <x:v>2.0</x:v>
      </x:c>
      <x:c r="E44" s="15">
        <x:v>1.0</x:v>
      </x:c>
      <x:c r="F44" s="15">
        <x:v>0.0</x:v>
      </x:c>
      <x:c r="G44" s="15">
        <x:v>0.0</x:v>
      </x:c>
      <x:c r="H44" s="15">
        <x:v>0.0</x:v>
      </x:c>
      <x:c r="I44" s="15">
        <x:v>0.0</x:v>
      </x:c>
      <x:c r="J44" s="15">
        <x:v>0.9</x:v>
      </x:c>
      <x:c r="K44" s="15">
        <x:v>0.0</x:v>
      </x:c>
      <x:c r="L44" s="15">
        <x:v>0.0</x:v>
      </x:c>
      <x:c r="M44" s="15">
        <x:v>0.0</x:v>
      </x:c>
      <x:c r="N44" s="15">
        <x:v>0.76</x:v>
      </x:c>
      <x:c r="O44" s="15" t="s">
        <x:v>2138</x:v>
      </x:c>
      <x:c r="P44" s="15">
        <x:v>1.05</x:v>
      </x:c>
      <x:c r="Q44" s="15" t="s">
        <x:v>10</x:v>
      </x:c>
      <x:c r="R44" s="15" t="s">
        <x:v>2026</x:v>
      </x:c>
      <x:c r="S44" s="15" t="s">
        <x:v>2030</x:v>
      </x:c>
    </x:row>
    <x:row r="45" ht="15.75" customHeight="1">
      <x:c r="A45" s="15" t="s">
        <x:v>2139</x:v>
      </x:c>
      <x:c r="B45" s="15" t="s">
        <x:v>2095</x:v>
      </x:c>
      <x:c r="C45" s="15">
        <x:v>0.0</x:v>
      </x:c>
      <x:c r="D45" s="15">
        <x:v>3.0</x:v>
      </x:c>
      <x:c r="E45" s="15">
        <x:v>1.0</x:v>
      </x:c>
      <x:c r="F45" s="15">
        <x:v>0.0</x:v>
      </x:c>
      <x:c r="G45" s="15">
        <x:v>0.0</x:v>
      </x:c>
      <x:c r="H45" s="15">
        <x:v>0.0</x:v>
      </x:c>
      <x:c r="I45" s="15">
        <x:v>0.0</x:v>
      </x:c>
      <x:c r="J45" s="15">
        <x:v>0.9</x:v>
      </x:c>
      <x:c r="K45" s="15">
        <x:v>0.0</x:v>
      </x:c>
      <x:c r="L45" s="15">
        <x:v>0.0</x:v>
      </x:c>
      <x:c r="M45" s="15">
        <x:v>0.0</x:v>
      </x:c>
      <x:c r="N45" s="15">
        <x:v>0.76</x:v>
      </x:c>
      <x:c r="O45" s="15" t="s">
        <x:v>2140</x:v>
      </x:c>
      <x:c r="P45" s="15">
        <x:v>1.05</x:v>
      </x:c>
      <x:c r="Q45" s="15" t="s">
        <x:v>10</x:v>
      </x:c>
      <x:c r="R45" s="15" t="s">
        <x:v>2034</x:v>
      </x:c>
      <x:c r="S45" s="15" t="s">
        <x:v>2027</x:v>
      </x:c>
    </x:row>
    <x:row r="46" ht="15.75" customHeight="1">
      <x:c r="A46" s="15" t="s">
        <x:v>2141</x:v>
      </x:c>
      <x:c r="B46" s="15" t="s">
        <x:v>2098</x:v>
      </x:c>
      <x:c r="C46" s="15">
        <x:v>0.0</x:v>
      </x:c>
      <x:c r="D46" s="15">
        <x:v>2.0</x:v>
      </x:c>
      <x:c r="E46" s="15">
        <x:v>2.0</x:v>
      </x:c>
      <x:c r="F46" s="15">
        <x:v>0.0</x:v>
      </x:c>
      <x:c r="G46" s="15">
        <x:v>0.0</x:v>
      </x:c>
      <x:c r="H46" s="15">
        <x:v>0.0</x:v>
      </x:c>
      <x:c r="I46" s="15">
        <x:v>0.0</x:v>
      </x:c>
      <x:c r="J46" s="15">
        <x:v>0.9</x:v>
      </x:c>
      <x:c r="K46" s="15">
        <x:v>0.0</x:v>
      </x:c>
      <x:c r="L46" s="15">
        <x:v>0.0</x:v>
      </x:c>
      <x:c r="M46" s="15">
        <x:v>0.0</x:v>
      </x:c>
      <x:c r="N46" s="15">
        <x:v>0.76</x:v>
      </x:c>
      <x:c r="O46" s="15" t="s">
        <x:v>2142</x:v>
      </x:c>
      <x:c r="P46" s="15">
        <x:v>1.05</x:v>
      </x:c>
      <x:c r="Q46" s="15" t="s">
        <x:v>10</x:v>
      </x:c>
      <x:c r="R46" s="15" t="s">
        <x:v>2034</x:v>
      </x:c>
      <x:c r="S46" s="15" t="s">
        <x:v>2030</x:v>
      </x:c>
    </x:row>
    <x:row r="47" ht="15.75" customHeight="1">
      <x:c r="A47" s="15" t="s">
        <x:v>2143</x:v>
      </x:c>
      <x:c r="B47" s="15" t="s">
        <x:v>2101</x:v>
      </x:c>
      <x:c r="C47" s="15">
        <x:v>1.0</x:v>
      </x:c>
      <x:c r="D47" s="15">
        <x:v>3.0</x:v>
      </x:c>
      <x:c r="E47" s="15">
        <x:v>2.0</x:v>
      </x:c>
      <x:c r="F47" s="15">
        <x:v>0.0</x:v>
      </x:c>
      <x:c r="G47" s="15">
        <x:v>0.0</x:v>
      </x:c>
      <x:c r="H47" s="15">
        <x:v>0.0</x:v>
      </x:c>
      <x:c r="I47" s="15">
        <x:v>0.0</x:v>
      </x:c>
      <x:c r="J47" s="15">
        <x:v>0.9</x:v>
      </x:c>
      <x:c r="K47" s="15">
        <x:v>0.0</x:v>
      </x:c>
      <x:c r="L47" s="15">
        <x:v>0.0</x:v>
      </x:c>
      <x:c r="M47" s="15">
        <x:v>0.0</x:v>
      </x:c>
      <x:c r="N47" s="15">
        <x:v>0.76</x:v>
      </x:c>
      <x:c r="O47" s="15" t="s">
        <x:v>2144</x:v>
      </x:c>
      <x:c r="P47" s="15">
        <x:v>1.05</x:v>
      </x:c>
      <x:c r="Q47" s="15" t="s">
        <x:v>10</x:v>
      </x:c>
      <x:c r="R47" s="15" t="s">
        <x:v>2041</x:v>
      </x:c>
      <x:c r="S47" s="15" t="s">
        <x:v>2027</x:v>
      </x:c>
    </x:row>
    <x:row r="48" ht="15.75" customHeight="1">
      <x:c r="A48" s="15" t="s">
        <x:v>2145</x:v>
      </x:c>
      <x:c r="B48" s="15" t="s">
        <x:v>2104</x:v>
      </x:c>
      <x:c r="C48" s="15">
        <x:v>0.0</x:v>
      </x:c>
      <x:c r="D48" s="15">
        <x:v>4.0</x:v>
      </x:c>
      <x:c r="E48" s="15">
        <x:v>2.0</x:v>
      </x:c>
      <x:c r="F48" s="15">
        <x:v>0.0</x:v>
      </x:c>
      <x:c r="G48" s="15">
        <x:v>0.0</x:v>
      </x:c>
      <x:c r="H48" s="15">
        <x:v>0.0</x:v>
      </x:c>
      <x:c r="I48" s="15">
        <x:v>0.0</x:v>
      </x:c>
      <x:c r="J48" s="15">
        <x:v>0.9</x:v>
      </x:c>
      <x:c r="K48" s="15">
        <x:v>0.0</x:v>
      </x:c>
      <x:c r="L48" s="15">
        <x:v>0.0</x:v>
      </x:c>
      <x:c r="M48" s="15">
        <x:v>0.0</x:v>
      </x:c>
      <x:c r="N48" s="15">
        <x:v>0.76</x:v>
      </x:c>
      <x:c r="O48" s="15" t="s">
        <x:v>2146</x:v>
      </x:c>
      <x:c r="P48" s="15">
        <x:v>1.05</x:v>
      </x:c>
      <x:c r="Q48" s="15" t="s">
        <x:v>10</x:v>
      </x:c>
      <x:c r="R48" s="15" t="s">
        <x:v>2041</x:v>
      </x:c>
      <x:c r="S48" s="15" t="s">
        <x:v>2030</x:v>
      </x:c>
    </x:row>
    <x:row r="49" ht="15.75" customHeight="1">
      <x:c r="A49" s="15" t="s">
        <x:v>2147</x:v>
      </x:c>
      <x:c r="B49" s="15" t="s">
        <x:v>2107</x:v>
      </x:c>
      <x:c r="C49" s="15">
        <x:v>2.0</x:v>
      </x:c>
      <x:c r="D49" s="15">
        <x:v>4.0</x:v>
      </x:c>
      <x:c r="E49" s="15">
        <x:v>2.0</x:v>
      </x:c>
      <x:c r="F49" s="15">
        <x:v>0.0</x:v>
      </x:c>
      <x:c r="G49" s="15">
        <x:v>0.0</x:v>
      </x:c>
      <x:c r="H49" s="15">
        <x:v>0.0</x:v>
      </x:c>
      <x:c r="I49" s="15">
        <x:v>0.0</x:v>
      </x:c>
      <x:c r="J49" s="15">
        <x:v>0.9</x:v>
      </x:c>
      <x:c r="K49" s="15">
        <x:v>0.0</x:v>
      </x:c>
      <x:c r="L49" s="15">
        <x:v>0.0</x:v>
      </x:c>
      <x:c r="M49" s="15">
        <x:v>0.0</x:v>
      </x:c>
      <x:c r="N49" s="15">
        <x:v>0.76</x:v>
      </x:c>
      <x:c r="O49" s="15" t="s">
        <x:v>2148</x:v>
      </x:c>
      <x:c r="P49" s="15">
        <x:v>1.05</x:v>
      </x:c>
      <x:c r="Q49" s="15" t="s">
        <x:v>10</x:v>
      </x:c>
      <x:c r="R49" s="15" t="s">
        <x:v>2048</x:v>
      </x:c>
      <x:c r="S49" s="15" t="s">
        <x:v>2027</x:v>
      </x:c>
    </x:row>
    <x:row r="50" ht="15.75" customHeight="1">
      <x:c r="A50" s="15" t="s">
        <x:v>2149</x:v>
      </x:c>
      <x:c r="B50" s="15" t="s">
        <x:v>2110</x:v>
      </x:c>
      <x:c r="C50" s="15">
        <x:v>1.0</x:v>
      </x:c>
      <x:c r="D50" s="15">
        <x:v>4.0</x:v>
      </x:c>
      <x:c r="E50" s="15">
        <x:v>3.0</x:v>
      </x:c>
      <x:c r="F50" s="15">
        <x:v>0.0</x:v>
      </x:c>
      <x:c r="G50" s="15">
        <x:v>0.0</x:v>
      </x:c>
      <x:c r="H50" s="15">
        <x:v>0.0</x:v>
      </x:c>
      <x:c r="I50" s="15">
        <x:v>0.0</x:v>
      </x:c>
      <x:c r="J50" s="15">
        <x:v>0.9</x:v>
      </x:c>
      <x:c r="K50" s="15">
        <x:v>0.0</x:v>
      </x:c>
      <x:c r="L50" s="15">
        <x:v>0.0</x:v>
      </x:c>
      <x:c r="M50" s="15">
        <x:v>0.0</x:v>
      </x:c>
      <x:c r="N50" s="15">
        <x:v>0.76</x:v>
      </x:c>
      <x:c r="O50" s="15" t="s">
        <x:v>2150</x:v>
      </x:c>
      <x:c r="P50" s="15">
        <x:v>1.05</x:v>
      </x:c>
      <x:c r="Q50" s="15" t="s">
        <x:v>10</x:v>
      </x:c>
      <x:c r="R50" s="15" t="s">
        <x:v>2048</x:v>
      </x:c>
      <x:c r="S50" s="15" t="s">
        <x:v>2030</x:v>
      </x:c>
    </x:row>
    <x:row r="51" ht="15.75" customHeight="1">
      <x:c r="A51" s="15" t="s">
        <x:v>2151</x:v>
      </x:c>
      <x:c r="B51" s="15" t="s">
        <x:v>2152</x:v>
      </x:c>
      <x:c r="C51" s="15">
        <x:v>0.0</x:v>
      </x:c>
      <x:c r="D51" s="15">
        <x:v>0.0</x:v>
      </x:c>
      <x:c r="E51" s="15">
        <x:v>3.0</x:v>
      </x:c>
      <x:c r="F51" s="15">
        <x:v>0.0</x:v>
      </x:c>
      <x:c r="G51" s="15">
        <x:v>0.0</x:v>
      </x:c>
      <x:c r="H51" s="15">
        <x:v>0.0</x:v>
      </x:c>
      <x:c r="I51" s="15">
        <x:v>0.0</x:v>
      </x:c>
      <x:c r="J51" s="15">
        <x:v>1.6</x:v>
      </x:c>
      <x:c r="K51" s="15">
        <x:v>0.0</x:v>
      </x:c>
      <x:c r="L51" s="15">
        <x:v>0.0</x:v>
      </x:c>
      <x:c r="M51" s="15">
        <x:v>0.0</x:v>
      </x:c>
      <x:c r="N51" s="15">
        <x:v>0.6</x:v>
      </x:c>
      <x:c r="O51" s="15" t="s">
        <x:v>2153</x:v>
      </x:c>
      <x:c r="P51" s="15">
        <x:v>1.0</x:v>
      </x:c>
      <x:c r="Q51" s="15" t="s">
        <x:v>14</x:v>
      </x:c>
      <x:c r="R51" s="15" t="s">
        <x:v>2026</x:v>
      </x:c>
      <x:c r="S51" s="15" t="s">
        <x:v>2027</x:v>
      </x:c>
    </x:row>
    <x:row r="52" ht="15.75" customHeight="1">
      <x:c r="A52" s="15" t="s">
        <x:v>2154</x:v>
      </x:c>
      <x:c r="B52" s="15" t="s">
        <x:v>236</x:v>
      </x:c>
      <x:c r="C52" s="15">
        <x:v>1.0</x:v>
      </x:c>
      <x:c r="D52" s="15">
        <x:v>0.0</x:v>
      </x:c>
      <x:c r="E52" s="15">
        <x:v>2.0</x:v>
      </x:c>
      <x:c r="F52" s="15">
        <x:v>0.0</x:v>
      </x:c>
      <x:c r="G52" s="15">
        <x:v>0.0</x:v>
      </x:c>
      <x:c r="H52" s="15">
        <x:v>0.0</x:v>
      </x:c>
      <x:c r="I52" s="15">
        <x:v>0.0</x:v>
      </x:c>
      <x:c r="J52" s="15">
        <x:v>1.6</x:v>
      </x:c>
      <x:c r="K52" s="15">
        <x:v>0.0</x:v>
      </x:c>
      <x:c r="L52" s="15">
        <x:v>0.0</x:v>
      </x:c>
      <x:c r="M52" s="15">
        <x:v>0.0</x:v>
      </x:c>
      <x:c r="N52" s="15">
        <x:v>0.6</x:v>
      </x:c>
      <x:c r="O52" s="15" t="s">
        <x:v>2155</x:v>
      </x:c>
      <x:c r="P52" s="15">
        <x:v>1.0</x:v>
      </x:c>
      <x:c r="Q52" s="15" t="s">
        <x:v>14</x:v>
      </x:c>
      <x:c r="R52" s="15" t="s">
        <x:v>2026</x:v>
      </x:c>
      <x:c r="S52" s="15" t="s">
        <x:v>2030</x:v>
      </x:c>
    </x:row>
    <x:row r="53" ht="15.75" customHeight="1">
      <x:c r="A53" s="15" t="s">
        <x:v>2156</x:v>
      </x:c>
      <x:c r="B53" s="15" t="s">
        <x:v>2157</x:v>
      </x:c>
      <x:c r="C53" s="15">
        <x:v>1.0</x:v>
      </x:c>
      <x:c r="D53" s="15">
        <x:v>0.0</x:v>
      </x:c>
      <x:c r="E53" s="15">
        <x:v>3.0</x:v>
      </x:c>
      <x:c r="F53" s="15">
        <x:v>0.0</x:v>
      </x:c>
      <x:c r="G53" s="15">
        <x:v>0.0</x:v>
      </x:c>
      <x:c r="H53" s="15">
        <x:v>0.0</x:v>
      </x:c>
      <x:c r="I53" s="15">
        <x:v>0.0</x:v>
      </x:c>
      <x:c r="J53" s="15">
        <x:v>1.6</x:v>
      </x:c>
      <x:c r="K53" s="15">
        <x:v>0.0</x:v>
      </x:c>
      <x:c r="L53" s="15">
        <x:v>0.0</x:v>
      </x:c>
      <x:c r="M53" s="15">
        <x:v>0.0</x:v>
      </x:c>
      <x:c r="N53" s="15">
        <x:v>0.6</x:v>
      </x:c>
      <x:c r="O53" s="15" t="s">
        <x:v>2158</x:v>
      </x:c>
      <x:c r="P53" s="15">
        <x:v>1.0</x:v>
      </x:c>
      <x:c r="Q53" s="15" t="s">
        <x:v>14</x:v>
      </x:c>
      <x:c r="R53" s="15" t="s">
        <x:v>2034</x:v>
      </x:c>
      <x:c r="S53" s="15" t="s">
        <x:v>2027</x:v>
      </x:c>
    </x:row>
    <x:row r="54" ht="15.75" customHeight="1">
      <x:c r="A54" s="15" t="s">
        <x:v>2159</x:v>
      </x:c>
      <x:c r="B54" s="15" t="s">
        <x:v>2160</x:v>
      </x:c>
      <x:c r="C54" s="15">
        <x:v>2.0</x:v>
      </x:c>
      <x:c r="D54" s="15">
        <x:v>0.0</x:v>
      </x:c>
      <x:c r="E54" s="15">
        <x:v>2.0</x:v>
      </x:c>
      <x:c r="F54" s="15">
        <x:v>0.0</x:v>
      </x:c>
      <x:c r="G54" s="15">
        <x:v>0.0</x:v>
      </x:c>
      <x:c r="H54" s="15">
        <x:v>0.0</x:v>
      </x:c>
      <x:c r="I54" s="15">
        <x:v>0.0</x:v>
      </x:c>
      <x:c r="J54" s="15">
        <x:v>1.6</x:v>
      </x:c>
      <x:c r="K54" s="15">
        <x:v>0.0</x:v>
      </x:c>
      <x:c r="L54" s="15">
        <x:v>0.0</x:v>
      </x:c>
      <x:c r="M54" s="15">
        <x:v>0.0</x:v>
      </x:c>
      <x:c r="N54" s="15">
        <x:v>0.6</x:v>
      </x:c>
      <x:c r="O54" s="15" t="s">
        <x:v>2161</x:v>
      </x:c>
      <x:c r="P54" s="15">
        <x:v>1.0</x:v>
      </x:c>
      <x:c r="Q54" s="15" t="s">
        <x:v>14</x:v>
      </x:c>
      <x:c r="R54" s="15" t="s">
        <x:v>2034</x:v>
      </x:c>
      <x:c r="S54" s="15" t="s">
        <x:v>2030</x:v>
      </x:c>
    </x:row>
    <x:row r="55" ht="15.75" customHeight="1">
      <x:c r="A55" s="15" t="s">
        <x:v>2162</x:v>
      </x:c>
      <x:c r="B55" s="15" t="s">
        <x:v>2163</x:v>
      </x:c>
      <x:c r="C55" s="15">
        <x:v>2.0</x:v>
      </x:c>
      <x:c r="D55" s="15">
        <x:v>1.0</x:v>
      </x:c>
      <x:c r="E55" s="15">
        <x:v>3.0</x:v>
      </x:c>
      <x:c r="F55" s="15">
        <x:v>0.0</x:v>
      </x:c>
      <x:c r="G55" s="15">
        <x:v>0.0</x:v>
      </x:c>
      <x:c r="H55" s="15">
        <x:v>0.0</x:v>
      </x:c>
      <x:c r="I55" s="15">
        <x:v>0.0</x:v>
      </x:c>
      <x:c r="J55" s="15">
        <x:v>1.6</x:v>
      </x:c>
      <x:c r="K55" s="15">
        <x:v>0.0</x:v>
      </x:c>
      <x:c r="L55" s="15">
        <x:v>0.0</x:v>
      </x:c>
      <x:c r="M55" s="15">
        <x:v>0.0</x:v>
      </x:c>
      <x:c r="N55" s="15">
        <x:v>0.6</x:v>
      </x:c>
      <x:c r="O55" s="15" t="s">
        <x:v>2164</x:v>
      </x:c>
      <x:c r="P55" s="15">
        <x:v>1.0</x:v>
      </x:c>
      <x:c r="Q55" s="15" t="s">
        <x:v>14</x:v>
      </x:c>
      <x:c r="R55" s="15" t="s">
        <x:v>2041</x:v>
      </x:c>
      <x:c r="S55" s="15" t="s">
        <x:v>2027</x:v>
      </x:c>
    </x:row>
    <x:row r="56" ht="15.75" customHeight="1">
      <x:c r="A56" s="15" t="s">
        <x:v>2165</x:v>
      </x:c>
      <x:c r="B56" s="15" t="s">
        <x:v>2166</x:v>
      </x:c>
      <x:c r="C56" s="15">
        <x:v>2.0</x:v>
      </x:c>
      <x:c r="D56" s="15">
        <x:v>0.0</x:v>
      </x:c>
      <x:c r="E56" s="15">
        <x:v>4.0</x:v>
      </x:c>
      <x:c r="F56" s="15">
        <x:v>0.0</x:v>
      </x:c>
      <x:c r="G56" s="15">
        <x:v>0.0</x:v>
      </x:c>
      <x:c r="H56" s="15">
        <x:v>0.0</x:v>
      </x:c>
      <x:c r="I56" s="15">
        <x:v>0.0</x:v>
      </x:c>
      <x:c r="J56" s="15">
        <x:v>1.6</x:v>
      </x:c>
      <x:c r="K56" s="15">
        <x:v>0.0</x:v>
      </x:c>
      <x:c r="L56" s="15">
        <x:v>0.0</x:v>
      </x:c>
      <x:c r="M56" s="15">
        <x:v>0.0</x:v>
      </x:c>
      <x:c r="N56" s="15">
        <x:v>0.6</x:v>
      </x:c>
      <x:c r="O56" s="15" t="s">
        <x:v>2167</x:v>
      </x:c>
      <x:c r="P56" s="15">
        <x:v>1.0</x:v>
      </x:c>
      <x:c r="Q56" s="15" t="s">
        <x:v>14</x:v>
      </x:c>
      <x:c r="R56" s="15" t="s">
        <x:v>2041</x:v>
      </x:c>
      <x:c r="S56" s="15" t="s">
        <x:v>2030</x:v>
      </x:c>
    </x:row>
    <x:row r="57" ht="15.75" customHeight="1">
      <x:c r="A57" s="15" t="s">
        <x:v>2168</x:v>
      </x:c>
      <x:c r="B57" s="15" t="s">
        <x:v>2169</x:v>
      </x:c>
      <x:c r="C57" s="15">
        <x:v>2.0</x:v>
      </x:c>
      <x:c r="D57" s="15">
        <x:v>2.0</x:v>
      </x:c>
      <x:c r="E57" s="15">
        <x:v>4.0</x:v>
      </x:c>
      <x:c r="F57" s="15">
        <x:v>0.0</x:v>
      </x:c>
      <x:c r="G57" s="15">
        <x:v>0.0</x:v>
      </x:c>
      <x:c r="H57" s="15">
        <x:v>0.0</x:v>
      </x:c>
      <x:c r="I57" s="15">
        <x:v>0.0</x:v>
      </x:c>
      <x:c r="J57" s="15">
        <x:v>1.6</x:v>
      </x:c>
      <x:c r="K57" s="15">
        <x:v>0.0</x:v>
      </x:c>
      <x:c r="L57" s="15">
        <x:v>0.0</x:v>
      </x:c>
      <x:c r="M57" s="15">
        <x:v>0.0</x:v>
      </x:c>
      <x:c r="N57" s="15">
        <x:v>0.6</x:v>
      </x:c>
      <x:c r="O57" s="15" t="s">
        <x:v>2170</x:v>
      </x:c>
      <x:c r="P57" s="15">
        <x:v>1.0</x:v>
      </x:c>
      <x:c r="Q57" s="15" t="s">
        <x:v>14</x:v>
      </x:c>
      <x:c r="R57" s="15" t="s">
        <x:v>2048</x:v>
      </x:c>
      <x:c r="S57" s="15" t="s">
        <x:v>2027</x:v>
      </x:c>
    </x:row>
    <x:row r="58" ht="15.75" customHeight="1">
      <x:c r="A58" s="15" t="s">
        <x:v>2171</x:v>
      </x:c>
      <x:c r="B58" s="15" t="s">
        <x:v>2172</x:v>
      </x:c>
      <x:c r="C58" s="15">
        <x:v>3.0</x:v>
      </x:c>
      <x:c r="D58" s="15">
        <x:v>1.0</x:v>
      </x:c>
      <x:c r="E58" s="15">
        <x:v>4.0</x:v>
      </x:c>
      <x:c r="F58" s="15">
        <x:v>0.0</x:v>
      </x:c>
      <x:c r="G58" s="15">
        <x:v>0.0</x:v>
      </x:c>
      <x:c r="H58" s="15">
        <x:v>0.0</x:v>
      </x:c>
      <x:c r="I58" s="15">
        <x:v>0.0</x:v>
      </x:c>
      <x:c r="J58" s="15">
        <x:v>1.6</x:v>
      </x:c>
      <x:c r="K58" s="15">
        <x:v>0.0</x:v>
      </x:c>
      <x:c r="L58" s="15">
        <x:v>0.0</x:v>
      </x:c>
      <x:c r="M58" s="15">
        <x:v>0.0</x:v>
      </x:c>
      <x:c r="N58" s="15">
        <x:v>0.6</x:v>
      </x:c>
      <x:c r="O58" s="15" t="s">
        <x:v>2173</x:v>
      </x:c>
      <x:c r="P58" s="15">
        <x:v>1.0</x:v>
      </x:c>
      <x:c r="Q58" s="15" t="s">
        <x:v>14</x:v>
      </x:c>
      <x:c r="R58" s="15" t="s">
        <x:v>2048</x:v>
      </x:c>
      <x:c r="S58" s="15" t="s">
        <x:v>2030</x:v>
      </x:c>
    </x:row>
    <x:row r="59" ht="15.75" customHeight="1">
      <x:c r="A59" s="15" t="s">
        <x:v>2174</x:v>
      </x:c>
      <x:c r="B59" s="15" t="s">
        <x:v>2152</x:v>
      </x:c>
      <x:c r="C59" s="15">
        <x:v>0.0</x:v>
      </x:c>
      <x:c r="D59" s="15">
        <x:v>0.0</x:v>
      </x:c>
      <x:c r="E59" s="15">
        <x:v>3.0</x:v>
      </x:c>
      <x:c r="F59" s="15">
        <x:v>0.0</x:v>
      </x:c>
      <x:c r="G59" s="15">
        <x:v>0.0</x:v>
      </x:c>
      <x:c r="H59" s="15">
        <x:v>0.0</x:v>
      </x:c>
      <x:c r="I59" s="15">
        <x:v>0.0</x:v>
      </x:c>
      <x:c r="J59" s="15">
        <x:v>1.5</x:v>
      </x:c>
      <x:c r="K59" s="15">
        <x:v>0.0</x:v>
      </x:c>
      <x:c r="L59" s="15">
        <x:v>0.0</x:v>
      </x:c>
      <x:c r="M59" s="15">
        <x:v>0.0</x:v>
      </x:c>
      <x:c r="N59" s="15">
        <x:v>0.6</x:v>
      </x:c>
      <x:c r="O59" s="15" t="s">
        <x:v>2175</x:v>
      </x:c>
      <x:c r="P59" s="15">
        <x:v>1.05</x:v>
      </x:c>
      <x:c r="Q59" s="15" t="s">
        <x:v>14</x:v>
      </x:c>
      <x:c r="R59" s="15" t="s">
        <x:v>2026</x:v>
      </x:c>
      <x:c r="S59" s="15" t="s">
        <x:v>2027</x:v>
      </x:c>
    </x:row>
    <x:row r="60" ht="15.75" customHeight="1">
      <x:c r="A60" s="15" t="s">
        <x:v>2176</x:v>
      </x:c>
      <x:c r="B60" s="15" t="s">
        <x:v>2177</x:v>
      </x:c>
      <x:c r="C60" s="15">
        <x:v>0.0</x:v>
      </x:c>
      <x:c r="D60" s="15">
        <x:v>1.0</x:v>
      </x:c>
      <x:c r="E60" s="15">
        <x:v>2.0</x:v>
      </x:c>
      <x:c r="F60" s="15">
        <x:v>0.0</x:v>
      </x:c>
      <x:c r="G60" s="15">
        <x:v>0.0</x:v>
      </x:c>
      <x:c r="H60" s="15">
        <x:v>0.0</x:v>
      </x:c>
      <x:c r="I60" s="15">
        <x:v>0.0</x:v>
      </x:c>
      <x:c r="J60" s="15">
        <x:v>1.5</x:v>
      </x:c>
      <x:c r="K60" s="15">
        <x:v>0.0</x:v>
      </x:c>
      <x:c r="L60" s="15">
        <x:v>0.0</x:v>
      </x:c>
      <x:c r="M60" s="15">
        <x:v>0.0</x:v>
      </x:c>
      <x:c r="N60" s="15">
        <x:v>0.6</x:v>
      </x:c>
      <x:c r="O60" s="15" t="s">
        <x:v>2178</x:v>
      </x:c>
      <x:c r="P60" s="15">
        <x:v>1.05</x:v>
      </x:c>
      <x:c r="Q60" s="15" t="s">
        <x:v>14</x:v>
      </x:c>
      <x:c r="R60" s="15" t="s">
        <x:v>2026</x:v>
      </x:c>
      <x:c r="S60" s="15" t="s">
        <x:v>2030</x:v>
      </x:c>
    </x:row>
    <x:row r="61" ht="15.75" customHeight="1">
      <x:c r="A61" s="15" t="s">
        <x:v>2179</x:v>
      </x:c>
      <x:c r="B61" s="15" t="s">
        <x:v>2180</x:v>
      </x:c>
      <x:c r="C61" s="15">
        <x:v>0.0</x:v>
      </x:c>
      <x:c r="D61" s="15">
        <x:v>1.0</x:v>
      </x:c>
      <x:c r="E61" s="15">
        <x:v>3.0</x:v>
      </x:c>
      <x:c r="F61" s="15">
        <x:v>0.0</x:v>
      </x:c>
      <x:c r="G61" s="15">
        <x:v>0.0</x:v>
      </x:c>
      <x:c r="H61" s="15">
        <x:v>0.0</x:v>
      </x:c>
      <x:c r="I61" s="15">
        <x:v>0.0</x:v>
      </x:c>
      <x:c r="J61" s="15">
        <x:v>1.5</x:v>
      </x:c>
      <x:c r="K61" s="15">
        <x:v>0.0</x:v>
      </x:c>
      <x:c r="L61" s="15">
        <x:v>0.0</x:v>
      </x:c>
      <x:c r="M61" s="15">
        <x:v>0.0</x:v>
      </x:c>
      <x:c r="N61" s="15">
        <x:v>0.6</x:v>
      </x:c>
      <x:c r="O61" s="15" t="s">
        <x:v>2181</x:v>
      </x:c>
      <x:c r="P61" s="15">
        <x:v>1.05</x:v>
      </x:c>
      <x:c r="Q61" s="15" t="s">
        <x:v>14</x:v>
      </x:c>
      <x:c r="R61" s="15" t="s">
        <x:v>2034</x:v>
      </x:c>
      <x:c r="S61" s="15" t="s">
        <x:v>2027</x:v>
      </x:c>
    </x:row>
    <x:row r="62" ht="15.75" customHeight="1">
      <x:c r="A62" s="15" t="s">
        <x:v>2182</x:v>
      </x:c>
      <x:c r="B62" s="15" t="s">
        <x:v>2183</x:v>
      </x:c>
      <x:c r="C62" s="15">
        <x:v>0.0</x:v>
      </x:c>
      <x:c r="D62" s="15">
        <x:v>2.0</x:v>
      </x:c>
      <x:c r="E62" s="15">
        <x:v>2.0</x:v>
      </x:c>
      <x:c r="F62" s="15">
        <x:v>0.0</x:v>
      </x:c>
      <x:c r="G62" s="15">
        <x:v>0.0</x:v>
      </x:c>
      <x:c r="H62" s="15">
        <x:v>0.0</x:v>
      </x:c>
      <x:c r="I62" s="15">
        <x:v>0.0</x:v>
      </x:c>
      <x:c r="J62" s="15">
        <x:v>1.5</x:v>
      </x:c>
      <x:c r="K62" s="15">
        <x:v>0.0</x:v>
      </x:c>
      <x:c r="L62" s="15">
        <x:v>0.0</x:v>
      </x:c>
      <x:c r="M62" s="15">
        <x:v>0.0</x:v>
      </x:c>
      <x:c r="N62" s="15">
        <x:v>0.6</x:v>
      </x:c>
      <x:c r="O62" s="15" t="s">
        <x:v>2184</x:v>
      </x:c>
      <x:c r="P62" s="15">
        <x:v>1.05</x:v>
      </x:c>
      <x:c r="Q62" s="15" t="s">
        <x:v>14</x:v>
      </x:c>
      <x:c r="R62" s="15" t="s">
        <x:v>2034</x:v>
      </x:c>
      <x:c r="S62" s="15" t="s">
        <x:v>2030</x:v>
      </x:c>
    </x:row>
    <x:row r="63" ht="15.75" customHeight="1">
      <x:c r="A63" s="15" t="s">
        <x:v>2185</x:v>
      </x:c>
      <x:c r="B63" s="15" t="s">
        <x:v>2186</x:v>
      </x:c>
      <x:c r="C63" s="15">
        <x:v>1.0</x:v>
      </x:c>
      <x:c r="D63" s="15">
        <x:v>2.0</x:v>
      </x:c>
      <x:c r="E63" s="15">
        <x:v>3.0</x:v>
      </x:c>
      <x:c r="F63" s="15">
        <x:v>0.0</x:v>
      </x:c>
      <x:c r="G63" s="15">
        <x:v>0.0</x:v>
      </x:c>
      <x:c r="H63" s="15">
        <x:v>0.0</x:v>
      </x:c>
      <x:c r="I63" s="15">
        <x:v>0.0</x:v>
      </x:c>
      <x:c r="J63" s="15">
        <x:v>1.5</x:v>
      </x:c>
      <x:c r="K63" s="15">
        <x:v>0.0</x:v>
      </x:c>
      <x:c r="L63" s="15">
        <x:v>0.0</x:v>
      </x:c>
      <x:c r="M63" s="15">
        <x:v>0.0</x:v>
      </x:c>
      <x:c r="N63" s="15">
        <x:v>0.6</x:v>
      </x:c>
      <x:c r="O63" s="15" t="s">
        <x:v>2187</x:v>
      </x:c>
      <x:c r="P63" s="15">
        <x:v>1.05</x:v>
      </x:c>
      <x:c r="Q63" s="15" t="s">
        <x:v>14</x:v>
      </x:c>
      <x:c r="R63" s="15" t="s">
        <x:v>2041</x:v>
      </x:c>
      <x:c r="S63" s="15" t="s">
        <x:v>2027</x:v>
      </x:c>
    </x:row>
    <x:row r="64" ht="15.75" customHeight="1">
      <x:c r="A64" s="15" t="s">
        <x:v>2188</x:v>
      </x:c>
      <x:c r="B64" s="15" t="s">
        <x:v>2189</x:v>
      </x:c>
      <x:c r="C64" s="15">
        <x:v>0.0</x:v>
      </x:c>
      <x:c r="D64" s="15">
        <x:v>2.0</x:v>
      </x:c>
      <x:c r="E64" s="15">
        <x:v>4.0</x:v>
      </x:c>
      <x:c r="F64" s="15">
        <x:v>0.0</x:v>
      </x:c>
      <x:c r="G64" s="15">
        <x:v>0.0</x:v>
      </x:c>
      <x:c r="H64" s="15">
        <x:v>0.0</x:v>
      </x:c>
      <x:c r="I64" s="15">
        <x:v>0.0</x:v>
      </x:c>
      <x:c r="J64" s="15">
        <x:v>1.5</x:v>
      </x:c>
      <x:c r="K64" s="15">
        <x:v>0.0</x:v>
      </x:c>
      <x:c r="L64" s="15">
        <x:v>0.0</x:v>
      </x:c>
      <x:c r="M64" s="15">
        <x:v>0.0</x:v>
      </x:c>
      <x:c r="N64" s="15">
        <x:v>0.6</x:v>
      </x:c>
      <x:c r="O64" s="15" t="s">
        <x:v>2190</x:v>
      </x:c>
      <x:c r="P64" s="15">
        <x:v>1.05</x:v>
      </x:c>
      <x:c r="Q64" s="15" t="s">
        <x:v>14</x:v>
      </x:c>
      <x:c r="R64" s="15" t="s">
        <x:v>2041</x:v>
      </x:c>
      <x:c r="S64" s="15" t="s">
        <x:v>2030</x:v>
      </x:c>
    </x:row>
    <x:row r="65" ht="15.75" customHeight="1">
      <x:c r="A65" s="15" t="s">
        <x:v>2191</x:v>
      </x:c>
      <x:c r="B65" s="15" t="s">
        <x:v>2192</x:v>
      </x:c>
      <x:c r="C65" s="15">
        <x:v>2.0</x:v>
      </x:c>
      <x:c r="D65" s="15">
        <x:v>2.0</x:v>
      </x:c>
      <x:c r="E65" s="15">
        <x:v>4.0</x:v>
      </x:c>
      <x:c r="F65" s="15">
        <x:v>0.0</x:v>
      </x:c>
      <x:c r="G65" s="15">
        <x:v>0.0</x:v>
      </x:c>
      <x:c r="H65" s="15">
        <x:v>0.0</x:v>
      </x:c>
      <x:c r="I65" s="15">
        <x:v>0.0</x:v>
      </x:c>
      <x:c r="J65" s="15">
        <x:v>1.5</x:v>
      </x:c>
      <x:c r="K65" s="15">
        <x:v>0.0</x:v>
      </x:c>
      <x:c r="L65" s="15">
        <x:v>0.0</x:v>
      </x:c>
      <x:c r="M65" s="15">
        <x:v>0.0</x:v>
      </x:c>
      <x:c r="N65" s="15">
        <x:v>0.6</x:v>
      </x:c>
      <x:c r="O65" s="15" t="s">
        <x:v>2193</x:v>
      </x:c>
      <x:c r="P65" s="15">
        <x:v>1.05</x:v>
      </x:c>
      <x:c r="Q65" s="15" t="s">
        <x:v>14</x:v>
      </x:c>
      <x:c r="R65" s="15" t="s">
        <x:v>2048</x:v>
      </x:c>
      <x:c r="S65" s="15" t="s">
        <x:v>2027</x:v>
      </x:c>
    </x:row>
    <x:row r="66" ht="15.75" customHeight="1">
      <x:c r="A66" s="15" t="s">
        <x:v>2194</x:v>
      </x:c>
      <x:c r="B66" s="15" t="s">
        <x:v>2195</x:v>
      </x:c>
      <x:c r="C66" s="15">
        <x:v>1.0</x:v>
      </x:c>
      <x:c r="D66" s="15">
        <x:v>3.0</x:v>
      </x:c>
      <x:c r="E66" s="15">
        <x:v>4.0</x:v>
      </x:c>
      <x:c r="F66" s="15">
        <x:v>0.0</x:v>
      </x:c>
      <x:c r="G66" s="15">
        <x:v>0.0</x:v>
      </x:c>
      <x:c r="H66" s="15">
        <x:v>0.0</x:v>
      </x:c>
      <x:c r="I66" s="15">
        <x:v>0.0</x:v>
      </x:c>
      <x:c r="J66" s="15">
        <x:v>1.5</x:v>
      </x:c>
      <x:c r="K66" s="15">
        <x:v>0.0</x:v>
      </x:c>
      <x:c r="L66" s="15">
        <x:v>0.0</x:v>
      </x:c>
      <x:c r="M66" s="15">
        <x:v>0.0</x:v>
      </x:c>
      <x:c r="N66" s="15">
        <x:v>0.6</x:v>
      </x:c>
      <x:c r="O66" s="15" t="s">
        <x:v>2196</x:v>
      </x:c>
      <x:c r="P66" s="15">
        <x:v>1.05</x:v>
      </x:c>
      <x:c r="Q66" s="15" t="s">
        <x:v>14</x:v>
      </x:c>
      <x:c r="R66" s="15" t="s">
        <x:v>2048</x:v>
      </x:c>
      <x:c r="S66" s="15" t="s">
        <x:v>2030</x:v>
      </x:c>
    </x:row>
    <x:row r="67" ht="15.75" customHeight="1">
      <x:c r="A67" s="15" t="s">
        <x:v>2197</x:v>
      </x:c>
      <x:c r="B67" s="15" t="s">
        <x:v>2152</x:v>
      </x:c>
      <x:c r="C67" s="15">
        <x:v>0.0</x:v>
      </x:c>
      <x:c r="D67" s="15">
        <x:v>0.0</x:v>
      </x:c>
      <x:c r="E67" s="15">
        <x:v>3.0</x:v>
      </x:c>
      <x:c r="F67" s="15">
        <x:v>0.0</x:v>
      </x:c>
      <x:c r="G67" s="15">
        <x:v>0.0</x:v>
      </x:c>
      <x:c r="H67" s="15">
        <x:v>0.0</x:v>
      </x:c>
      <x:c r="I67" s="15">
        <x:v>0.0</x:v>
      </x:c>
      <x:c r="J67" s="15">
        <x:v>1.4</x:v>
      </x:c>
      <x:c r="K67" s="15">
        <x:v>0.0</x:v>
      </x:c>
      <x:c r="L67" s="15">
        <x:v>0.0</x:v>
      </x:c>
      <x:c r="M67" s="15">
        <x:v>0.0</x:v>
      </x:c>
      <x:c r="N67" s="15">
        <x:v>0.65</x:v>
      </x:c>
      <x:c r="O67" s="15" t="s">
        <x:v>2198</x:v>
      </x:c>
      <x:c r="P67" s="15">
        <x:v>1.2</x:v>
      </x:c>
      <x:c r="Q67" s="15" t="s">
        <x:v>14</x:v>
      </x:c>
      <x:c r="R67" s="15" t="s">
        <x:v>2026</x:v>
      </x:c>
      <x:c r="S67" s="15" t="s">
        <x:v>2027</x:v>
      </x:c>
    </x:row>
    <x:row r="68" ht="15.75" customHeight="1">
      <x:c r="A68" s="15" t="s">
        <x:v>2199</x:v>
      </x:c>
      <x:c r="B68" s="15" t="s">
        <x:v>236</x:v>
      </x:c>
      <x:c r="C68" s="15">
        <x:v>1.0</x:v>
      </x:c>
      <x:c r="D68" s="15">
        <x:v>0.0</x:v>
      </x:c>
      <x:c r="E68" s="15">
        <x:v>2.0</x:v>
      </x:c>
      <x:c r="F68" s="15">
        <x:v>0.0</x:v>
      </x:c>
      <x:c r="G68" s="15">
        <x:v>0.0</x:v>
      </x:c>
      <x:c r="H68" s="15">
        <x:v>0.0</x:v>
      </x:c>
      <x:c r="I68" s="15">
        <x:v>0.0</x:v>
      </x:c>
      <x:c r="J68" s="15">
        <x:v>1.4</x:v>
      </x:c>
      <x:c r="K68" s="15">
        <x:v>0.0</x:v>
      </x:c>
      <x:c r="L68" s="15">
        <x:v>0.0</x:v>
      </x:c>
      <x:c r="M68" s="15">
        <x:v>0.0</x:v>
      </x:c>
      <x:c r="N68" s="15">
        <x:v>0.65</x:v>
      </x:c>
      <x:c r="O68" s="15" t="s">
        <x:v>2200</x:v>
      </x:c>
      <x:c r="P68" s="15">
        <x:v>1.2</x:v>
      </x:c>
      <x:c r="Q68" s="15" t="s">
        <x:v>14</x:v>
      </x:c>
      <x:c r="R68" s="15" t="s">
        <x:v>2026</x:v>
      </x:c>
      <x:c r="S68" s="15" t="s">
        <x:v>2030</x:v>
      </x:c>
    </x:row>
    <x:row r="69" ht="15.75" customHeight="1">
      <x:c r="A69" s="15" t="s">
        <x:v>2201</x:v>
      </x:c>
      <x:c r="B69" s="15" t="s">
        <x:v>2157</x:v>
      </x:c>
      <x:c r="C69" s="15">
        <x:v>1.0</x:v>
      </x:c>
      <x:c r="D69" s="15">
        <x:v>0.0</x:v>
      </x:c>
      <x:c r="E69" s="15">
        <x:v>3.0</x:v>
      </x:c>
      <x:c r="F69" s="15">
        <x:v>0.0</x:v>
      </x:c>
      <x:c r="G69" s="15">
        <x:v>0.0</x:v>
      </x:c>
      <x:c r="H69" s="15">
        <x:v>0.0</x:v>
      </x:c>
      <x:c r="I69" s="15">
        <x:v>0.0</x:v>
      </x:c>
      <x:c r="J69" s="15">
        <x:v>1.4</x:v>
      </x:c>
      <x:c r="K69" s="15">
        <x:v>0.0</x:v>
      </x:c>
      <x:c r="L69" s="15">
        <x:v>0.0</x:v>
      </x:c>
      <x:c r="M69" s="15">
        <x:v>0.0</x:v>
      </x:c>
      <x:c r="N69" s="15">
        <x:v>0.65</x:v>
      </x:c>
      <x:c r="O69" s="15" t="s">
        <x:v>2202</x:v>
      </x:c>
      <x:c r="P69" s="15">
        <x:v>1.2</x:v>
      </x:c>
      <x:c r="Q69" s="15" t="s">
        <x:v>14</x:v>
      </x:c>
      <x:c r="R69" s="15" t="s">
        <x:v>2034</x:v>
      </x:c>
      <x:c r="S69" s="15" t="s">
        <x:v>2027</x:v>
      </x:c>
    </x:row>
    <x:row r="70" ht="15.75" customHeight="1">
      <x:c r="A70" s="15" t="s">
        <x:v>2203</x:v>
      </x:c>
      <x:c r="B70" s="15" t="s">
        <x:v>2160</x:v>
      </x:c>
      <x:c r="C70" s="15">
        <x:v>2.0</x:v>
      </x:c>
      <x:c r="D70" s="15">
        <x:v>0.0</x:v>
      </x:c>
      <x:c r="E70" s="15">
        <x:v>2.0</x:v>
      </x:c>
      <x:c r="F70" s="15">
        <x:v>0.0</x:v>
      </x:c>
      <x:c r="G70" s="15">
        <x:v>0.0</x:v>
      </x:c>
      <x:c r="H70" s="15">
        <x:v>0.0</x:v>
      </x:c>
      <x:c r="I70" s="15">
        <x:v>0.0</x:v>
      </x:c>
      <x:c r="J70" s="15">
        <x:v>1.4</x:v>
      </x:c>
      <x:c r="K70" s="15">
        <x:v>0.0</x:v>
      </x:c>
      <x:c r="L70" s="15">
        <x:v>0.0</x:v>
      </x:c>
      <x:c r="M70" s="15">
        <x:v>0.0</x:v>
      </x:c>
      <x:c r="N70" s="15">
        <x:v>0.65</x:v>
      </x:c>
      <x:c r="O70" s="15" t="s">
        <x:v>2204</x:v>
      </x:c>
      <x:c r="P70" s="15">
        <x:v>1.2</x:v>
      </x:c>
      <x:c r="Q70" s="15" t="s">
        <x:v>14</x:v>
      </x:c>
      <x:c r="R70" s="15" t="s">
        <x:v>2034</x:v>
      </x:c>
      <x:c r="S70" s="15" t="s">
        <x:v>2030</x:v>
      </x:c>
    </x:row>
    <x:row r="71" ht="15.75" customHeight="1">
      <x:c r="A71" s="15" t="s">
        <x:v>2205</x:v>
      </x:c>
      <x:c r="B71" s="15" t="s">
        <x:v>2163</x:v>
      </x:c>
      <x:c r="C71" s="15">
        <x:v>2.0</x:v>
      </x:c>
      <x:c r="D71" s="15">
        <x:v>1.0</x:v>
      </x:c>
      <x:c r="E71" s="15">
        <x:v>3.0</x:v>
      </x:c>
      <x:c r="F71" s="15">
        <x:v>0.0</x:v>
      </x:c>
      <x:c r="G71" s="15">
        <x:v>0.0</x:v>
      </x:c>
      <x:c r="H71" s="15">
        <x:v>0.0</x:v>
      </x:c>
      <x:c r="I71" s="15">
        <x:v>0.0</x:v>
      </x:c>
      <x:c r="J71" s="15">
        <x:v>1.4</x:v>
      </x:c>
      <x:c r="K71" s="15">
        <x:v>0.0</x:v>
      </x:c>
      <x:c r="L71" s="15">
        <x:v>0.0</x:v>
      </x:c>
      <x:c r="M71" s="15">
        <x:v>0.0</x:v>
      </x:c>
      <x:c r="N71" s="15">
        <x:v>0.65</x:v>
      </x:c>
      <x:c r="O71" s="15" t="s">
        <x:v>2206</x:v>
      </x:c>
      <x:c r="P71" s="15">
        <x:v>1.2</x:v>
      </x:c>
      <x:c r="Q71" s="15" t="s">
        <x:v>14</x:v>
      </x:c>
      <x:c r="R71" s="15" t="s">
        <x:v>2041</x:v>
      </x:c>
      <x:c r="S71" s="15" t="s">
        <x:v>2027</x:v>
      </x:c>
    </x:row>
    <x:row r="72" ht="15.75" customHeight="1">
      <x:c r="A72" s="15" t="s">
        <x:v>2207</x:v>
      </x:c>
      <x:c r="B72" s="15" t="s">
        <x:v>2166</x:v>
      </x:c>
      <x:c r="C72" s="15">
        <x:v>2.0</x:v>
      </x:c>
      <x:c r="D72" s="15">
        <x:v>0.0</x:v>
      </x:c>
      <x:c r="E72" s="15">
        <x:v>4.0</x:v>
      </x:c>
      <x:c r="F72" s="15">
        <x:v>0.0</x:v>
      </x:c>
      <x:c r="G72" s="15">
        <x:v>0.0</x:v>
      </x:c>
      <x:c r="H72" s="15">
        <x:v>0.0</x:v>
      </x:c>
      <x:c r="I72" s="15">
        <x:v>0.0</x:v>
      </x:c>
      <x:c r="J72" s="15">
        <x:v>1.4</x:v>
      </x:c>
      <x:c r="K72" s="15">
        <x:v>0.0</x:v>
      </x:c>
      <x:c r="L72" s="15">
        <x:v>0.0</x:v>
      </x:c>
      <x:c r="M72" s="15">
        <x:v>0.0</x:v>
      </x:c>
      <x:c r="N72" s="15">
        <x:v>0.65</x:v>
      </x:c>
      <x:c r="O72" s="15" t="s">
        <x:v>2208</x:v>
      </x:c>
      <x:c r="P72" s="15">
        <x:v>1.2</x:v>
      </x:c>
      <x:c r="Q72" s="15" t="s">
        <x:v>14</x:v>
      </x:c>
      <x:c r="R72" s="15" t="s">
        <x:v>2041</x:v>
      </x:c>
      <x:c r="S72" s="15" t="s">
        <x:v>2030</x:v>
      </x:c>
    </x:row>
    <x:row r="73" ht="15.75" customHeight="1">
      <x:c r="A73" s="15" t="s">
        <x:v>2209</x:v>
      </x:c>
      <x:c r="B73" s="15" t="s">
        <x:v>2169</x:v>
      </x:c>
      <x:c r="C73" s="15">
        <x:v>2.0</x:v>
      </x:c>
      <x:c r="D73" s="15">
        <x:v>2.0</x:v>
      </x:c>
      <x:c r="E73" s="15">
        <x:v>4.0</x:v>
      </x:c>
      <x:c r="F73" s="15">
        <x:v>0.0</x:v>
      </x:c>
      <x:c r="G73" s="15">
        <x:v>0.0</x:v>
      </x:c>
      <x:c r="H73" s="15">
        <x:v>0.0</x:v>
      </x:c>
      <x:c r="I73" s="15">
        <x:v>0.0</x:v>
      </x:c>
      <x:c r="J73" s="15">
        <x:v>1.4</x:v>
      </x:c>
      <x:c r="K73" s="15">
        <x:v>0.0</x:v>
      </x:c>
      <x:c r="L73" s="15">
        <x:v>0.0</x:v>
      </x:c>
      <x:c r="M73" s="15">
        <x:v>0.0</x:v>
      </x:c>
      <x:c r="N73" s="15">
        <x:v>0.65</x:v>
      </x:c>
      <x:c r="O73" s="15" t="s">
        <x:v>2210</x:v>
      </x:c>
      <x:c r="P73" s="15">
        <x:v>1.2</x:v>
      </x:c>
      <x:c r="Q73" s="15" t="s">
        <x:v>14</x:v>
      </x:c>
      <x:c r="R73" s="15" t="s">
        <x:v>2048</x:v>
      </x:c>
      <x:c r="S73" s="15" t="s">
        <x:v>2027</x:v>
      </x:c>
    </x:row>
    <x:row r="74" ht="15.75" customHeight="1">
      <x:c r="A74" s="15" t="s">
        <x:v>2211</x:v>
      </x:c>
      <x:c r="B74" s="15" t="s">
        <x:v>2172</x:v>
      </x:c>
      <x:c r="C74" s="15">
        <x:v>3.0</x:v>
      </x:c>
      <x:c r="D74" s="15">
        <x:v>1.0</x:v>
      </x:c>
      <x:c r="E74" s="15">
        <x:v>4.0</x:v>
      </x:c>
      <x:c r="F74" s="15">
        <x:v>0.0</x:v>
      </x:c>
      <x:c r="G74" s="15">
        <x:v>0.0</x:v>
      </x:c>
      <x:c r="H74" s="15">
        <x:v>0.0</x:v>
      </x:c>
      <x:c r="I74" s="15">
        <x:v>0.0</x:v>
      </x:c>
      <x:c r="J74" s="15">
        <x:v>1.4</x:v>
      </x:c>
      <x:c r="K74" s="15">
        <x:v>0.0</x:v>
      </x:c>
      <x:c r="L74" s="15">
        <x:v>0.0</x:v>
      </x:c>
      <x:c r="M74" s="15">
        <x:v>0.0</x:v>
      </x:c>
      <x:c r="N74" s="15">
        <x:v>0.65</x:v>
      </x:c>
      <x:c r="O74" s="15" t="s">
        <x:v>2212</x:v>
      </x:c>
      <x:c r="P74" s="15">
        <x:v>1.2</x:v>
      </x:c>
      <x:c r="Q74" s="15" t="s">
        <x:v>14</x:v>
      </x:c>
      <x:c r="R74" s="15" t="s">
        <x:v>2048</x:v>
      </x:c>
      <x:c r="S74" s="15" t="s">
        <x:v>2030</x:v>
      </x:c>
    </x:row>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pageMargins left="0.7" right="0.7" top="0.75" bottom="0.75" header="0.3" footer="0.3"/>
</x:worksheet>
</file>

<file path=xl/worksheets/sheet17.xml><?xml version="1.0" encoding="utf-8"?>
<x:worksheet xmlns:x="http://schemas.openxmlformats.org/spreadsheetml/2006/main">
  <x:sheetFormatPr defaultColWidth="12.630000114440918" defaultRowHeight="15"/>
  <x:cols>
    <x:col min="1" max="1" width="42" customWidth="1"/>
    <x:col min="2" max="2" width="26" customWidth="1"/>
    <x:col min="3" max="14" width="9" customWidth="1"/>
    <x:col min="15" max="15" width="42" customWidth="1"/>
    <x:col min="16" max="19" width="12" customWidth="1"/>
  </x:cols>
  <x:sheetData>
    <x:row r="1" ht="14.25" customHeight="1">
      <x:c r="A1" s="112" t="s">
        <x:v>28</x:v>
      </x:c>
      <x:c r="B1" s="112" t="s">
        <x:v>174</x:v>
      </x:c>
      <x:c r="C1" s="112" t="s">
        <x:v>7</x:v>
      </x:c>
      <x:c r="D1" s="112" t="s">
        <x:v>10</x:v>
      </x:c>
      <x:c r="E1" s="112" t="s">
        <x:v>14</x:v>
      </x:c>
      <x:c r="F1" s="112" t="s">
        <x:v>17</x:v>
      </x:c>
      <x:c r="G1" s="112" t="s">
        <x:v>21</x:v>
      </x:c>
      <x:c r="H1" s="112" t="s">
        <x:v>25</x:v>
      </x:c>
      <x:c r="I1" s="112" t="s">
        <x:v>30</x:v>
      </x:c>
      <x:c r="J1" s="112" t="s">
        <x:v>175</x:v>
      </x:c>
      <x:c r="K1" s="112" t="s">
        <x:v>176</x:v>
      </x:c>
      <x:c r="L1" s="112" t="s">
        <x:v>177</x:v>
      </x:c>
      <x:c r="M1" s="112" t="s">
        <x:v>37</x:v>
      </x:c>
      <x:c r="N1" s="112" t="s">
        <x:v>178</x:v>
      </x:c>
      <x:c r="O1" s="112" t="s">
        <x:v>51</x:v>
      </x:c>
      <x:c r="P1" s="112" t="s">
        <x:v>179</x:v>
      </x:c>
      <x:c r="Q1" s="112" t="s">
        <x:v>2017</x:v>
      </x:c>
      <x:c r="R1" s="112" t="s">
        <x:v>2018</x:v>
      </x:c>
      <x:c r="S1" s="112" t="s">
        <x:v>2019</x:v>
      </x:c>
    </x:row>
    <x:row r="2" ht="14.25" customHeight="1">
      <x:c r="A2" s="15" t="s">
        <x:v>2020</x:v>
      </x:c>
      <x:c r="B2" s="15" t="s">
        <x:v>2021</x:v>
      </x:c>
      <x:c r="C2" s="15">
        <x:v>0.0</x:v>
      </x:c>
      <x:c r="D2" s="15">
        <x:v>0.0</x:v>
      </x:c>
      <x:c r="E2" s="15">
        <x:v>0.0</x:v>
      </x:c>
      <x:c r="F2" s="15">
        <x:v>0.0</x:v>
      </x:c>
      <x:c r="G2" s="15">
        <x:v>0.0</x:v>
      </x:c>
      <x:c r="H2" s="15">
        <x:v>0.0</x:v>
      </x:c>
      <x:c r="I2" s="15">
        <x:v>0.0</x:v>
      </x:c>
      <x:c r="J2" s="15">
        <x:v>1.0</x:v>
      </x:c>
      <x:c r="K2" s="15">
        <x:v>0.0</x:v>
      </x:c>
      <x:c r="L2" s="15">
        <x:v>0.0</x:v>
      </x:c>
      <x:c r="M2" s="15">
        <x:v>0.0</x:v>
      </x:c>
      <x:c r="N2" s="15">
        <x:v>0.65</x:v>
      </x:c>
      <x:c r="O2" s="15" t="s">
        <x:v>2213</x:v>
      </x:c>
      <x:c r="P2" s="15">
        <x:v>1.0</x:v>
      </x:c>
      <x:c r="Q2" s="15" t="s">
        <x:v>2021</x:v>
      </x:c>
      <x:c r="R2" s="15" t="s">
        <x:v>2021</x:v>
      </x:c>
      <x:c r="S2" s="15" t="s">
        <x:v>2021</x:v>
      </x:c>
    </x:row>
    <x:row r="3" ht="14.25" customHeight="1">
      <x:c r="A3" s="15" t="s">
        <x:v>2214</x:v>
      </x:c>
      <x:c r="B3" s="15" t="s">
        <x:v>2215</x:v>
      </x:c>
      <x:c r="C3" s="15">
        <x:v>0.0</x:v>
      </x:c>
      <x:c r="D3" s="15">
        <x:v>0.0</x:v>
      </x:c>
      <x:c r="E3" s="15">
        <x:v>0.0</x:v>
      </x:c>
      <x:c r="F3" s="15">
        <x:v>3.0</x:v>
      </x:c>
      <x:c r="G3" s="15">
        <x:v>0.0</x:v>
      </x:c>
      <x:c r="H3" s="15">
        <x:v>0.0</x:v>
      </x:c>
      <x:c r="I3" s="15">
        <x:v>0.0</x:v>
      </x:c>
      <x:c r="J3" s="15">
        <x:v>1.0</x:v>
      </x:c>
      <x:c r="K3" s="15">
        <x:v>0.0</x:v>
      </x:c>
      <x:c r="L3" s="15">
        <x:v>0.0</x:v>
      </x:c>
      <x:c r="M3" s="15">
        <x:v>0.0</x:v>
      </x:c>
      <x:c r="N3" s="15">
        <x:v>0.64</x:v>
      </x:c>
      <x:c r="O3" s="15" t="s">
        <x:v>2216</x:v>
      </x:c>
      <x:c r="P3" s="15">
        <x:v>1.2</x:v>
      </x:c>
      <x:c r="Q3" s="15" t="s">
        <x:v>17</x:v>
      </x:c>
      <x:c r="R3" s="15" t="s">
        <x:v>2026</x:v>
      </x:c>
      <x:c r="S3" s="15" t="s">
        <x:v>2027</x:v>
      </x:c>
    </x:row>
    <x:row r="4" ht="14.25" customHeight="1">
      <x:c r="A4" s="15" t="s">
        <x:v>2217</x:v>
      </x:c>
      <x:c r="B4" s="15" t="s">
        <x:v>277</x:v>
      </x:c>
      <x:c r="C4" s="15">
        <x:v>0.0</x:v>
      </x:c>
      <x:c r="D4" s="15">
        <x:v>0.0</x:v>
      </x:c>
      <x:c r="E4" s="15">
        <x:v>0.0</x:v>
      </x:c>
      <x:c r="F4" s="15">
        <x:v>2.0</x:v>
      </x:c>
      <x:c r="G4" s="15">
        <x:v>1.0</x:v>
      </x:c>
      <x:c r="H4" s="15">
        <x:v>0.0</x:v>
      </x:c>
      <x:c r="I4" s="15">
        <x:v>0.0</x:v>
      </x:c>
      <x:c r="J4" s="15">
        <x:v>1.0</x:v>
      </x:c>
      <x:c r="K4" s="15">
        <x:v>0.0</x:v>
      </x:c>
      <x:c r="L4" s="15">
        <x:v>0.0</x:v>
      </x:c>
      <x:c r="M4" s="15">
        <x:v>0.0</x:v>
      </x:c>
      <x:c r="N4" s="15">
        <x:v>0.64</x:v>
      </x:c>
      <x:c r="O4" s="15" t="s">
        <x:v>2218</x:v>
      </x:c>
      <x:c r="P4" s="15">
        <x:v>1.2</x:v>
      </x:c>
      <x:c r="Q4" s="15" t="s">
        <x:v>17</x:v>
      </x:c>
      <x:c r="R4" s="15" t="s">
        <x:v>2026</x:v>
      </x:c>
      <x:c r="S4" s="15" t="s">
        <x:v>2030</x:v>
      </x:c>
    </x:row>
    <x:row r="5" ht="14.25" customHeight="1">
      <x:c r="A5" s="15" t="s">
        <x:v>2219</x:v>
      </x:c>
      <x:c r="B5" s="15" t="s">
        <x:v>2220</x:v>
      </x:c>
      <x:c r="C5" s="15">
        <x:v>0.0</x:v>
      </x:c>
      <x:c r="D5" s="15">
        <x:v>0.0</x:v>
      </x:c>
      <x:c r="E5" s="15">
        <x:v>0.0</x:v>
      </x:c>
      <x:c r="F5" s="15">
        <x:v>3.0</x:v>
      </x:c>
      <x:c r="G5" s="15">
        <x:v>1.0</x:v>
      </x:c>
      <x:c r="H5" s="15">
        <x:v>0.0</x:v>
      </x:c>
      <x:c r="I5" s="15">
        <x:v>0.0</x:v>
      </x:c>
      <x:c r="J5" s="15">
        <x:v>1.0</x:v>
      </x:c>
      <x:c r="K5" s="15">
        <x:v>0.0</x:v>
      </x:c>
      <x:c r="L5" s="15">
        <x:v>0.0</x:v>
      </x:c>
      <x:c r="M5" s="15">
        <x:v>0.0</x:v>
      </x:c>
      <x:c r="N5" s="15">
        <x:v>0.64</x:v>
      </x:c>
      <x:c r="O5" s="15" t="s">
        <x:v>2221</x:v>
      </x:c>
      <x:c r="P5" s="15">
        <x:v>1.2</x:v>
      </x:c>
      <x:c r="Q5" s="15" t="s">
        <x:v>17</x:v>
      </x:c>
      <x:c r="R5" s="15" t="s">
        <x:v>2034</x:v>
      </x:c>
      <x:c r="S5" s="15" t="s">
        <x:v>2027</x:v>
      </x:c>
    </x:row>
    <x:row r="6" ht="14.25" customHeight="1">
      <x:c r="A6" s="15" t="s">
        <x:v>2222</x:v>
      </x:c>
      <x:c r="B6" s="15" t="s">
        <x:v>2223</x:v>
      </x:c>
      <x:c r="C6" s="15">
        <x:v>0.0</x:v>
      </x:c>
      <x:c r="D6" s="15">
        <x:v>0.0</x:v>
      </x:c>
      <x:c r="E6" s="15">
        <x:v>0.0</x:v>
      </x:c>
      <x:c r="F6" s="15">
        <x:v>2.0</x:v>
      </x:c>
      <x:c r="G6" s="15">
        <x:v>2.0</x:v>
      </x:c>
      <x:c r="H6" s="15">
        <x:v>0.0</x:v>
      </x:c>
      <x:c r="I6" s="15">
        <x:v>0.0</x:v>
      </x:c>
      <x:c r="J6" s="15">
        <x:v>1.0</x:v>
      </x:c>
      <x:c r="K6" s="15">
        <x:v>0.0</x:v>
      </x:c>
      <x:c r="L6" s="15">
        <x:v>0.0</x:v>
      </x:c>
      <x:c r="M6" s="15">
        <x:v>0.0</x:v>
      </x:c>
      <x:c r="N6" s="15">
        <x:v>0.64</x:v>
      </x:c>
      <x:c r="O6" s="15" t="s">
        <x:v>2224</x:v>
      </x:c>
      <x:c r="P6" s="15">
        <x:v>1.2</x:v>
      </x:c>
      <x:c r="Q6" s="15" t="s">
        <x:v>17</x:v>
      </x:c>
      <x:c r="R6" s="15" t="s">
        <x:v>2034</x:v>
      </x:c>
      <x:c r="S6" s="15" t="s">
        <x:v>2030</x:v>
      </x:c>
    </x:row>
    <x:row r="7" ht="14.25" customHeight="1">
      <x:c r="A7" s="15" t="s">
        <x:v>2225</x:v>
      </x:c>
      <x:c r="B7" s="15" t="s">
        <x:v>2226</x:v>
      </x:c>
      <x:c r="C7" s="15">
        <x:v>0.0</x:v>
      </x:c>
      <x:c r="D7" s="15">
        <x:v>0.0</x:v>
      </x:c>
      <x:c r="E7" s="15">
        <x:v>0.0</x:v>
      </x:c>
      <x:c r="F7" s="15">
        <x:v>3.0</x:v>
      </x:c>
      <x:c r="G7" s="15">
        <x:v>2.0</x:v>
      </x:c>
      <x:c r="H7" s="15">
        <x:v>1.0</x:v>
      </x:c>
      <x:c r="I7" s="15">
        <x:v>0.0</x:v>
      </x:c>
      <x:c r="J7" s="15">
        <x:v>1.0</x:v>
      </x:c>
      <x:c r="K7" s="15">
        <x:v>0.0</x:v>
      </x:c>
      <x:c r="L7" s="15">
        <x:v>0.0</x:v>
      </x:c>
      <x:c r="M7" s="15">
        <x:v>0.0</x:v>
      </x:c>
      <x:c r="N7" s="15">
        <x:v>0.64</x:v>
      </x:c>
      <x:c r="O7" s="15" t="s">
        <x:v>2227</x:v>
      </x:c>
      <x:c r="P7" s="15">
        <x:v>1.2</x:v>
      </x:c>
      <x:c r="Q7" s="15" t="s">
        <x:v>17</x:v>
      </x:c>
      <x:c r="R7" s="15" t="s">
        <x:v>2041</x:v>
      </x:c>
      <x:c r="S7" s="15" t="s">
        <x:v>2027</x:v>
      </x:c>
    </x:row>
    <x:row r="8" ht="14.25" customHeight="1">
      <x:c r="A8" s="15" t="s">
        <x:v>2228</x:v>
      </x:c>
      <x:c r="B8" s="15" t="s">
        <x:v>2229</x:v>
      </x:c>
      <x:c r="C8" s="15">
        <x:v>0.0</x:v>
      </x:c>
      <x:c r="D8" s="15">
        <x:v>0.0</x:v>
      </x:c>
      <x:c r="E8" s="15">
        <x:v>0.0</x:v>
      </x:c>
      <x:c r="F8" s="15">
        <x:v>4.0</x:v>
      </x:c>
      <x:c r="G8" s="15">
        <x:v>2.0</x:v>
      </x:c>
      <x:c r="H8" s="15">
        <x:v>0.0</x:v>
      </x:c>
      <x:c r="I8" s="15">
        <x:v>0.0</x:v>
      </x:c>
      <x:c r="J8" s="15">
        <x:v>1.0</x:v>
      </x:c>
      <x:c r="K8" s="15">
        <x:v>0.0</x:v>
      </x:c>
      <x:c r="L8" s="15">
        <x:v>0.0</x:v>
      </x:c>
      <x:c r="M8" s="15">
        <x:v>0.0</x:v>
      </x:c>
      <x:c r="N8" s="15">
        <x:v>0.64</x:v>
      </x:c>
      <x:c r="O8" s="15" t="s">
        <x:v>2230</x:v>
      </x:c>
      <x:c r="P8" s="15">
        <x:v>1.2</x:v>
      </x:c>
      <x:c r="Q8" s="15" t="s">
        <x:v>17</x:v>
      </x:c>
      <x:c r="R8" s="15" t="s">
        <x:v>2041</x:v>
      </x:c>
      <x:c r="S8" s="15" t="s">
        <x:v>2030</x:v>
      </x:c>
    </x:row>
    <x:row r="9" ht="14.25" customHeight="1">
      <x:c r="A9" s="15" t="s">
        <x:v>2231</x:v>
      </x:c>
      <x:c r="B9" s="15" t="s">
        <x:v>2232</x:v>
      </x:c>
      <x:c r="C9" s="15">
        <x:v>0.0</x:v>
      </x:c>
      <x:c r="D9" s="15">
        <x:v>0.0</x:v>
      </x:c>
      <x:c r="E9" s="15">
        <x:v>0.0</x:v>
      </x:c>
      <x:c r="F9" s="15">
        <x:v>4.0</x:v>
      </x:c>
      <x:c r="G9" s="15">
        <x:v>2.0</x:v>
      </x:c>
      <x:c r="H9" s="15">
        <x:v>2.0</x:v>
      </x:c>
      <x:c r="I9" s="15">
        <x:v>0.0</x:v>
      </x:c>
      <x:c r="J9" s="15">
        <x:v>1.0</x:v>
      </x:c>
      <x:c r="K9" s="15">
        <x:v>0.0</x:v>
      </x:c>
      <x:c r="L9" s="15">
        <x:v>0.0</x:v>
      </x:c>
      <x:c r="M9" s="15">
        <x:v>0.0</x:v>
      </x:c>
      <x:c r="N9" s="15">
        <x:v>0.64</x:v>
      </x:c>
      <x:c r="O9" s="15" t="s">
        <x:v>2233</x:v>
      </x:c>
      <x:c r="P9" s="15">
        <x:v>1.2</x:v>
      </x:c>
      <x:c r="Q9" s="15" t="s">
        <x:v>17</x:v>
      </x:c>
      <x:c r="R9" s="15" t="s">
        <x:v>2048</x:v>
      </x:c>
      <x:c r="S9" s="15" t="s">
        <x:v>2027</x:v>
      </x:c>
    </x:row>
    <x:row r="10" ht="14.25" customHeight="1">
      <x:c r="A10" s="15" t="s">
        <x:v>2234</x:v>
      </x:c>
      <x:c r="B10" s="15" t="s">
        <x:v>2235</x:v>
      </x:c>
      <x:c r="C10" s="15">
        <x:v>0.0</x:v>
      </x:c>
      <x:c r="D10" s="15">
        <x:v>0.0</x:v>
      </x:c>
      <x:c r="E10" s="15">
        <x:v>0.0</x:v>
      </x:c>
      <x:c r="F10" s="15">
        <x:v>4.0</x:v>
      </x:c>
      <x:c r="G10" s="15">
        <x:v>3.0</x:v>
      </x:c>
      <x:c r="H10" s="15">
        <x:v>1.0</x:v>
      </x:c>
      <x:c r="I10" s="15">
        <x:v>0.0</x:v>
      </x:c>
      <x:c r="J10" s="15">
        <x:v>1.0</x:v>
      </x:c>
      <x:c r="K10" s="15">
        <x:v>0.0</x:v>
      </x:c>
      <x:c r="L10" s="15">
        <x:v>0.0</x:v>
      </x:c>
      <x:c r="M10" s="15">
        <x:v>0.0</x:v>
      </x:c>
      <x:c r="N10" s="15">
        <x:v>0.64</x:v>
      </x:c>
      <x:c r="O10" s="15" t="s">
        <x:v>2236</x:v>
      </x:c>
      <x:c r="P10" s="15">
        <x:v>1.2</x:v>
      </x:c>
      <x:c r="Q10" s="15" t="s">
        <x:v>17</x:v>
      </x:c>
      <x:c r="R10" s="15" t="s">
        <x:v>2048</x:v>
      </x:c>
      <x:c r="S10" s="15" t="s">
        <x:v>2030</x:v>
      </x:c>
    </x:row>
    <x:row r="11" ht="14.25" customHeight="1">
      <x:c r="A11" s="15" t="s">
        <x:v>2237</x:v>
      </x:c>
      <x:c r="B11" s="15" t="s">
        <x:v>2215</x:v>
      </x:c>
      <x:c r="C11" s="15">
        <x:v>0.0</x:v>
      </x:c>
      <x:c r="D11" s="15">
        <x:v>0.0</x:v>
      </x:c>
      <x:c r="E11" s="15">
        <x:v>0.0</x:v>
      </x:c>
      <x:c r="F11" s="15">
        <x:v>3.0</x:v>
      </x:c>
      <x:c r="G11" s="15">
        <x:v>0.0</x:v>
      </x:c>
      <x:c r="H11" s="15">
        <x:v>0.0</x:v>
      </x:c>
      <x:c r="I11" s="15">
        <x:v>0.0</x:v>
      </x:c>
      <x:c r="J11" s="15">
        <x:v>0.9</x:v>
      </x:c>
      <x:c r="K11" s="15">
        <x:v>0.0</x:v>
      </x:c>
      <x:c r="L11" s="15">
        <x:v>0.0</x:v>
      </x:c>
      <x:c r="M11" s="15">
        <x:v>0.0</x:v>
      </x:c>
      <x:c r="N11" s="15">
        <x:v>0.66</x:v>
      </x:c>
      <x:c r="O11" s="15" t="s">
        <x:v>2238</x:v>
      </x:c>
      <x:c r="P11" s="15">
        <x:v>1.35</x:v>
      </x:c>
      <x:c r="Q11" s="15" t="s">
        <x:v>17</x:v>
      </x:c>
      <x:c r="R11" s="15" t="s">
        <x:v>2026</x:v>
      </x:c>
      <x:c r="S11" s="15" t="s">
        <x:v>2027</x:v>
      </x:c>
    </x:row>
    <x:row r="12" ht="14.25" customHeight="1">
      <x:c r="A12" s="15" t="s">
        <x:v>2239</x:v>
      </x:c>
      <x:c r="B12" s="15" t="s">
        <x:v>269</x:v>
      </x:c>
      <x:c r="C12" s="15">
        <x:v>0.0</x:v>
      </x:c>
      <x:c r="D12" s="15">
        <x:v>0.0</x:v>
      </x:c>
      <x:c r="E12" s="15">
        <x:v>0.0</x:v>
      </x:c>
      <x:c r="F12" s="15">
        <x:v>2.0</x:v>
      </x:c>
      <x:c r="G12" s="15">
        <x:v>0.0</x:v>
      </x:c>
      <x:c r="H12" s="15">
        <x:v>1.0</x:v>
      </x:c>
      <x:c r="I12" s="15">
        <x:v>0.0</x:v>
      </x:c>
      <x:c r="J12" s="15">
        <x:v>0.9</x:v>
      </x:c>
      <x:c r="K12" s="15">
        <x:v>0.0</x:v>
      </x:c>
      <x:c r="L12" s="15">
        <x:v>0.0</x:v>
      </x:c>
      <x:c r="M12" s="15">
        <x:v>0.0</x:v>
      </x:c>
      <x:c r="N12" s="15">
        <x:v>0.66</x:v>
      </x:c>
      <x:c r="O12" s="15" t="s">
        <x:v>2240</x:v>
      </x:c>
      <x:c r="P12" s="15">
        <x:v>1.35</x:v>
      </x:c>
      <x:c r="Q12" s="15" t="s">
        <x:v>17</x:v>
      </x:c>
      <x:c r="R12" s="15" t="s">
        <x:v>2026</x:v>
      </x:c>
      <x:c r="S12" s="15" t="s">
        <x:v>2030</x:v>
      </x:c>
    </x:row>
    <x:row r="13" ht="14.25" customHeight="1">
      <x:c r="A13" s="15" t="s">
        <x:v>2241</x:v>
      </x:c>
      <x:c r="B13" s="15" t="s">
        <x:v>2242</x:v>
      </x:c>
      <x:c r="C13" s="15">
        <x:v>0.0</x:v>
      </x:c>
      <x:c r="D13" s="15">
        <x:v>0.0</x:v>
      </x:c>
      <x:c r="E13" s="15">
        <x:v>0.0</x:v>
      </x:c>
      <x:c r="F13" s="15">
        <x:v>3.0</x:v>
      </x:c>
      <x:c r="G13" s="15">
        <x:v>0.0</x:v>
      </x:c>
      <x:c r="H13" s="15">
        <x:v>1.0</x:v>
      </x:c>
      <x:c r="I13" s="15">
        <x:v>0.0</x:v>
      </x:c>
      <x:c r="J13" s="15">
        <x:v>0.9</x:v>
      </x:c>
      <x:c r="K13" s="15">
        <x:v>0.0</x:v>
      </x:c>
      <x:c r="L13" s="15">
        <x:v>0.0</x:v>
      </x:c>
      <x:c r="M13" s="15">
        <x:v>0.0</x:v>
      </x:c>
      <x:c r="N13" s="15">
        <x:v>0.66</x:v>
      </x:c>
      <x:c r="O13" s="15" t="s">
        <x:v>2243</x:v>
      </x:c>
      <x:c r="P13" s="15">
        <x:v>1.35</x:v>
      </x:c>
      <x:c r="Q13" s="15" t="s">
        <x:v>17</x:v>
      </x:c>
      <x:c r="R13" s="15" t="s">
        <x:v>2034</x:v>
      </x:c>
      <x:c r="S13" s="15" t="s">
        <x:v>2027</x:v>
      </x:c>
    </x:row>
    <x:row r="14" ht="14.25" customHeight="1">
      <x:c r="A14" s="15" t="s">
        <x:v>2244</x:v>
      </x:c>
      <x:c r="B14" s="15" t="s">
        <x:v>2245</x:v>
      </x:c>
      <x:c r="C14" s="15">
        <x:v>0.0</x:v>
      </x:c>
      <x:c r="D14" s="15">
        <x:v>0.0</x:v>
      </x:c>
      <x:c r="E14" s="15">
        <x:v>0.0</x:v>
      </x:c>
      <x:c r="F14" s="15">
        <x:v>2.0</x:v>
      </x:c>
      <x:c r="G14" s="15">
        <x:v>0.0</x:v>
      </x:c>
      <x:c r="H14" s="15">
        <x:v>2.0</x:v>
      </x:c>
      <x:c r="I14" s="15">
        <x:v>0.0</x:v>
      </x:c>
      <x:c r="J14" s="15">
        <x:v>0.9</x:v>
      </x:c>
      <x:c r="K14" s="15">
        <x:v>0.0</x:v>
      </x:c>
      <x:c r="L14" s="15">
        <x:v>0.0</x:v>
      </x:c>
      <x:c r="M14" s="15">
        <x:v>0.0</x:v>
      </x:c>
      <x:c r="N14" s="15">
        <x:v>0.66</x:v>
      </x:c>
      <x:c r="O14" s="15" t="s">
        <x:v>2246</x:v>
      </x:c>
      <x:c r="P14" s="15">
        <x:v>1.35</x:v>
      </x:c>
      <x:c r="Q14" s="15" t="s">
        <x:v>17</x:v>
      </x:c>
      <x:c r="R14" s="15" t="s">
        <x:v>2034</x:v>
      </x:c>
      <x:c r="S14" s="15" t="s">
        <x:v>2030</x:v>
      </x:c>
    </x:row>
    <x:row r="15" ht="14.25" customHeight="1">
      <x:c r="A15" s="15" t="s">
        <x:v>2247</x:v>
      </x:c>
      <x:c r="B15" s="15" t="s">
        <x:v>2248</x:v>
      </x:c>
      <x:c r="C15" s="15">
        <x:v>0.0</x:v>
      </x:c>
      <x:c r="D15" s="15">
        <x:v>0.0</x:v>
      </x:c>
      <x:c r="E15" s="15">
        <x:v>0.0</x:v>
      </x:c>
      <x:c r="F15" s="15">
        <x:v>3.0</x:v>
      </x:c>
      <x:c r="G15" s="15">
        <x:v>1.0</x:v>
      </x:c>
      <x:c r="H15" s="15">
        <x:v>2.0</x:v>
      </x:c>
      <x:c r="I15" s="15">
        <x:v>0.0</x:v>
      </x:c>
      <x:c r="J15" s="15">
        <x:v>0.9</x:v>
      </x:c>
      <x:c r="K15" s="15">
        <x:v>0.0</x:v>
      </x:c>
      <x:c r="L15" s="15">
        <x:v>0.0</x:v>
      </x:c>
      <x:c r="M15" s="15">
        <x:v>0.0</x:v>
      </x:c>
      <x:c r="N15" s="15">
        <x:v>0.66</x:v>
      </x:c>
      <x:c r="O15" s="15" t="s">
        <x:v>2249</x:v>
      </x:c>
      <x:c r="P15" s="15">
        <x:v>1.35</x:v>
      </x:c>
      <x:c r="Q15" s="15" t="s">
        <x:v>17</x:v>
      </x:c>
      <x:c r="R15" s="15" t="s">
        <x:v>2041</x:v>
      </x:c>
      <x:c r="S15" s="15" t="s">
        <x:v>2027</x:v>
      </x:c>
    </x:row>
    <x:row r="16" ht="14.25" customHeight="1">
      <x:c r="A16" s="15" t="s">
        <x:v>2250</x:v>
      </x:c>
      <x:c r="B16" s="15" t="s">
        <x:v>2251</x:v>
      </x:c>
      <x:c r="C16" s="15">
        <x:v>0.0</x:v>
      </x:c>
      <x:c r="D16" s="15">
        <x:v>0.0</x:v>
      </x:c>
      <x:c r="E16" s="15">
        <x:v>0.0</x:v>
      </x:c>
      <x:c r="F16" s="15">
        <x:v>4.0</x:v>
      </x:c>
      <x:c r="G16" s="15">
        <x:v>0.0</x:v>
      </x:c>
      <x:c r="H16" s="15">
        <x:v>2.0</x:v>
      </x:c>
      <x:c r="I16" s="15">
        <x:v>0.0</x:v>
      </x:c>
      <x:c r="J16" s="15">
        <x:v>0.9</x:v>
      </x:c>
      <x:c r="K16" s="15">
        <x:v>0.0</x:v>
      </x:c>
      <x:c r="L16" s="15">
        <x:v>0.0</x:v>
      </x:c>
      <x:c r="M16" s="15">
        <x:v>0.0</x:v>
      </x:c>
      <x:c r="N16" s="15">
        <x:v>0.66</x:v>
      </x:c>
      <x:c r="O16" s="15" t="s">
        <x:v>2252</x:v>
      </x:c>
      <x:c r="P16" s="15">
        <x:v>1.35</x:v>
      </x:c>
      <x:c r="Q16" s="15" t="s">
        <x:v>17</x:v>
      </x:c>
      <x:c r="R16" s="15" t="s">
        <x:v>2041</x:v>
      </x:c>
      <x:c r="S16" s="15" t="s">
        <x:v>2030</x:v>
      </x:c>
    </x:row>
    <x:row r="17" ht="14.25" customHeight="1">
      <x:c r="A17" s="15" t="s">
        <x:v>2253</x:v>
      </x:c>
      <x:c r="B17" s="15" t="s">
        <x:v>2254</x:v>
      </x:c>
      <x:c r="C17" s="15">
        <x:v>0.0</x:v>
      </x:c>
      <x:c r="D17" s="15">
        <x:v>0.0</x:v>
      </x:c>
      <x:c r="E17" s="15">
        <x:v>0.0</x:v>
      </x:c>
      <x:c r="F17" s="15">
        <x:v>4.0</x:v>
      </x:c>
      <x:c r="G17" s="15">
        <x:v>2.0</x:v>
      </x:c>
      <x:c r="H17" s="15">
        <x:v>2.0</x:v>
      </x:c>
      <x:c r="I17" s="15">
        <x:v>0.0</x:v>
      </x:c>
      <x:c r="J17" s="15">
        <x:v>0.9</x:v>
      </x:c>
      <x:c r="K17" s="15">
        <x:v>0.0</x:v>
      </x:c>
      <x:c r="L17" s="15">
        <x:v>0.0</x:v>
      </x:c>
      <x:c r="M17" s="15">
        <x:v>0.0</x:v>
      </x:c>
      <x:c r="N17" s="15">
        <x:v>0.66</x:v>
      </x:c>
      <x:c r="O17" s="15" t="s">
        <x:v>2255</x:v>
      </x:c>
      <x:c r="P17" s="15">
        <x:v>1.35</x:v>
      </x:c>
      <x:c r="Q17" s="15" t="s">
        <x:v>17</x:v>
      </x:c>
      <x:c r="R17" s="15" t="s">
        <x:v>2048</x:v>
      </x:c>
      <x:c r="S17" s="15" t="s">
        <x:v>2027</x:v>
      </x:c>
    </x:row>
    <x:row r="18" ht="14.25" customHeight="1">
      <x:c r="A18" s="15" t="s">
        <x:v>2256</x:v>
      </x:c>
      <x:c r="B18" s="15" t="s">
        <x:v>2257</x:v>
      </x:c>
      <x:c r="C18" s="15">
        <x:v>0.0</x:v>
      </x:c>
      <x:c r="D18" s="15">
        <x:v>0.0</x:v>
      </x:c>
      <x:c r="E18" s="15">
        <x:v>0.0</x:v>
      </x:c>
      <x:c r="F18" s="15">
        <x:v>4.0</x:v>
      </x:c>
      <x:c r="G18" s="15">
        <x:v>1.0</x:v>
      </x:c>
      <x:c r="H18" s="15">
        <x:v>3.0</x:v>
      </x:c>
      <x:c r="I18" s="15">
        <x:v>0.0</x:v>
      </x:c>
      <x:c r="J18" s="15">
        <x:v>0.9</x:v>
      </x:c>
      <x:c r="K18" s="15">
        <x:v>0.0</x:v>
      </x:c>
      <x:c r="L18" s="15">
        <x:v>0.0</x:v>
      </x:c>
      <x:c r="M18" s="15">
        <x:v>0.0</x:v>
      </x:c>
      <x:c r="N18" s="15">
        <x:v>0.66</x:v>
      </x:c>
      <x:c r="O18" s="15" t="s">
        <x:v>2258</x:v>
      </x:c>
      <x:c r="P18" s="15">
        <x:v>1.35</x:v>
      </x:c>
      <x:c r="Q18" s="15" t="s">
        <x:v>17</x:v>
      </x:c>
      <x:c r="R18" s="15" t="s">
        <x:v>2048</x:v>
      </x:c>
      <x:c r="S18" s="15" t="s">
        <x:v>2030</x:v>
      </x:c>
    </x:row>
    <x:row r="19" ht="14.25" customHeight="1">
      <x:c r="A19" s="15" t="s">
        <x:v>2259</x:v>
      </x:c>
      <x:c r="B19" s="15" t="s">
        <x:v>2215</x:v>
      </x:c>
      <x:c r="C19" s="15">
        <x:v>0.0</x:v>
      </x:c>
      <x:c r="D19" s="15">
        <x:v>0.0</x:v>
      </x:c>
      <x:c r="E19" s="15">
        <x:v>0.0</x:v>
      </x:c>
      <x:c r="F19" s="15">
        <x:v>3.0</x:v>
      </x:c>
      <x:c r="G19" s="15">
        <x:v>0.0</x:v>
      </x:c>
      <x:c r="H19" s="15">
        <x:v>0.0</x:v>
      </x:c>
      <x:c r="I19" s="15">
        <x:v>0.0</x:v>
      </x:c>
      <x:c r="J19" s="15">
        <x:v>1.0</x:v>
      </x:c>
      <x:c r="K19" s="15">
        <x:v>0.0</x:v>
      </x:c>
      <x:c r="L19" s="15">
        <x:v>0.0</x:v>
      </x:c>
      <x:c r="M19" s="15">
        <x:v>0.0</x:v>
      </x:c>
      <x:c r="N19" s="15">
        <x:v>0.64</x:v>
      </x:c>
      <x:c r="O19" s="15" t="s">
        <x:v>2260</x:v>
      </x:c>
      <x:c r="P19" s="15">
        <x:v>1.3</x:v>
      </x:c>
      <x:c r="Q19" s="15" t="s">
        <x:v>17</x:v>
      </x:c>
      <x:c r="R19" s="15" t="s">
        <x:v>2026</x:v>
      </x:c>
      <x:c r="S19" s="15" t="s">
        <x:v>2027</x:v>
      </x:c>
    </x:row>
    <x:row r="20" ht="14.25" customHeight="1">
      <x:c r="A20" s="15" t="s">
        <x:v>2261</x:v>
      </x:c>
      <x:c r="B20" s="15" t="s">
        <x:v>261</x:v>
      </x:c>
      <x:c r="C20" s="15">
        <x:v>0.0</x:v>
      </x:c>
      <x:c r="D20" s="15">
        <x:v>1.0</x:v>
      </x:c>
      <x:c r="E20" s="15">
        <x:v>0.0</x:v>
      </x:c>
      <x:c r="F20" s="15">
        <x:v>2.0</x:v>
      </x:c>
      <x:c r="G20" s="15">
        <x:v>0.0</x:v>
      </x:c>
      <x:c r="H20" s="15">
        <x:v>0.0</x:v>
      </x:c>
      <x:c r="I20" s="15">
        <x:v>0.0</x:v>
      </x:c>
      <x:c r="J20" s="15">
        <x:v>1.0</x:v>
      </x:c>
      <x:c r="K20" s="15">
        <x:v>0.0</x:v>
      </x:c>
      <x:c r="L20" s="15">
        <x:v>0.0</x:v>
      </x:c>
      <x:c r="M20" s="15">
        <x:v>0.0</x:v>
      </x:c>
      <x:c r="N20" s="15">
        <x:v>0.64</x:v>
      </x:c>
      <x:c r="O20" s="15" t="s">
        <x:v>2262</x:v>
      </x:c>
      <x:c r="P20" s="15">
        <x:v>1.3</x:v>
      </x:c>
      <x:c r="Q20" s="15" t="s">
        <x:v>17</x:v>
      </x:c>
      <x:c r="R20" s="15" t="s">
        <x:v>2026</x:v>
      </x:c>
      <x:c r="S20" s="15" t="s">
        <x:v>2030</x:v>
      </x:c>
    </x:row>
    <x:row r="21" ht="15.75" customHeight="1">
      <x:c r="A21" s="15" t="s">
        <x:v>2263</x:v>
      </x:c>
      <x:c r="B21" s="15" t="s">
        <x:v>2264</x:v>
      </x:c>
      <x:c r="C21" s="15">
        <x:v>0.0</x:v>
      </x:c>
      <x:c r="D21" s="15">
        <x:v>1.0</x:v>
      </x:c>
      <x:c r="E21" s="15">
        <x:v>0.0</x:v>
      </x:c>
      <x:c r="F21" s="15">
        <x:v>3.0</x:v>
      </x:c>
      <x:c r="G21" s="15">
        <x:v>0.0</x:v>
      </x:c>
      <x:c r="H21" s="15">
        <x:v>0.0</x:v>
      </x:c>
      <x:c r="I21" s="15">
        <x:v>0.0</x:v>
      </x:c>
      <x:c r="J21" s="15">
        <x:v>1.0</x:v>
      </x:c>
      <x:c r="K21" s="15">
        <x:v>0.0</x:v>
      </x:c>
      <x:c r="L21" s="15">
        <x:v>0.0</x:v>
      </x:c>
      <x:c r="M21" s="15">
        <x:v>0.0</x:v>
      </x:c>
      <x:c r="N21" s="15">
        <x:v>0.64</x:v>
      </x:c>
      <x:c r="O21" s="15" t="s">
        <x:v>2265</x:v>
      </x:c>
      <x:c r="P21" s="15">
        <x:v>1.3</x:v>
      </x:c>
      <x:c r="Q21" s="15" t="s">
        <x:v>17</x:v>
      </x:c>
      <x:c r="R21" s="15" t="s">
        <x:v>2034</x:v>
      </x:c>
      <x:c r="S21" s="15" t="s">
        <x:v>2027</x:v>
      </x:c>
    </x:row>
    <x:row r="22" ht="15.75" customHeight="1">
      <x:c r="A22" s="15" t="s">
        <x:v>2266</x:v>
      </x:c>
      <x:c r="B22" s="15" t="s">
        <x:v>2267</x:v>
      </x:c>
      <x:c r="C22" s="15">
        <x:v>0.0</x:v>
      </x:c>
      <x:c r="D22" s="15">
        <x:v>2.0</x:v>
      </x:c>
      <x:c r="E22" s="15">
        <x:v>0.0</x:v>
      </x:c>
      <x:c r="F22" s="15">
        <x:v>2.0</x:v>
      </x:c>
      <x:c r="G22" s="15">
        <x:v>0.0</x:v>
      </x:c>
      <x:c r="H22" s="15">
        <x:v>0.0</x:v>
      </x:c>
      <x:c r="I22" s="15">
        <x:v>0.0</x:v>
      </x:c>
      <x:c r="J22" s="15">
        <x:v>1.0</x:v>
      </x:c>
      <x:c r="K22" s="15">
        <x:v>0.0</x:v>
      </x:c>
      <x:c r="L22" s="15">
        <x:v>0.0</x:v>
      </x:c>
      <x:c r="M22" s="15">
        <x:v>0.0</x:v>
      </x:c>
      <x:c r="N22" s="15">
        <x:v>0.64</x:v>
      </x:c>
      <x:c r="O22" s="15" t="s">
        <x:v>2268</x:v>
      </x:c>
      <x:c r="P22" s="15">
        <x:v>1.3</x:v>
      </x:c>
      <x:c r="Q22" s="15" t="s">
        <x:v>17</x:v>
      </x:c>
      <x:c r="R22" s="15" t="s">
        <x:v>2034</x:v>
      </x:c>
      <x:c r="S22" s="15" t="s">
        <x:v>2030</x:v>
      </x:c>
    </x:row>
    <x:row r="23" ht="15.75" customHeight="1">
      <x:c r="A23" s="15" t="s">
        <x:v>2269</x:v>
      </x:c>
      <x:c r="B23" s="15" t="s">
        <x:v>2270</x:v>
      </x:c>
      <x:c r="C23" s="15">
        <x:v>0.0</x:v>
      </x:c>
      <x:c r="D23" s="15">
        <x:v>2.0</x:v>
      </x:c>
      <x:c r="E23" s="15">
        <x:v>0.0</x:v>
      </x:c>
      <x:c r="F23" s="15">
        <x:v>3.0</x:v>
      </x:c>
      <x:c r="G23" s="15">
        <x:v>1.0</x:v>
      </x:c>
      <x:c r="H23" s="15">
        <x:v>0.0</x:v>
      </x:c>
      <x:c r="I23" s="15">
        <x:v>0.0</x:v>
      </x:c>
      <x:c r="J23" s="15">
        <x:v>1.0</x:v>
      </x:c>
      <x:c r="K23" s="15">
        <x:v>0.0</x:v>
      </x:c>
      <x:c r="L23" s="15">
        <x:v>0.0</x:v>
      </x:c>
      <x:c r="M23" s="15">
        <x:v>0.0</x:v>
      </x:c>
      <x:c r="N23" s="15">
        <x:v>0.64</x:v>
      </x:c>
      <x:c r="O23" s="15" t="s">
        <x:v>2271</x:v>
      </x:c>
      <x:c r="P23" s="15">
        <x:v>1.3</x:v>
      </x:c>
      <x:c r="Q23" s="15" t="s">
        <x:v>17</x:v>
      </x:c>
      <x:c r="R23" s="15" t="s">
        <x:v>2041</x:v>
      </x:c>
      <x:c r="S23" s="15" t="s">
        <x:v>2027</x:v>
      </x:c>
    </x:row>
    <x:row r="24" ht="15.75" customHeight="1">
      <x:c r="A24" s="15" t="s">
        <x:v>2272</x:v>
      </x:c>
      <x:c r="B24" s="15" t="s">
        <x:v>2273</x:v>
      </x:c>
      <x:c r="C24" s="15">
        <x:v>0.0</x:v>
      </x:c>
      <x:c r="D24" s="15">
        <x:v>2.0</x:v>
      </x:c>
      <x:c r="E24" s="15">
        <x:v>0.0</x:v>
      </x:c>
      <x:c r="F24" s="15">
        <x:v>4.0</x:v>
      </x:c>
      <x:c r="G24" s="15">
        <x:v>0.0</x:v>
      </x:c>
      <x:c r="H24" s="15">
        <x:v>0.0</x:v>
      </x:c>
      <x:c r="I24" s="15">
        <x:v>0.0</x:v>
      </x:c>
      <x:c r="J24" s="15">
        <x:v>1.0</x:v>
      </x:c>
      <x:c r="K24" s="15">
        <x:v>0.0</x:v>
      </x:c>
      <x:c r="L24" s="15">
        <x:v>0.0</x:v>
      </x:c>
      <x:c r="M24" s="15">
        <x:v>0.0</x:v>
      </x:c>
      <x:c r="N24" s="15">
        <x:v>0.64</x:v>
      </x:c>
      <x:c r="O24" s="15" t="s">
        <x:v>2274</x:v>
      </x:c>
      <x:c r="P24" s="15">
        <x:v>1.3</x:v>
      </x:c>
      <x:c r="Q24" s="15" t="s">
        <x:v>17</x:v>
      </x:c>
      <x:c r="R24" s="15" t="s">
        <x:v>2041</x:v>
      </x:c>
      <x:c r="S24" s="15" t="s">
        <x:v>2030</x:v>
      </x:c>
    </x:row>
    <x:row r="25" ht="15.75" customHeight="1">
      <x:c r="A25" s="15" t="s">
        <x:v>2275</x:v>
      </x:c>
      <x:c r="B25" s="15" t="s">
        <x:v>2276</x:v>
      </x:c>
      <x:c r="C25" s="15">
        <x:v>0.0</x:v>
      </x:c>
      <x:c r="D25" s="15">
        <x:v>2.0</x:v>
      </x:c>
      <x:c r="E25" s="15">
        <x:v>0.0</x:v>
      </x:c>
      <x:c r="F25" s="15">
        <x:v>4.0</x:v>
      </x:c>
      <x:c r="G25" s="15">
        <x:v>2.0</x:v>
      </x:c>
      <x:c r="H25" s="15">
        <x:v>0.0</x:v>
      </x:c>
      <x:c r="I25" s="15">
        <x:v>0.0</x:v>
      </x:c>
      <x:c r="J25" s="15">
        <x:v>1.0</x:v>
      </x:c>
      <x:c r="K25" s="15">
        <x:v>0.0</x:v>
      </x:c>
      <x:c r="L25" s="15">
        <x:v>0.0</x:v>
      </x:c>
      <x:c r="M25" s="15">
        <x:v>0.0</x:v>
      </x:c>
      <x:c r="N25" s="15">
        <x:v>0.64</x:v>
      </x:c>
      <x:c r="O25" s="15" t="s">
        <x:v>2277</x:v>
      </x:c>
      <x:c r="P25" s="15">
        <x:v>1.3</x:v>
      </x:c>
      <x:c r="Q25" s="15" t="s">
        <x:v>17</x:v>
      </x:c>
      <x:c r="R25" s="15" t="s">
        <x:v>2048</x:v>
      </x:c>
      <x:c r="S25" s="15" t="s">
        <x:v>2027</x:v>
      </x:c>
    </x:row>
    <x:row r="26" ht="15.75" customHeight="1">
      <x:c r="A26" s="15" t="s">
        <x:v>2278</x:v>
      </x:c>
      <x:c r="B26" s="15" t="s">
        <x:v>2279</x:v>
      </x:c>
      <x:c r="C26" s="15">
        <x:v>0.0</x:v>
      </x:c>
      <x:c r="D26" s="15">
        <x:v>3.0</x:v>
      </x:c>
      <x:c r="E26" s="15">
        <x:v>0.0</x:v>
      </x:c>
      <x:c r="F26" s="15">
        <x:v>4.0</x:v>
      </x:c>
      <x:c r="G26" s="15">
        <x:v>1.0</x:v>
      </x:c>
      <x:c r="H26" s="15">
        <x:v>0.0</x:v>
      </x:c>
      <x:c r="I26" s="15">
        <x:v>0.0</x:v>
      </x:c>
      <x:c r="J26" s="15">
        <x:v>1.0</x:v>
      </x:c>
      <x:c r="K26" s="15">
        <x:v>0.0</x:v>
      </x:c>
      <x:c r="L26" s="15">
        <x:v>0.0</x:v>
      </x:c>
      <x:c r="M26" s="15">
        <x:v>0.0</x:v>
      </x:c>
      <x:c r="N26" s="15">
        <x:v>0.64</x:v>
      </x:c>
      <x:c r="O26" s="15" t="s">
        <x:v>2280</x:v>
      </x:c>
      <x:c r="P26" s="15">
        <x:v>1.3</x:v>
      </x:c>
      <x:c r="Q26" s="15" t="s">
        <x:v>17</x:v>
      </x:c>
      <x:c r="R26" s="15" t="s">
        <x:v>2048</x:v>
      </x:c>
      <x:c r="S26" s="15" t="s">
        <x:v>2030</x:v>
      </x:c>
    </x:row>
    <x:row r="27" ht="15.75" customHeight="1">
      <x:c r="A27" s="15" t="s">
        <x:v>2281</x:v>
      </x:c>
      <x:c r="B27" s="15" t="s">
        <x:v>2282</x:v>
      </x:c>
      <x:c r="C27" s="15">
        <x:v>0.0</x:v>
      </x:c>
      <x:c r="D27" s="15">
        <x:v>0.0</x:v>
      </x:c>
      <x:c r="E27" s="15">
        <x:v>0.0</x:v>
      </x:c>
      <x:c r="F27" s="15">
        <x:v>0.0</x:v>
      </x:c>
      <x:c r="G27" s="15">
        <x:v>3.0</x:v>
      </x:c>
      <x:c r="H27" s="15">
        <x:v>0.0</x:v>
      </x:c>
      <x:c r="I27" s="15">
        <x:v>0.0</x:v>
      </x:c>
      <x:c r="J27" s="15">
        <x:v>1.0</x:v>
      </x:c>
      <x:c r="K27" s="15">
        <x:v>0.0</x:v>
      </x:c>
      <x:c r="L27" s="15">
        <x:v>0.0</x:v>
      </x:c>
      <x:c r="M27" s="15">
        <x:v>0.0</x:v>
      </x:c>
      <x:c r="N27" s="15">
        <x:v>0.7</x:v>
      </x:c>
      <x:c r="O27" s="15" t="s">
        <x:v>2283</x:v>
      </x:c>
      <x:c r="P27" s="15">
        <x:v>1.1</x:v>
      </x:c>
      <x:c r="Q27" s="15" t="s">
        <x:v>21</x:v>
      </x:c>
      <x:c r="R27" s="15" t="s">
        <x:v>2026</x:v>
      </x:c>
      <x:c r="S27" s="15" t="s">
        <x:v>2027</x:v>
      </x:c>
    </x:row>
    <x:row r="28" ht="15.75" customHeight="1">
      <x:c r="A28" s="15" t="s">
        <x:v>2284</x:v>
      </x:c>
      <x:c r="B28" s="15" t="s">
        <x:v>286</x:v>
      </x:c>
      <x:c r="C28" s="15">
        <x:v>0.0</x:v>
      </x:c>
      <x:c r="D28" s="15">
        <x:v>1.0</x:v>
      </x:c>
      <x:c r="E28" s="15">
        <x:v>0.0</x:v>
      </x:c>
      <x:c r="F28" s="15">
        <x:v>0.0</x:v>
      </x:c>
      <x:c r="G28" s="15">
        <x:v>2.0</x:v>
      </x:c>
      <x:c r="H28" s="15">
        <x:v>0.0</x:v>
      </x:c>
      <x:c r="I28" s="15">
        <x:v>0.0</x:v>
      </x:c>
      <x:c r="J28" s="15">
        <x:v>1.0</x:v>
      </x:c>
      <x:c r="K28" s="15">
        <x:v>0.0</x:v>
      </x:c>
      <x:c r="L28" s="15">
        <x:v>0.0</x:v>
      </x:c>
      <x:c r="M28" s="15">
        <x:v>0.0</x:v>
      </x:c>
      <x:c r="N28" s="15">
        <x:v>0.7</x:v>
      </x:c>
      <x:c r="O28" s="15" t="s">
        <x:v>2285</x:v>
      </x:c>
      <x:c r="P28" s="15">
        <x:v>1.1</x:v>
      </x:c>
      <x:c r="Q28" s="15" t="s">
        <x:v>21</x:v>
      </x:c>
      <x:c r="R28" s="15" t="s">
        <x:v>2026</x:v>
      </x:c>
      <x:c r="S28" s="15" t="s">
        <x:v>2030</x:v>
      </x:c>
    </x:row>
    <x:row r="29" ht="15.75" customHeight="1">
      <x:c r="A29" s="15" t="s">
        <x:v>2286</x:v>
      </x:c>
      <x:c r="B29" s="15" t="s">
        <x:v>2287</x:v>
      </x:c>
      <x:c r="C29" s="15">
        <x:v>0.0</x:v>
      </x:c>
      <x:c r="D29" s="15">
        <x:v>1.0</x:v>
      </x:c>
      <x:c r="E29" s="15">
        <x:v>0.0</x:v>
      </x:c>
      <x:c r="F29" s="15">
        <x:v>0.0</x:v>
      </x:c>
      <x:c r="G29" s="15">
        <x:v>3.0</x:v>
      </x:c>
      <x:c r="H29" s="15">
        <x:v>0.0</x:v>
      </x:c>
      <x:c r="I29" s="15">
        <x:v>0.0</x:v>
      </x:c>
      <x:c r="J29" s="15">
        <x:v>1.0</x:v>
      </x:c>
      <x:c r="K29" s="15">
        <x:v>0.0</x:v>
      </x:c>
      <x:c r="L29" s="15">
        <x:v>0.0</x:v>
      </x:c>
      <x:c r="M29" s="15">
        <x:v>0.0</x:v>
      </x:c>
      <x:c r="N29" s="15">
        <x:v>0.7</x:v>
      </x:c>
      <x:c r="O29" s="15" t="s">
        <x:v>2288</x:v>
      </x:c>
      <x:c r="P29" s="15">
        <x:v>1.1</x:v>
      </x:c>
      <x:c r="Q29" s="15" t="s">
        <x:v>21</x:v>
      </x:c>
      <x:c r="R29" s="15" t="s">
        <x:v>2034</x:v>
      </x:c>
      <x:c r="S29" s="15" t="s">
        <x:v>2027</x:v>
      </x:c>
    </x:row>
    <x:row r="30" ht="15.75" customHeight="1">
      <x:c r="A30" s="15" t="s">
        <x:v>2289</x:v>
      </x:c>
      <x:c r="B30" s="15" t="s">
        <x:v>2290</x:v>
      </x:c>
      <x:c r="C30" s="15">
        <x:v>0.0</x:v>
      </x:c>
      <x:c r="D30" s="15">
        <x:v>2.0</x:v>
      </x:c>
      <x:c r="E30" s="15">
        <x:v>0.0</x:v>
      </x:c>
      <x:c r="F30" s="15">
        <x:v>0.0</x:v>
      </x:c>
      <x:c r="G30" s="15">
        <x:v>2.0</x:v>
      </x:c>
      <x:c r="H30" s="15">
        <x:v>0.0</x:v>
      </x:c>
      <x:c r="I30" s="15">
        <x:v>0.0</x:v>
      </x:c>
      <x:c r="J30" s="15">
        <x:v>1.0</x:v>
      </x:c>
      <x:c r="K30" s="15">
        <x:v>0.0</x:v>
      </x:c>
      <x:c r="L30" s="15">
        <x:v>0.0</x:v>
      </x:c>
      <x:c r="M30" s="15">
        <x:v>0.0</x:v>
      </x:c>
      <x:c r="N30" s="15">
        <x:v>0.7</x:v>
      </x:c>
      <x:c r="O30" s="15" t="s">
        <x:v>2291</x:v>
      </x:c>
      <x:c r="P30" s="15">
        <x:v>1.1</x:v>
      </x:c>
      <x:c r="Q30" s="15" t="s">
        <x:v>21</x:v>
      </x:c>
      <x:c r="R30" s="15" t="s">
        <x:v>2034</x:v>
      </x:c>
      <x:c r="S30" s="15" t="s">
        <x:v>2030</x:v>
      </x:c>
    </x:row>
    <x:row r="31" ht="15.75" customHeight="1">
      <x:c r="A31" s="15" t="s">
        <x:v>2292</x:v>
      </x:c>
      <x:c r="B31" s="15" t="s">
        <x:v>2293</x:v>
      </x:c>
      <x:c r="C31" s="15">
        <x:v>0.0</x:v>
      </x:c>
      <x:c r="D31" s="15">
        <x:v>2.0</x:v>
      </x:c>
      <x:c r="E31" s="15">
        <x:v>1.0</x:v>
      </x:c>
      <x:c r="F31" s="15">
        <x:v>0.0</x:v>
      </x:c>
      <x:c r="G31" s="15">
        <x:v>3.0</x:v>
      </x:c>
      <x:c r="H31" s="15">
        <x:v>0.0</x:v>
      </x:c>
      <x:c r="I31" s="15">
        <x:v>0.0</x:v>
      </x:c>
      <x:c r="J31" s="15">
        <x:v>1.0</x:v>
      </x:c>
      <x:c r="K31" s="15">
        <x:v>0.0</x:v>
      </x:c>
      <x:c r="L31" s="15">
        <x:v>0.0</x:v>
      </x:c>
      <x:c r="M31" s="15">
        <x:v>0.0</x:v>
      </x:c>
      <x:c r="N31" s="15">
        <x:v>0.7</x:v>
      </x:c>
      <x:c r="O31" s="15" t="s">
        <x:v>2294</x:v>
      </x:c>
      <x:c r="P31" s="15">
        <x:v>1.1</x:v>
      </x:c>
      <x:c r="Q31" s="15" t="s">
        <x:v>21</x:v>
      </x:c>
      <x:c r="R31" s="15" t="s">
        <x:v>2041</x:v>
      </x:c>
      <x:c r="S31" s="15" t="s">
        <x:v>2027</x:v>
      </x:c>
    </x:row>
    <x:row r="32" ht="15.75" customHeight="1">
      <x:c r="A32" s="15" t="s">
        <x:v>2295</x:v>
      </x:c>
      <x:c r="B32" s="15" t="s">
        <x:v>2296</x:v>
      </x:c>
      <x:c r="C32" s="15">
        <x:v>0.0</x:v>
      </x:c>
      <x:c r="D32" s="15">
        <x:v>2.0</x:v>
      </x:c>
      <x:c r="E32" s="15">
        <x:v>0.0</x:v>
      </x:c>
      <x:c r="F32" s="15">
        <x:v>0.0</x:v>
      </x:c>
      <x:c r="G32" s="15">
        <x:v>4.0</x:v>
      </x:c>
      <x:c r="H32" s="15">
        <x:v>0.0</x:v>
      </x:c>
      <x:c r="I32" s="15">
        <x:v>0.0</x:v>
      </x:c>
      <x:c r="J32" s="15">
        <x:v>1.0</x:v>
      </x:c>
      <x:c r="K32" s="15">
        <x:v>0.0</x:v>
      </x:c>
      <x:c r="L32" s="15">
        <x:v>0.0</x:v>
      </x:c>
      <x:c r="M32" s="15">
        <x:v>0.0</x:v>
      </x:c>
      <x:c r="N32" s="15">
        <x:v>0.7</x:v>
      </x:c>
      <x:c r="O32" s="15" t="s">
        <x:v>2297</x:v>
      </x:c>
      <x:c r="P32" s="15">
        <x:v>1.1</x:v>
      </x:c>
      <x:c r="Q32" s="15" t="s">
        <x:v>21</x:v>
      </x:c>
      <x:c r="R32" s="15" t="s">
        <x:v>2041</x:v>
      </x:c>
      <x:c r="S32" s="15" t="s">
        <x:v>2030</x:v>
      </x:c>
    </x:row>
    <x:row r="33" ht="15.75" customHeight="1">
      <x:c r="A33" s="15" t="s">
        <x:v>2298</x:v>
      </x:c>
      <x:c r="B33" s="15" t="s">
        <x:v>2299</x:v>
      </x:c>
      <x:c r="C33" s="15">
        <x:v>0.0</x:v>
      </x:c>
      <x:c r="D33" s="15">
        <x:v>2.0</x:v>
      </x:c>
      <x:c r="E33" s="15">
        <x:v>2.0</x:v>
      </x:c>
      <x:c r="F33" s="15">
        <x:v>0.0</x:v>
      </x:c>
      <x:c r="G33" s="15">
        <x:v>4.0</x:v>
      </x:c>
      <x:c r="H33" s="15">
        <x:v>0.0</x:v>
      </x:c>
      <x:c r="I33" s="15">
        <x:v>0.0</x:v>
      </x:c>
      <x:c r="J33" s="15">
        <x:v>1.0</x:v>
      </x:c>
      <x:c r="K33" s="15">
        <x:v>0.0</x:v>
      </x:c>
      <x:c r="L33" s="15">
        <x:v>0.0</x:v>
      </x:c>
      <x:c r="M33" s="15">
        <x:v>0.0</x:v>
      </x:c>
      <x:c r="N33" s="15">
        <x:v>0.7</x:v>
      </x:c>
      <x:c r="O33" s="15" t="s">
        <x:v>2300</x:v>
      </x:c>
      <x:c r="P33" s="15">
        <x:v>1.1</x:v>
      </x:c>
      <x:c r="Q33" s="15" t="s">
        <x:v>21</x:v>
      </x:c>
      <x:c r="R33" s="15" t="s">
        <x:v>2048</x:v>
      </x:c>
      <x:c r="S33" s="15" t="s">
        <x:v>2027</x:v>
      </x:c>
    </x:row>
    <x:row r="34" ht="15.75" customHeight="1">
      <x:c r="A34" s="15" t="s">
        <x:v>2301</x:v>
      </x:c>
      <x:c r="B34" s="15" t="s">
        <x:v>2302</x:v>
      </x:c>
      <x:c r="C34" s="15">
        <x:v>0.0</x:v>
      </x:c>
      <x:c r="D34" s="15">
        <x:v>3.0</x:v>
      </x:c>
      <x:c r="E34" s="15">
        <x:v>1.0</x:v>
      </x:c>
      <x:c r="F34" s="15">
        <x:v>0.0</x:v>
      </x:c>
      <x:c r="G34" s="15">
        <x:v>4.0</x:v>
      </x:c>
      <x:c r="H34" s="15">
        <x:v>0.0</x:v>
      </x:c>
      <x:c r="I34" s="15">
        <x:v>0.0</x:v>
      </x:c>
      <x:c r="J34" s="15">
        <x:v>1.0</x:v>
      </x:c>
      <x:c r="K34" s="15">
        <x:v>0.0</x:v>
      </x:c>
      <x:c r="L34" s="15">
        <x:v>0.0</x:v>
      </x:c>
      <x:c r="M34" s="15">
        <x:v>0.0</x:v>
      </x:c>
      <x:c r="N34" s="15">
        <x:v>0.7</x:v>
      </x:c>
      <x:c r="O34" s="15" t="s">
        <x:v>2303</x:v>
      </x:c>
      <x:c r="P34" s="15">
        <x:v>1.1</x:v>
      </x:c>
      <x:c r="Q34" s="15" t="s">
        <x:v>21</x:v>
      </x:c>
      <x:c r="R34" s="15" t="s">
        <x:v>2048</x:v>
      </x:c>
      <x:c r="S34" s="15" t="s">
        <x:v>2030</x:v>
      </x:c>
    </x:row>
    <x:row r="35" ht="15.75" customHeight="1">
      <x:c r="A35" s="15" t="s">
        <x:v>2304</x:v>
      </x:c>
      <x:c r="B35" s="15" t="s">
        <x:v>2282</x:v>
      </x:c>
      <x:c r="C35" s="15">
        <x:v>0.0</x:v>
      </x:c>
      <x:c r="D35" s="15">
        <x:v>0.0</x:v>
      </x:c>
      <x:c r="E35" s="15">
        <x:v>0.0</x:v>
      </x:c>
      <x:c r="F35" s="15">
        <x:v>0.0</x:v>
      </x:c>
      <x:c r="G35" s="15">
        <x:v>3.0</x:v>
      </x:c>
      <x:c r="H35" s="15">
        <x:v>0.0</x:v>
      </x:c>
      <x:c r="I35" s="15">
        <x:v>0.0</x:v>
      </x:c>
      <x:c r="J35" s="15">
        <x:v>1.0</x:v>
      </x:c>
      <x:c r="K35" s="15">
        <x:v>0.0</x:v>
      </x:c>
      <x:c r="L35" s="15">
        <x:v>0.0</x:v>
      </x:c>
      <x:c r="M35" s="15">
        <x:v>0.0</x:v>
      </x:c>
      <x:c r="N35" s="15">
        <x:v>0.64</x:v>
      </x:c>
      <x:c r="O35" s="15" t="s">
        <x:v>2305</x:v>
      </x:c>
      <x:c r="P35" s="15">
        <x:v>1.3</x:v>
      </x:c>
      <x:c r="Q35" s="15" t="s">
        <x:v>21</x:v>
      </x:c>
      <x:c r="R35" s="15" t="s">
        <x:v>2026</x:v>
      </x:c>
      <x:c r="S35" s="15" t="s">
        <x:v>2027</x:v>
      </x:c>
    </x:row>
    <x:row r="36" ht="15.75" customHeight="1">
      <x:c r="A36" s="15" t="s">
        <x:v>2306</x:v>
      </x:c>
      <x:c r="B36" s="15" t="s">
        <x:v>2307</x:v>
      </x:c>
      <x:c r="C36" s="15">
        <x:v>0.0</x:v>
      </x:c>
      <x:c r="D36" s="15">
        <x:v>0.0</x:v>
      </x:c>
      <x:c r="E36" s="15">
        <x:v>0.0</x:v>
      </x:c>
      <x:c r="F36" s="15">
        <x:v>0.0</x:v>
      </x:c>
      <x:c r="G36" s="15">
        <x:v>2.0</x:v>
      </x:c>
      <x:c r="H36" s="15">
        <x:v>1.0</x:v>
      </x:c>
      <x:c r="I36" s="15">
        <x:v>0.0</x:v>
      </x:c>
      <x:c r="J36" s="15">
        <x:v>1.0</x:v>
      </x:c>
      <x:c r="K36" s="15">
        <x:v>0.0</x:v>
      </x:c>
      <x:c r="L36" s="15">
        <x:v>0.0</x:v>
      </x:c>
      <x:c r="M36" s="15">
        <x:v>0.0</x:v>
      </x:c>
      <x:c r="N36" s="15">
        <x:v>0.64</x:v>
      </x:c>
      <x:c r="O36" s="15" t="s">
        <x:v>2308</x:v>
      </x:c>
      <x:c r="P36" s="15">
        <x:v>1.3</x:v>
      </x:c>
      <x:c r="Q36" s="15" t="s">
        <x:v>21</x:v>
      </x:c>
      <x:c r="R36" s="15" t="s">
        <x:v>2026</x:v>
      </x:c>
      <x:c r="S36" s="15" t="s">
        <x:v>2030</x:v>
      </x:c>
    </x:row>
    <x:row r="37" ht="15.75" customHeight="1">
      <x:c r="A37" s="15" t="s">
        <x:v>2309</x:v>
      </x:c>
      <x:c r="B37" s="15" t="s">
        <x:v>2310</x:v>
      </x:c>
      <x:c r="C37" s="15">
        <x:v>0.0</x:v>
      </x:c>
      <x:c r="D37" s="15">
        <x:v>0.0</x:v>
      </x:c>
      <x:c r="E37" s="15">
        <x:v>0.0</x:v>
      </x:c>
      <x:c r="F37" s="15">
        <x:v>0.0</x:v>
      </x:c>
      <x:c r="G37" s="15">
        <x:v>3.0</x:v>
      </x:c>
      <x:c r="H37" s="15">
        <x:v>1.0</x:v>
      </x:c>
      <x:c r="I37" s="15">
        <x:v>0.0</x:v>
      </x:c>
      <x:c r="J37" s="15">
        <x:v>1.0</x:v>
      </x:c>
      <x:c r="K37" s="15">
        <x:v>0.0</x:v>
      </x:c>
      <x:c r="L37" s="15">
        <x:v>0.0</x:v>
      </x:c>
      <x:c r="M37" s="15">
        <x:v>0.0</x:v>
      </x:c>
      <x:c r="N37" s="15">
        <x:v>0.64</x:v>
      </x:c>
      <x:c r="O37" s="15" t="s">
        <x:v>2311</x:v>
      </x:c>
      <x:c r="P37" s="15">
        <x:v>1.3</x:v>
      </x:c>
      <x:c r="Q37" s="15" t="s">
        <x:v>21</x:v>
      </x:c>
      <x:c r="R37" s="15" t="s">
        <x:v>2034</x:v>
      </x:c>
      <x:c r="S37" s="15" t="s">
        <x:v>2027</x:v>
      </x:c>
    </x:row>
    <x:row r="38" ht="15.75" customHeight="1">
      <x:c r="A38" s="15" t="s">
        <x:v>2312</x:v>
      </x:c>
      <x:c r="B38" s="15" t="s">
        <x:v>2313</x:v>
      </x:c>
      <x:c r="C38" s="15">
        <x:v>0.0</x:v>
      </x:c>
      <x:c r="D38" s="15">
        <x:v>0.0</x:v>
      </x:c>
      <x:c r="E38" s="15">
        <x:v>0.0</x:v>
      </x:c>
      <x:c r="F38" s="15">
        <x:v>0.0</x:v>
      </x:c>
      <x:c r="G38" s="15">
        <x:v>2.0</x:v>
      </x:c>
      <x:c r="H38" s="15">
        <x:v>2.0</x:v>
      </x:c>
      <x:c r="I38" s="15">
        <x:v>0.0</x:v>
      </x:c>
      <x:c r="J38" s="15">
        <x:v>1.0</x:v>
      </x:c>
      <x:c r="K38" s="15">
        <x:v>0.0</x:v>
      </x:c>
      <x:c r="L38" s="15">
        <x:v>0.0</x:v>
      </x:c>
      <x:c r="M38" s="15">
        <x:v>0.0</x:v>
      </x:c>
      <x:c r="N38" s="15">
        <x:v>0.64</x:v>
      </x:c>
      <x:c r="O38" s="15" t="s">
        <x:v>2314</x:v>
      </x:c>
      <x:c r="P38" s="15">
        <x:v>1.3</x:v>
      </x:c>
      <x:c r="Q38" s="15" t="s">
        <x:v>21</x:v>
      </x:c>
      <x:c r="R38" s="15" t="s">
        <x:v>2034</x:v>
      </x:c>
      <x:c r="S38" s="15" t="s">
        <x:v>2030</x:v>
      </x:c>
    </x:row>
    <x:row r="39" ht="15.75" customHeight="1">
      <x:c r="A39" s="15" t="s">
        <x:v>2315</x:v>
      </x:c>
      <x:c r="B39" s="15" t="s">
        <x:v>2316</x:v>
      </x:c>
      <x:c r="C39" s="15">
        <x:v>0.0</x:v>
      </x:c>
      <x:c r="D39" s="15">
        <x:v>0.0</x:v>
      </x:c>
      <x:c r="E39" s="15">
        <x:v>0.0</x:v>
      </x:c>
      <x:c r="F39" s="15">
        <x:v>1.0</x:v>
      </x:c>
      <x:c r="G39" s="15">
        <x:v>3.0</x:v>
      </x:c>
      <x:c r="H39" s="15">
        <x:v>2.0</x:v>
      </x:c>
      <x:c r="I39" s="15">
        <x:v>0.0</x:v>
      </x:c>
      <x:c r="J39" s="15">
        <x:v>1.0</x:v>
      </x:c>
      <x:c r="K39" s="15">
        <x:v>0.0</x:v>
      </x:c>
      <x:c r="L39" s="15">
        <x:v>0.0</x:v>
      </x:c>
      <x:c r="M39" s="15">
        <x:v>0.0</x:v>
      </x:c>
      <x:c r="N39" s="15">
        <x:v>0.64</x:v>
      </x:c>
      <x:c r="O39" s="15" t="s">
        <x:v>2317</x:v>
      </x:c>
      <x:c r="P39" s="15">
        <x:v>1.3</x:v>
      </x:c>
      <x:c r="Q39" s="15" t="s">
        <x:v>21</x:v>
      </x:c>
      <x:c r="R39" s="15" t="s">
        <x:v>2041</x:v>
      </x:c>
      <x:c r="S39" s="15" t="s">
        <x:v>2027</x:v>
      </x:c>
    </x:row>
    <x:row r="40" ht="15.75" customHeight="1">
      <x:c r="A40" s="15" t="s">
        <x:v>2318</x:v>
      </x:c>
      <x:c r="B40" s="15" t="s">
        <x:v>2319</x:v>
      </x:c>
      <x:c r="C40" s="15">
        <x:v>0.0</x:v>
      </x:c>
      <x:c r="D40" s="15">
        <x:v>0.0</x:v>
      </x:c>
      <x:c r="E40" s="15">
        <x:v>0.0</x:v>
      </x:c>
      <x:c r="F40" s="15">
        <x:v>0.0</x:v>
      </x:c>
      <x:c r="G40" s="15">
        <x:v>4.0</x:v>
      </x:c>
      <x:c r="H40" s="15">
        <x:v>2.0</x:v>
      </x:c>
      <x:c r="I40" s="15">
        <x:v>0.0</x:v>
      </x:c>
      <x:c r="J40" s="15">
        <x:v>1.0</x:v>
      </x:c>
      <x:c r="K40" s="15">
        <x:v>0.0</x:v>
      </x:c>
      <x:c r="L40" s="15">
        <x:v>0.0</x:v>
      </x:c>
      <x:c r="M40" s="15">
        <x:v>0.0</x:v>
      </x:c>
      <x:c r="N40" s="15">
        <x:v>0.64</x:v>
      </x:c>
      <x:c r="O40" s="15" t="s">
        <x:v>2320</x:v>
      </x:c>
      <x:c r="P40" s="15">
        <x:v>1.3</x:v>
      </x:c>
      <x:c r="Q40" s="15" t="s">
        <x:v>21</x:v>
      </x:c>
      <x:c r="R40" s="15" t="s">
        <x:v>2041</x:v>
      </x:c>
      <x:c r="S40" s="15" t="s">
        <x:v>2030</x:v>
      </x:c>
    </x:row>
    <x:row r="41" ht="15.75" customHeight="1">
      <x:c r="A41" s="15" t="s">
        <x:v>2321</x:v>
      </x:c>
      <x:c r="B41" s="15" t="s">
        <x:v>2322</x:v>
      </x:c>
      <x:c r="C41" s="15">
        <x:v>0.0</x:v>
      </x:c>
      <x:c r="D41" s="15">
        <x:v>0.0</x:v>
      </x:c>
      <x:c r="E41" s="15">
        <x:v>0.0</x:v>
      </x:c>
      <x:c r="F41" s="15">
        <x:v>2.0</x:v>
      </x:c>
      <x:c r="G41" s="15">
        <x:v>4.0</x:v>
      </x:c>
      <x:c r="H41" s="15">
        <x:v>2.0</x:v>
      </x:c>
      <x:c r="I41" s="15">
        <x:v>0.0</x:v>
      </x:c>
      <x:c r="J41" s="15">
        <x:v>1.0</x:v>
      </x:c>
      <x:c r="K41" s="15">
        <x:v>0.0</x:v>
      </x:c>
      <x:c r="L41" s="15">
        <x:v>0.0</x:v>
      </x:c>
      <x:c r="M41" s="15">
        <x:v>0.0</x:v>
      </x:c>
      <x:c r="N41" s="15">
        <x:v>0.64</x:v>
      </x:c>
      <x:c r="O41" s="15" t="s">
        <x:v>2323</x:v>
      </x:c>
      <x:c r="P41" s="15">
        <x:v>1.3</x:v>
      </x:c>
      <x:c r="Q41" s="15" t="s">
        <x:v>21</x:v>
      </x:c>
      <x:c r="R41" s="15" t="s">
        <x:v>2048</x:v>
      </x:c>
      <x:c r="S41" s="15" t="s">
        <x:v>2027</x:v>
      </x:c>
    </x:row>
    <x:row r="42" ht="15.75" customHeight="1">
      <x:c r="A42" s="15" t="s">
        <x:v>2324</x:v>
      </x:c>
      <x:c r="B42" s="15" t="s">
        <x:v>2325</x:v>
      </x:c>
      <x:c r="C42" s="15">
        <x:v>0.0</x:v>
      </x:c>
      <x:c r="D42" s="15">
        <x:v>0.0</x:v>
      </x:c>
      <x:c r="E42" s="15">
        <x:v>0.0</x:v>
      </x:c>
      <x:c r="F42" s="15">
        <x:v>1.0</x:v>
      </x:c>
      <x:c r="G42" s="15">
        <x:v>4.0</x:v>
      </x:c>
      <x:c r="H42" s="15">
        <x:v>3.0</x:v>
      </x:c>
      <x:c r="I42" s="15">
        <x:v>0.0</x:v>
      </x:c>
      <x:c r="J42" s="15">
        <x:v>1.0</x:v>
      </x:c>
      <x:c r="K42" s="15">
        <x:v>0.0</x:v>
      </x:c>
      <x:c r="L42" s="15">
        <x:v>0.0</x:v>
      </x:c>
      <x:c r="M42" s="15">
        <x:v>0.0</x:v>
      </x:c>
      <x:c r="N42" s="15">
        <x:v>0.64</x:v>
      </x:c>
      <x:c r="O42" s="15" t="s">
        <x:v>2326</x:v>
      </x:c>
      <x:c r="P42" s="15">
        <x:v>1.3</x:v>
      </x:c>
      <x:c r="Q42" s="15" t="s">
        <x:v>21</x:v>
      </x:c>
      <x:c r="R42" s="15" t="s">
        <x:v>2048</x:v>
      </x:c>
      <x:c r="S42" s="15" t="s">
        <x:v>2030</x:v>
      </x:c>
    </x:row>
    <x:row r="43" ht="15.75" customHeight="1">
      <x:c r="A43" s="15" t="s">
        <x:v>2327</x:v>
      </x:c>
      <x:c r="B43" s="15" t="s">
        <x:v>2282</x:v>
      </x:c>
      <x:c r="C43" s="15">
        <x:v>0.0</x:v>
      </x:c>
      <x:c r="D43" s="15">
        <x:v>0.0</x:v>
      </x:c>
      <x:c r="E43" s="15">
        <x:v>0.0</x:v>
      </x:c>
      <x:c r="F43" s="15">
        <x:v>0.0</x:v>
      </x:c>
      <x:c r="G43" s="15">
        <x:v>3.0</x:v>
      </x:c>
      <x:c r="H43" s="15">
        <x:v>0.0</x:v>
      </x:c>
      <x:c r="I43" s="15">
        <x:v>0.0</x:v>
      </x:c>
      <x:c r="J43" s="15">
        <x:v>1.1</x:v>
      </x:c>
      <x:c r="K43" s="15">
        <x:v>0.0</x:v>
      </x:c>
      <x:c r="L43" s="15">
        <x:v>0.0</x:v>
      </x:c>
      <x:c r="M43" s="15">
        <x:v>0.0</x:v>
      </x:c>
      <x:c r="N43" s="15">
        <x:v>0.65</x:v>
      </x:c>
      <x:c r="O43" s="15" t="s">
        <x:v>2328</x:v>
      </x:c>
      <x:c r="P43" s="15">
        <x:v>1.1</x:v>
      </x:c>
      <x:c r="Q43" s="15" t="s">
        <x:v>21</x:v>
      </x:c>
      <x:c r="R43" s="15" t="s">
        <x:v>2026</x:v>
      </x:c>
      <x:c r="S43" s="15" t="s">
        <x:v>2027</x:v>
      </x:c>
    </x:row>
    <x:row r="44" ht="15.75" customHeight="1">
      <x:c r="A44" s="15" t="s">
        <x:v>29</x:v>
      </x:c>
      <x:c r="B44" s="15" t="s">
        <x:v>294</x:v>
      </x:c>
      <x:c r="C44" s="15">
        <x:v>0.0</x:v>
      </x:c>
      <x:c r="D44" s="15">
        <x:v>0.0</x:v>
      </x:c>
      <x:c r="E44" s="15">
        <x:v>1.0</x:v>
      </x:c>
      <x:c r="F44" s="15">
        <x:v>0.0</x:v>
      </x:c>
      <x:c r="G44" s="15">
        <x:v>2.0</x:v>
      </x:c>
      <x:c r="H44" s="15">
        <x:v>0.0</x:v>
      </x:c>
      <x:c r="I44" s="15">
        <x:v>0.0</x:v>
      </x:c>
      <x:c r="J44" s="15">
        <x:v>1.1</x:v>
      </x:c>
      <x:c r="K44" s="15">
        <x:v>0.0</x:v>
      </x:c>
      <x:c r="L44" s="15">
        <x:v>0.0</x:v>
      </x:c>
      <x:c r="M44" s="15">
        <x:v>0.0</x:v>
      </x:c>
      <x:c r="N44" s="15">
        <x:v>0.65</x:v>
      </x:c>
      <x:c r="O44" s="15" t="s">
        <x:v>2329</x:v>
      </x:c>
      <x:c r="P44" s="15">
        <x:v>1.1</x:v>
      </x:c>
      <x:c r="Q44" s="15" t="s">
        <x:v>21</x:v>
      </x:c>
      <x:c r="R44" s="15" t="s">
        <x:v>2026</x:v>
      </x:c>
      <x:c r="S44" s="15" t="s">
        <x:v>2030</x:v>
      </x:c>
    </x:row>
    <x:row r="45" ht="15.75" customHeight="1">
      <x:c r="A45" s="15" t="s">
        <x:v>2330</x:v>
      </x:c>
      <x:c r="B45" s="15" t="s">
        <x:v>2331</x:v>
      </x:c>
      <x:c r="C45" s="15">
        <x:v>0.0</x:v>
      </x:c>
      <x:c r="D45" s="15">
        <x:v>0.0</x:v>
      </x:c>
      <x:c r="E45" s="15">
        <x:v>1.0</x:v>
      </x:c>
      <x:c r="F45" s="15">
        <x:v>0.0</x:v>
      </x:c>
      <x:c r="G45" s="15">
        <x:v>3.0</x:v>
      </x:c>
      <x:c r="H45" s="15">
        <x:v>0.0</x:v>
      </x:c>
      <x:c r="I45" s="15">
        <x:v>0.0</x:v>
      </x:c>
      <x:c r="J45" s="15">
        <x:v>1.1</x:v>
      </x:c>
      <x:c r="K45" s="15">
        <x:v>0.0</x:v>
      </x:c>
      <x:c r="L45" s="15">
        <x:v>0.0</x:v>
      </x:c>
      <x:c r="M45" s="15">
        <x:v>0.0</x:v>
      </x:c>
      <x:c r="N45" s="15">
        <x:v>0.65</x:v>
      </x:c>
      <x:c r="O45" s="15" t="s">
        <x:v>2332</x:v>
      </x:c>
      <x:c r="P45" s="15">
        <x:v>1.1</x:v>
      </x:c>
      <x:c r="Q45" s="15" t="s">
        <x:v>21</x:v>
      </x:c>
      <x:c r="R45" s="15" t="s">
        <x:v>2034</x:v>
      </x:c>
      <x:c r="S45" s="15" t="s">
        <x:v>2027</x:v>
      </x:c>
    </x:row>
    <x:row r="46" ht="15.75" customHeight="1">
      <x:c r="A46" s="15" t="s">
        <x:v>2333</x:v>
      </x:c>
      <x:c r="B46" s="15" t="s">
        <x:v>2334</x:v>
      </x:c>
      <x:c r="C46" s="15">
        <x:v>0.0</x:v>
      </x:c>
      <x:c r="D46" s="15">
        <x:v>0.0</x:v>
      </x:c>
      <x:c r="E46" s="15">
        <x:v>2.0</x:v>
      </x:c>
      <x:c r="F46" s="15">
        <x:v>0.0</x:v>
      </x:c>
      <x:c r="G46" s="15">
        <x:v>2.0</x:v>
      </x:c>
      <x:c r="H46" s="15">
        <x:v>0.0</x:v>
      </x:c>
      <x:c r="I46" s="15">
        <x:v>0.0</x:v>
      </x:c>
      <x:c r="J46" s="15">
        <x:v>1.1</x:v>
      </x:c>
      <x:c r="K46" s="15">
        <x:v>0.0</x:v>
      </x:c>
      <x:c r="L46" s="15">
        <x:v>0.0</x:v>
      </x:c>
      <x:c r="M46" s="15">
        <x:v>0.0</x:v>
      </x:c>
      <x:c r="N46" s="15">
        <x:v>0.65</x:v>
      </x:c>
      <x:c r="O46" s="15" t="s">
        <x:v>2335</x:v>
      </x:c>
      <x:c r="P46" s="15">
        <x:v>1.1</x:v>
      </x:c>
      <x:c r="Q46" s="15" t="s">
        <x:v>21</x:v>
      </x:c>
      <x:c r="R46" s="15" t="s">
        <x:v>2034</x:v>
      </x:c>
      <x:c r="S46" s="15" t="s">
        <x:v>2030</x:v>
      </x:c>
    </x:row>
    <x:row r="47" ht="15.75" customHeight="1">
      <x:c r="A47" s="15" t="s">
        <x:v>2336</x:v>
      </x:c>
      <x:c r="B47" s="15" t="s">
        <x:v>2337</x:v>
      </x:c>
      <x:c r="C47" s="15">
        <x:v>0.0</x:v>
      </x:c>
      <x:c r="D47" s="15">
        <x:v>1.0</x:v>
      </x:c>
      <x:c r="E47" s="15">
        <x:v>2.0</x:v>
      </x:c>
      <x:c r="F47" s="15">
        <x:v>0.0</x:v>
      </x:c>
      <x:c r="G47" s="15">
        <x:v>3.0</x:v>
      </x:c>
      <x:c r="H47" s="15">
        <x:v>0.0</x:v>
      </x:c>
      <x:c r="I47" s="15">
        <x:v>0.0</x:v>
      </x:c>
      <x:c r="J47" s="15">
        <x:v>1.1</x:v>
      </x:c>
      <x:c r="K47" s="15">
        <x:v>0.0</x:v>
      </x:c>
      <x:c r="L47" s="15">
        <x:v>0.0</x:v>
      </x:c>
      <x:c r="M47" s="15">
        <x:v>0.0</x:v>
      </x:c>
      <x:c r="N47" s="15">
        <x:v>0.65</x:v>
      </x:c>
      <x:c r="O47" s="15" t="s">
        <x:v>2338</x:v>
      </x:c>
      <x:c r="P47" s="15">
        <x:v>1.1</x:v>
      </x:c>
      <x:c r="Q47" s="15" t="s">
        <x:v>21</x:v>
      </x:c>
      <x:c r="R47" s="15" t="s">
        <x:v>2041</x:v>
      </x:c>
      <x:c r="S47" s="15" t="s">
        <x:v>2027</x:v>
      </x:c>
    </x:row>
    <x:row r="48" ht="15.75" customHeight="1">
      <x:c r="A48" s="15" t="s">
        <x:v>2339</x:v>
      </x:c>
      <x:c r="B48" s="15" t="s">
        <x:v>2340</x:v>
      </x:c>
      <x:c r="C48" s="15">
        <x:v>0.0</x:v>
      </x:c>
      <x:c r="D48" s="15">
        <x:v>0.0</x:v>
      </x:c>
      <x:c r="E48" s="15">
        <x:v>2.0</x:v>
      </x:c>
      <x:c r="F48" s="15">
        <x:v>0.0</x:v>
      </x:c>
      <x:c r="G48" s="15">
        <x:v>4.0</x:v>
      </x:c>
      <x:c r="H48" s="15">
        <x:v>0.0</x:v>
      </x:c>
      <x:c r="I48" s="15">
        <x:v>0.0</x:v>
      </x:c>
      <x:c r="J48" s="15">
        <x:v>1.1</x:v>
      </x:c>
      <x:c r="K48" s="15">
        <x:v>0.0</x:v>
      </x:c>
      <x:c r="L48" s="15">
        <x:v>0.0</x:v>
      </x:c>
      <x:c r="M48" s="15">
        <x:v>0.0</x:v>
      </x:c>
      <x:c r="N48" s="15">
        <x:v>0.65</x:v>
      </x:c>
      <x:c r="O48" s="15" t="s">
        <x:v>2341</x:v>
      </x:c>
      <x:c r="P48" s="15">
        <x:v>1.1</x:v>
      </x:c>
      <x:c r="Q48" s="15" t="s">
        <x:v>21</x:v>
      </x:c>
      <x:c r="R48" s="15" t="s">
        <x:v>2041</x:v>
      </x:c>
      <x:c r="S48" s="15" t="s">
        <x:v>2030</x:v>
      </x:c>
    </x:row>
    <x:row r="49" ht="15.75" customHeight="1">
      <x:c r="A49" s="15" t="s">
        <x:v>2342</x:v>
      </x:c>
      <x:c r="B49" s="15" t="s">
        <x:v>2343</x:v>
      </x:c>
      <x:c r="C49" s="15">
        <x:v>0.0</x:v>
      </x:c>
      <x:c r="D49" s="15">
        <x:v>2.0</x:v>
      </x:c>
      <x:c r="E49" s="15">
        <x:v>2.0</x:v>
      </x:c>
      <x:c r="F49" s="15">
        <x:v>0.0</x:v>
      </x:c>
      <x:c r="G49" s="15">
        <x:v>4.0</x:v>
      </x:c>
      <x:c r="H49" s="15">
        <x:v>0.0</x:v>
      </x:c>
      <x:c r="I49" s="15">
        <x:v>0.0</x:v>
      </x:c>
      <x:c r="J49" s="15">
        <x:v>1.1</x:v>
      </x:c>
      <x:c r="K49" s="15">
        <x:v>0.0</x:v>
      </x:c>
      <x:c r="L49" s="15">
        <x:v>0.0</x:v>
      </x:c>
      <x:c r="M49" s="15">
        <x:v>0.0</x:v>
      </x:c>
      <x:c r="N49" s="15">
        <x:v>0.65</x:v>
      </x:c>
      <x:c r="O49" s="15" t="s">
        <x:v>2344</x:v>
      </x:c>
      <x:c r="P49" s="15">
        <x:v>1.1</x:v>
      </x:c>
      <x:c r="Q49" s="15" t="s">
        <x:v>21</x:v>
      </x:c>
      <x:c r="R49" s="15" t="s">
        <x:v>2048</x:v>
      </x:c>
      <x:c r="S49" s="15" t="s">
        <x:v>2027</x:v>
      </x:c>
    </x:row>
    <x:row r="50" ht="15.75" customHeight="1">
      <x:c r="A50" s="15" t="s">
        <x:v>2345</x:v>
      </x:c>
      <x:c r="B50" s="15" t="s">
        <x:v>2346</x:v>
      </x:c>
      <x:c r="C50" s="15">
        <x:v>0.0</x:v>
      </x:c>
      <x:c r="D50" s="15">
        <x:v>1.0</x:v>
      </x:c>
      <x:c r="E50" s="15">
        <x:v>3.0</x:v>
      </x:c>
      <x:c r="F50" s="15">
        <x:v>0.0</x:v>
      </x:c>
      <x:c r="G50" s="15">
        <x:v>4.0</x:v>
      </x:c>
      <x:c r="H50" s="15">
        <x:v>0.0</x:v>
      </x:c>
      <x:c r="I50" s="15">
        <x:v>0.0</x:v>
      </x:c>
      <x:c r="J50" s="15">
        <x:v>1.1</x:v>
      </x:c>
      <x:c r="K50" s="15">
        <x:v>0.0</x:v>
      </x:c>
      <x:c r="L50" s="15">
        <x:v>0.0</x:v>
      </x:c>
      <x:c r="M50" s="15">
        <x:v>0.0</x:v>
      </x:c>
      <x:c r="N50" s="15">
        <x:v>0.65</x:v>
      </x:c>
      <x:c r="O50" s="15" t="s">
        <x:v>2347</x:v>
      </x:c>
      <x:c r="P50" s="15">
        <x:v>1.1</x:v>
      </x:c>
      <x:c r="Q50" s="15" t="s">
        <x:v>21</x:v>
      </x:c>
      <x:c r="R50" s="15" t="s">
        <x:v>2048</x:v>
      </x:c>
      <x:c r="S50" s="15" t="s">
        <x:v>2030</x:v>
      </x:c>
    </x:row>
    <x:row r="51" ht="15.75" customHeight="1">
      <x:c r="A51" s="15" t="s">
        <x:v>2348</x:v>
      </x:c>
      <x:c r="B51" s="15" t="s">
        <x:v>2349</x:v>
      </x:c>
      <x:c r="C51" s="15">
        <x:v>0.0</x:v>
      </x:c>
      <x:c r="D51" s="15">
        <x:v>0.0</x:v>
      </x:c>
      <x:c r="E51" s="15">
        <x:v>0.0</x:v>
      </x:c>
      <x:c r="F51" s="15">
        <x:v>0.0</x:v>
      </x:c>
      <x:c r="G51" s="15">
        <x:v>0.0</x:v>
      </x:c>
      <x:c r="H51" s="15">
        <x:v>3.0</x:v>
      </x:c>
      <x:c r="I51" s="15">
        <x:v>0.0</x:v>
      </x:c>
      <x:c r="J51" s="15">
        <x:v>1.0</x:v>
      </x:c>
      <x:c r="K51" s="15">
        <x:v>0.0</x:v>
      </x:c>
      <x:c r="L51" s="15">
        <x:v>0.0</x:v>
      </x:c>
      <x:c r="M51" s="15">
        <x:v>0.0</x:v>
      </x:c>
      <x:c r="N51" s="15">
        <x:v>0.62</x:v>
      </x:c>
      <x:c r="O51" s="15" t="s">
        <x:v>2350</x:v>
      </x:c>
      <x:c r="P51" s="15">
        <x:v>1.25</x:v>
      </x:c>
      <x:c r="Q51" s="15" t="s">
        <x:v>25</x:v>
      </x:c>
      <x:c r="R51" s="15" t="s">
        <x:v>2026</x:v>
      </x:c>
      <x:c r="S51" s="15" t="s">
        <x:v>2027</x:v>
      </x:c>
    </x:row>
    <x:row r="52" ht="15.75" customHeight="1">
      <x:c r="A52" s="15" t="s">
        <x:v>2351</x:v>
      </x:c>
      <x:c r="B52" s="15" t="s">
        <x:v>2352</x:v>
      </x:c>
      <x:c r="C52" s="15">
        <x:v>0.0</x:v>
      </x:c>
      <x:c r="D52" s="15">
        <x:v>0.0</x:v>
      </x:c>
      <x:c r="E52" s="15">
        <x:v>0.0</x:v>
      </x:c>
      <x:c r="F52" s="15">
        <x:v>0.0</x:v>
      </x:c>
      <x:c r="G52" s="15">
        <x:v>1.0</x:v>
      </x:c>
      <x:c r="H52" s="15">
        <x:v>2.0</x:v>
      </x:c>
      <x:c r="I52" s="15">
        <x:v>0.0</x:v>
      </x:c>
      <x:c r="J52" s="15">
        <x:v>1.0</x:v>
      </x:c>
      <x:c r="K52" s="15">
        <x:v>0.0</x:v>
      </x:c>
      <x:c r="L52" s="15">
        <x:v>0.0</x:v>
      </x:c>
      <x:c r="M52" s="15">
        <x:v>0.0</x:v>
      </x:c>
      <x:c r="N52" s="15">
        <x:v>0.62</x:v>
      </x:c>
      <x:c r="O52" s="15" t="s">
        <x:v>2353</x:v>
      </x:c>
      <x:c r="P52" s="15">
        <x:v>1.25</x:v>
      </x:c>
      <x:c r="Q52" s="15" t="s">
        <x:v>25</x:v>
      </x:c>
      <x:c r="R52" s="15" t="s">
        <x:v>2026</x:v>
      </x:c>
      <x:c r="S52" s="15" t="s">
        <x:v>2030</x:v>
      </x:c>
    </x:row>
    <x:row r="53" ht="15.75" customHeight="1">
      <x:c r="A53" s="15" t="s">
        <x:v>2354</x:v>
      </x:c>
      <x:c r="B53" s="15" t="s">
        <x:v>2355</x:v>
      </x:c>
      <x:c r="C53" s="15">
        <x:v>0.0</x:v>
      </x:c>
      <x:c r="D53" s="15">
        <x:v>0.0</x:v>
      </x:c>
      <x:c r="E53" s="15">
        <x:v>0.0</x:v>
      </x:c>
      <x:c r="F53" s="15">
        <x:v>0.0</x:v>
      </x:c>
      <x:c r="G53" s="15">
        <x:v>1.0</x:v>
      </x:c>
      <x:c r="H53" s="15">
        <x:v>3.0</x:v>
      </x:c>
      <x:c r="I53" s="15">
        <x:v>0.0</x:v>
      </x:c>
      <x:c r="J53" s="15">
        <x:v>1.0</x:v>
      </x:c>
      <x:c r="K53" s="15">
        <x:v>0.0</x:v>
      </x:c>
      <x:c r="L53" s="15">
        <x:v>0.0</x:v>
      </x:c>
      <x:c r="M53" s="15">
        <x:v>0.0</x:v>
      </x:c>
      <x:c r="N53" s="15">
        <x:v>0.62</x:v>
      </x:c>
      <x:c r="O53" s="15" t="s">
        <x:v>2356</x:v>
      </x:c>
      <x:c r="P53" s="15">
        <x:v>1.25</x:v>
      </x:c>
      <x:c r="Q53" s="15" t="s">
        <x:v>25</x:v>
      </x:c>
      <x:c r="R53" s="15" t="s">
        <x:v>2034</x:v>
      </x:c>
      <x:c r="S53" s="15" t="s">
        <x:v>2027</x:v>
      </x:c>
    </x:row>
    <x:row r="54" ht="15.75" customHeight="1">
      <x:c r="A54" s="15" t="s">
        <x:v>2357</x:v>
      </x:c>
      <x:c r="B54" s="15" t="s">
        <x:v>2358</x:v>
      </x:c>
      <x:c r="C54" s="15">
        <x:v>0.0</x:v>
      </x:c>
      <x:c r="D54" s="15">
        <x:v>0.0</x:v>
      </x:c>
      <x:c r="E54" s="15">
        <x:v>0.0</x:v>
      </x:c>
      <x:c r="F54" s="15">
        <x:v>0.0</x:v>
      </x:c>
      <x:c r="G54" s="15">
        <x:v>2.0</x:v>
      </x:c>
      <x:c r="H54" s="15">
        <x:v>2.0</x:v>
      </x:c>
      <x:c r="I54" s="15">
        <x:v>0.0</x:v>
      </x:c>
      <x:c r="J54" s="15">
        <x:v>1.0</x:v>
      </x:c>
      <x:c r="K54" s="15">
        <x:v>0.0</x:v>
      </x:c>
      <x:c r="L54" s="15">
        <x:v>0.0</x:v>
      </x:c>
      <x:c r="M54" s="15">
        <x:v>0.0</x:v>
      </x:c>
      <x:c r="N54" s="15">
        <x:v>0.62</x:v>
      </x:c>
      <x:c r="O54" s="15" t="s">
        <x:v>2359</x:v>
      </x:c>
      <x:c r="P54" s="15">
        <x:v>1.25</x:v>
      </x:c>
      <x:c r="Q54" s="15" t="s">
        <x:v>25</x:v>
      </x:c>
      <x:c r="R54" s="15" t="s">
        <x:v>2034</x:v>
      </x:c>
      <x:c r="S54" s="15" t="s">
        <x:v>2030</x:v>
      </x:c>
    </x:row>
    <x:row r="55" ht="15.75" customHeight="1">
      <x:c r="A55" s="15" t="s">
        <x:v>2360</x:v>
      </x:c>
      <x:c r="B55" s="15" t="s">
        <x:v>2361</x:v>
      </x:c>
      <x:c r="C55" s="15">
        <x:v>0.0</x:v>
      </x:c>
      <x:c r="D55" s="15">
        <x:v>0.0</x:v>
      </x:c>
      <x:c r="E55" s="15">
        <x:v>0.0</x:v>
      </x:c>
      <x:c r="F55" s="15">
        <x:v>1.0</x:v>
      </x:c>
      <x:c r="G55" s="15">
        <x:v>2.0</x:v>
      </x:c>
      <x:c r="H55" s="15">
        <x:v>3.0</x:v>
      </x:c>
      <x:c r="I55" s="15">
        <x:v>0.0</x:v>
      </x:c>
      <x:c r="J55" s="15">
        <x:v>1.0</x:v>
      </x:c>
      <x:c r="K55" s="15">
        <x:v>0.0</x:v>
      </x:c>
      <x:c r="L55" s="15">
        <x:v>0.0</x:v>
      </x:c>
      <x:c r="M55" s="15">
        <x:v>0.0</x:v>
      </x:c>
      <x:c r="N55" s="15">
        <x:v>0.62</x:v>
      </x:c>
      <x:c r="O55" s="15" t="s">
        <x:v>2362</x:v>
      </x:c>
      <x:c r="P55" s="15">
        <x:v>1.25</x:v>
      </x:c>
      <x:c r="Q55" s="15" t="s">
        <x:v>25</x:v>
      </x:c>
      <x:c r="R55" s="15" t="s">
        <x:v>2041</x:v>
      </x:c>
      <x:c r="S55" s="15" t="s">
        <x:v>2027</x:v>
      </x:c>
    </x:row>
    <x:row r="56" ht="15.75" customHeight="1">
      <x:c r="A56" s="15" t="s">
        <x:v>2363</x:v>
      </x:c>
      <x:c r="B56" s="15" t="s">
        <x:v>2364</x:v>
      </x:c>
      <x:c r="C56" s="15">
        <x:v>0.0</x:v>
      </x:c>
      <x:c r="D56" s="15">
        <x:v>0.0</x:v>
      </x:c>
      <x:c r="E56" s="15">
        <x:v>0.0</x:v>
      </x:c>
      <x:c r="F56" s="15">
        <x:v>0.0</x:v>
      </x:c>
      <x:c r="G56" s="15">
        <x:v>2.0</x:v>
      </x:c>
      <x:c r="H56" s="15">
        <x:v>4.0</x:v>
      </x:c>
      <x:c r="I56" s="15">
        <x:v>0.0</x:v>
      </x:c>
      <x:c r="J56" s="15">
        <x:v>1.0</x:v>
      </x:c>
      <x:c r="K56" s="15">
        <x:v>0.0</x:v>
      </x:c>
      <x:c r="L56" s="15">
        <x:v>0.0</x:v>
      </x:c>
      <x:c r="M56" s="15">
        <x:v>0.0</x:v>
      </x:c>
      <x:c r="N56" s="15">
        <x:v>0.62</x:v>
      </x:c>
      <x:c r="O56" s="15" t="s">
        <x:v>2365</x:v>
      </x:c>
      <x:c r="P56" s="15">
        <x:v>1.25</x:v>
      </x:c>
      <x:c r="Q56" s="15" t="s">
        <x:v>25</x:v>
      </x:c>
      <x:c r="R56" s="15" t="s">
        <x:v>2041</x:v>
      </x:c>
      <x:c r="S56" s="15" t="s">
        <x:v>2030</x:v>
      </x:c>
    </x:row>
    <x:row r="57" ht="15.75" customHeight="1">
      <x:c r="A57" s="15" t="s">
        <x:v>2366</x:v>
      </x:c>
      <x:c r="B57" s="15" t="s">
        <x:v>2367</x:v>
      </x:c>
      <x:c r="C57" s="15">
        <x:v>0.0</x:v>
      </x:c>
      <x:c r="D57" s="15">
        <x:v>0.0</x:v>
      </x:c>
      <x:c r="E57" s="15">
        <x:v>0.0</x:v>
      </x:c>
      <x:c r="F57" s="15">
        <x:v>2.0</x:v>
      </x:c>
      <x:c r="G57" s="15">
        <x:v>2.0</x:v>
      </x:c>
      <x:c r="H57" s="15">
        <x:v>4.0</x:v>
      </x:c>
      <x:c r="I57" s="15">
        <x:v>0.0</x:v>
      </x:c>
      <x:c r="J57" s="15">
        <x:v>1.0</x:v>
      </x:c>
      <x:c r="K57" s="15">
        <x:v>0.0</x:v>
      </x:c>
      <x:c r="L57" s="15">
        <x:v>0.0</x:v>
      </x:c>
      <x:c r="M57" s="15">
        <x:v>0.0</x:v>
      </x:c>
      <x:c r="N57" s="15">
        <x:v>0.62</x:v>
      </x:c>
      <x:c r="O57" s="15" t="s">
        <x:v>2368</x:v>
      </x:c>
      <x:c r="P57" s="15">
        <x:v>1.25</x:v>
      </x:c>
      <x:c r="Q57" s="15" t="s">
        <x:v>25</x:v>
      </x:c>
      <x:c r="R57" s="15" t="s">
        <x:v>2048</x:v>
      </x:c>
      <x:c r="S57" s="15" t="s">
        <x:v>2027</x:v>
      </x:c>
    </x:row>
    <x:row r="58" ht="15.75" customHeight="1">
      <x:c r="A58" s="15" t="s">
        <x:v>2369</x:v>
      </x:c>
      <x:c r="B58" s="15" t="s">
        <x:v>2370</x:v>
      </x:c>
      <x:c r="C58" s="15">
        <x:v>0.0</x:v>
      </x:c>
      <x:c r="D58" s="15">
        <x:v>0.0</x:v>
      </x:c>
      <x:c r="E58" s="15">
        <x:v>0.0</x:v>
      </x:c>
      <x:c r="F58" s="15">
        <x:v>1.0</x:v>
      </x:c>
      <x:c r="G58" s="15">
        <x:v>3.0</x:v>
      </x:c>
      <x:c r="H58" s="15">
        <x:v>4.0</x:v>
      </x:c>
      <x:c r="I58" s="15">
        <x:v>0.0</x:v>
      </x:c>
      <x:c r="J58" s="15">
        <x:v>1.0</x:v>
      </x:c>
      <x:c r="K58" s="15">
        <x:v>0.0</x:v>
      </x:c>
      <x:c r="L58" s="15">
        <x:v>0.0</x:v>
      </x:c>
      <x:c r="M58" s="15">
        <x:v>0.0</x:v>
      </x:c>
      <x:c r="N58" s="15">
        <x:v>0.62</x:v>
      </x:c>
      <x:c r="O58" s="15" t="s">
        <x:v>2371</x:v>
      </x:c>
      <x:c r="P58" s="15">
        <x:v>1.25</x:v>
      </x:c>
      <x:c r="Q58" s="15" t="s">
        <x:v>25</x:v>
      </x:c>
      <x:c r="R58" s="15" t="s">
        <x:v>2048</x:v>
      </x:c>
      <x:c r="S58" s="15" t="s">
        <x:v>2030</x:v>
      </x:c>
    </x:row>
    <x:row r="59" ht="15.75" customHeight="1">
      <x:c r="A59" s="15" t="s">
        <x:v>2372</x:v>
      </x:c>
      <x:c r="B59" s="15" t="s">
        <x:v>2349</x:v>
      </x:c>
      <x:c r="C59" s="15">
        <x:v>0.0</x:v>
      </x:c>
      <x:c r="D59" s="15">
        <x:v>0.0</x:v>
      </x:c>
      <x:c r="E59" s="15">
        <x:v>0.0</x:v>
      </x:c>
      <x:c r="F59" s="15">
        <x:v>0.0</x:v>
      </x:c>
      <x:c r="G59" s="15">
        <x:v>0.0</x:v>
      </x:c>
      <x:c r="H59" s="15">
        <x:v>3.0</x:v>
      </x:c>
      <x:c r="I59" s="15">
        <x:v>0.0</x:v>
      </x:c>
      <x:c r="J59" s="15">
        <x:v>0.9</x:v>
      </x:c>
      <x:c r="K59" s="15">
        <x:v>0.0</x:v>
      </x:c>
      <x:c r="L59" s="15">
        <x:v>0.0</x:v>
      </x:c>
      <x:c r="M59" s="15">
        <x:v>0.0</x:v>
      </x:c>
      <x:c r="N59" s="15">
        <x:v>0.64</x:v>
      </x:c>
      <x:c r="O59" s="15" t="s">
        <x:v>2373</x:v>
      </x:c>
      <x:c r="P59" s="15">
        <x:v>1.35</x:v>
      </x:c>
      <x:c r="Q59" s="15" t="s">
        <x:v>25</x:v>
      </x:c>
      <x:c r="R59" s="15" t="s">
        <x:v>2026</x:v>
      </x:c>
      <x:c r="S59" s="15" t="s">
        <x:v>2027</x:v>
      </x:c>
    </x:row>
    <x:row r="60" ht="15.75" customHeight="1">
      <x:c r="A60" s="15" t="s">
        <x:v>2374</x:v>
      </x:c>
      <x:c r="B60" s="15" t="s">
        <x:v>2375</x:v>
      </x:c>
      <x:c r="C60" s="15">
        <x:v>0.0</x:v>
      </x:c>
      <x:c r="D60" s="15">
        <x:v>0.0</x:v>
      </x:c>
      <x:c r="E60" s="15">
        <x:v>0.0</x:v>
      </x:c>
      <x:c r="F60" s="15">
        <x:v>1.0</x:v>
      </x:c>
      <x:c r="G60" s="15">
        <x:v>0.0</x:v>
      </x:c>
      <x:c r="H60" s="15">
        <x:v>2.0</x:v>
      </x:c>
      <x:c r="I60" s="15">
        <x:v>0.0</x:v>
      </x:c>
      <x:c r="J60" s="15">
        <x:v>0.9</x:v>
      </x:c>
      <x:c r="K60" s="15">
        <x:v>0.0</x:v>
      </x:c>
      <x:c r="L60" s="15">
        <x:v>0.0</x:v>
      </x:c>
      <x:c r="M60" s="15">
        <x:v>0.0</x:v>
      </x:c>
      <x:c r="N60" s="15">
        <x:v>0.64</x:v>
      </x:c>
      <x:c r="O60" s="15" t="s">
        <x:v>2376</x:v>
      </x:c>
      <x:c r="P60" s="15">
        <x:v>1.35</x:v>
      </x:c>
      <x:c r="Q60" s="15" t="s">
        <x:v>25</x:v>
      </x:c>
      <x:c r="R60" s="15" t="s">
        <x:v>2026</x:v>
      </x:c>
      <x:c r="S60" s="15" t="s">
        <x:v>2030</x:v>
      </x:c>
    </x:row>
    <x:row r="61" ht="15.75" customHeight="1">
      <x:c r="A61" s="15" t="s">
        <x:v>2377</x:v>
      </x:c>
      <x:c r="B61" s="15" t="s">
        <x:v>2378</x:v>
      </x:c>
      <x:c r="C61" s="15">
        <x:v>0.0</x:v>
      </x:c>
      <x:c r="D61" s="15">
        <x:v>0.0</x:v>
      </x:c>
      <x:c r="E61" s="15">
        <x:v>0.0</x:v>
      </x:c>
      <x:c r="F61" s="15">
        <x:v>1.0</x:v>
      </x:c>
      <x:c r="G61" s="15">
        <x:v>0.0</x:v>
      </x:c>
      <x:c r="H61" s="15">
        <x:v>3.0</x:v>
      </x:c>
      <x:c r="I61" s="15">
        <x:v>0.0</x:v>
      </x:c>
      <x:c r="J61" s="15">
        <x:v>0.9</x:v>
      </x:c>
      <x:c r="K61" s="15">
        <x:v>0.0</x:v>
      </x:c>
      <x:c r="L61" s="15">
        <x:v>0.0</x:v>
      </x:c>
      <x:c r="M61" s="15">
        <x:v>0.0</x:v>
      </x:c>
      <x:c r="N61" s="15">
        <x:v>0.64</x:v>
      </x:c>
      <x:c r="O61" s="15" t="s">
        <x:v>2379</x:v>
      </x:c>
      <x:c r="P61" s="15">
        <x:v>1.35</x:v>
      </x:c>
      <x:c r="Q61" s="15" t="s">
        <x:v>25</x:v>
      </x:c>
      <x:c r="R61" s="15" t="s">
        <x:v>2034</x:v>
      </x:c>
      <x:c r="S61" s="15" t="s">
        <x:v>2027</x:v>
      </x:c>
    </x:row>
    <x:row r="62" ht="15.75" customHeight="1">
      <x:c r="A62" s="15" t="s">
        <x:v>2380</x:v>
      </x:c>
      <x:c r="B62" s="15" t="s">
        <x:v>2381</x:v>
      </x:c>
      <x:c r="C62" s="15">
        <x:v>0.0</x:v>
      </x:c>
      <x:c r="D62" s="15">
        <x:v>0.0</x:v>
      </x:c>
      <x:c r="E62" s="15">
        <x:v>0.0</x:v>
      </x:c>
      <x:c r="F62" s="15">
        <x:v>2.0</x:v>
      </x:c>
      <x:c r="G62" s="15">
        <x:v>0.0</x:v>
      </x:c>
      <x:c r="H62" s="15">
        <x:v>2.0</x:v>
      </x:c>
      <x:c r="I62" s="15">
        <x:v>0.0</x:v>
      </x:c>
      <x:c r="J62" s="15">
        <x:v>0.9</x:v>
      </x:c>
      <x:c r="K62" s="15">
        <x:v>0.0</x:v>
      </x:c>
      <x:c r="L62" s="15">
        <x:v>0.0</x:v>
      </x:c>
      <x:c r="M62" s="15">
        <x:v>0.0</x:v>
      </x:c>
      <x:c r="N62" s="15">
        <x:v>0.64</x:v>
      </x:c>
      <x:c r="O62" s="15" t="s">
        <x:v>2382</x:v>
      </x:c>
      <x:c r="P62" s="15">
        <x:v>1.35</x:v>
      </x:c>
      <x:c r="Q62" s="15" t="s">
        <x:v>25</x:v>
      </x:c>
      <x:c r="R62" s="15" t="s">
        <x:v>2034</x:v>
      </x:c>
      <x:c r="S62" s="15" t="s">
        <x:v>2030</x:v>
      </x:c>
    </x:row>
    <x:row r="63" ht="15.75" customHeight="1">
      <x:c r="A63" s="15" t="s">
        <x:v>2383</x:v>
      </x:c>
      <x:c r="B63" s="15" t="s">
        <x:v>2384</x:v>
      </x:c>
      <x:c r="C63" s="15">
        <x:v>0.0</x:v>
      </x:c>
      <x:c r="D63" s="15">
        <x:v>0.0</x:v>
      </x:c>
      <x:c r="E63" s="15">
        <x:v>0.0</x:v>
      </x:c>
      <x:c r="F63" s="15">
        <x:v>2.0</x:v>
      </x:c>
      <x:c r="G63" s="15">
        <x:v>1.0</x:v>
      </x:c>
      <x:c r="H63" s="15">
        <x:v>3.0</x:v>
      </x:c>
      <x:c r="I63" s="15">
        <x:v>0.0</x:v>
      </x:c>
      <x:c r="J63" s="15">
        <x:v>0.9</x:v>
      </x:c>
      <x:c r="K63" s="15">
        <x:v>0.0</x:v>
      </x:c>
      <x:c r="L63" s="15">
        <x:v>0.0</x:v>
      </x:c>
      <x:c r="M63" s="15">
        <x:v>0.0</x:v>
      </x:c>
      <x:c r="N63" s="15">
        <x:v>0.64</x:v>
      </x:c>
      <x:c r="O63" s="15" t="s">
        <x:v>2385</x:v>
      </x:c>
      <x:c r="P63" s="15">
        <x:v>1.35</x:v>
      </x:c>
      <x:c r="Q63" s="15" t="s">
        <x:v>25</x:v>
      </x:c>
      <x:c r="R63" s="15" t="s">
        <x:v>2041</x:v>
      </x:c>
      <x:c r="S63" s="15" t="s">
        <x:v>2027</x:v>
      </x:c>
    </x:row>
    <x:row r="64" ht="15.75" customHeight="1">
      <x:c r="A64" s="15" t="s">
        <x:v>2386</x:v>
      </x:c>
      <x:c r="B64" s="15" t="s">
        <x:v>2387</x:v>
      </x:c>
      <x:c r="C64" s="15">
        <x:v>0.0</x:v>
      </x:c>
      <x:c r="D64" s="15">
        <x:v>0.0</x:v>
      </x:c>
      <x:c r="E64" s="15">
        <x:v>0.0</x:v>
      </x:c>
      <x:c r="F64" s="15">
        <x:v>2.0</x:v>
      </x:c>
      <x:c r="G64" s="15">
        <x:v>0.0</x:v>
      </x:c>
      <x:c r="H64" s="15">
        <x:v>4.0</x:v>
      </x:c>
      <x:c r="I64" s="15">
        <x:v>0.0</x:v>
      </x:c>
      <x:c r="J64" s="15">
        <x:v>0.9</x:v>
      </x:c>
      <x:c r="K64" s="15">
        <x:v>0.0</x:v>
      </x:c>
      <x:c r="L64" s="15">
        <x:v>0.0</x:v>
      </x:c>
      <x:c r="M64" s="15">
        <x:v>0.0</x:v>
      </x:c>
      <x:c r="N64" s="15">
        <x:v>0.64</x:v>
      </x:c>
      <x:c r="O64" s="15" t="s">
        <x:v>2388</x:v>
      </x:c>
      <x:c r="P64" s="15">
        <x:v>1.35</x:v>
      </x:c>
      <x:c r="Q64" s="15" t="s">
        <x:v>25</x:v>
      </x:c>
      <x:c r="R64" s="15" t="s">
        <x:v>2041</x:v>
      </x:c>
      <x:c r="S64" s="15" t="s">
        <x:v>2030</x:v>
      </x:c>
    </x:row>
    <x:row r="65" ht="15.75" customHeight="1">
      <x:c r="A65" s="15" t="s">
        <x:v>2389</x:v>
      </x:c>
      <x:c r="B65" s="15" t="s">
        <x:v>2390</x:v>
      </x:c>
      <x:c r="C65" s="15">
        <x:v>0.0</x:v>
      </x:c>
      <x:c r="D65" s="15">
        <x:v>0.0</x:v>
      </x:c>
      <x:c r="E65" s="15">
        <x:v>0.0</x:v>
      </x:c>
      <x:c r="F65" s="15">
        <x:v>2.0</x:v>
      </x:c>
      <x:c r="G65" s="15">
        <x:v>2.0</x:v>
      </x:c>
      <x:c r="H65" s="15">
        <x:v>4.0</x:v>
      </x:c>
      <x:c r="I65" s="15">
        <x:v>0.0</x:v>
      </x:c>
      <x:c r="J65" s="15">
        <x:v>0.9</x:v>
      </x:c>
      <x:c r="K65" s="15">
        <x:v>0.0</x:v>
      </x:c>
      <x:c r="L65" s="15">
        <x:v>0.0</x:v>
      </x:c>
      <x:c r="M65" s="15">
        <x:v>0.0</x:v>
      </x:c>
      <x:c r="N65" s="15">
        <x:v>0.64</x:v>
      </x:c>
      <x:c r="O65" s="15" t="s">
        <x:v>2391</x:v>
      </x:c>
      <x:c r="P65" s="15">
        <x:v>1.35</x:v>
      </x:c>
      <x:c r="Q65" s="15" t="s">
        <x:v>25</x:v>
      </x:c>
      <x:c r="R65" s="15" t="s">
        <x:v>2048</x:v>
      </x:c>
      <x:c r="S65" s="15" t="s">
        <x:v>2027</x:v>
      </x:c>
    </x:row>
    <x:row r="66" ht="15.75" customHeight="1">
      <x:c r="A66" s="15" t="s">
        <x:v>2392</x:v>
      </x:c>
      <x:c r="B66" s="15" t="s">
        <x:v>2393</x:v>
      </x:c>
      <x:c r="C66" s="15">
        <x:v>0.0</x:v>
      </x:c>
      <x:c r="D66" s="15">
        <x:v>0.0</x:v>
      </x:c>
      <x:c r="E66" s="15">
        <x:v>0.0</x:v>
      </x:c>
      <x:c r="F66" s="15">
        <x:v>3.0</x:v>
      </x:c>
      <x:c r="G66" s="15">
        <x:v>1.0</x:v>
      </x:c>
      <x:c r="H66" s="15">
        <x:v>4.0</x:v>
      </x:c>
      <x:c r="I66" s="15">
        <x:v>0.0</x:v>
      </x:c>
      <x:c r="J66" s="15">
        <x:v>0.9</x:v>
      </x:c>
      <x:c r="K66" s="15">
        <x:v>0.0</x:v>
      </x:c>
      <x:c r="L66" s="15">
        <x:v>0.0</x:v>
      </x:c>
      <x:c r="M66" s="15">
        <x:v>0.0</x:v>
      </x:c>
      <x:c r="N66" s="15">
        <x:v>0.64</x:v>
      </x:c>
      <x:c r="O66" s="15" t="s">
        <x:v>2394</x:v>
      </x:c>
      <x:c r="P66" s="15">
        <x:v>1.35</x:v>
      </x:c>
      <x:c r="Q66" s="15" t="s">
        <x:v>25</x:v>
      </x:c>
      <x:c r="R66" s="15" t="s">
        <x:v>2048</x:v>
      </x:c>
      <x:c r="S66" s="15" t="s">
        <x:v>2030</x:v>
      </x:c>
    </x:row>
    <x:row r="67" ht="15.75" customHeight="1">
      <x:c r="A67" s="15" t="s">
        <x:v>2395</x:v>
      </x:c>
      <x:c r="B67" s="15" t="s">
        <x:v>2349</x:v>
      </x:c>
      <x:c r="C67" s="15">
        <x:v>0.0</x:v>
      </x:c>
      <x:c r="D67" s="15">
        <x:v>0.0</x:v>
      </x:c>
      <x:c r="E67" s="15">
        <x:v>0.0</x:v>
      </x:c>
      <x:c r="F67" s="15">
        <x:v>0.0</x:v>
      </x:c>
      <x:c r="G67" s="15">
        <x:v>0.0</x:v>
      </x:c>
      <x:c r="H67" s="15">
        <x:v>3.0</x:v>
      </x:c>
      <x:c r="I67" s="15">
        <x:v>0.0</x:v>
      </x:c>
      <x:c r="J67" s="15">
        <x:v>1.1</x:v>
      </x:c>
      <x:c r="K67" s="15">
        <x:v>0.0</x:v>
      </x:c>
      <x:c r="L67" s="15">
        <x:v>0.0</x:v>
      </x:c>
      <x:c r="M67" s="15">
        <x:v>0.0</x:v>
      </x:c>
      <x:c r="N67" s="15">
        <x:v>0.62</x:v>
      </x:c>
      <x:c r="O67" s="15" t="s">
        <x:v>2396</x:v>
      </x:c>
      <x:c r="P67" s="15">
        <x:v>1.2</x:v>
      </x:c>
      <x:c r="Q67" s="15" t="s">
        <x:v>25</x:v>
      </x:c>
      <x:c r="R67" s="15" t="s">
        <x:v>2026</x:v>
      </x:c>
      <x:c r="S67" s="15" t="s">
        <x:v>2027</x:v>
      </x:c>
    </x:row>
    <x:row r="68" ht="15.75" customHeight="1">
      <x:c r="A68" s="15" t="s">
        <x:v>2397</x:v>
      </x:c>
      <x:c r="B68" s="15" t="s">
        <x:v>311</x:v>
      </x:c>
      <x:c r="C68" s="15">
        <x:v>1.0</x:v>
      </x:c>
      <x:c r="D68" s="15">
        <x:v>0.0</x:v>
      </x:c>
      <x:c r="E68" s="15">
        <x:v>0.0</x:v>
      </x:c>
      <x:c r="F68" s="15">
        <x:v>0.0</x:v>
      </x:c>
      <x:c r="G68" s="15">
        <x:v>0.0</x:v>
      </x:c>
      <x:c r="H68" s="15">
        <x:v>2.0</x:v>
      </x:c>
      <x:c r="I68" s="15">
        <x:v>0.0</x:v>
      </x:c>
      <x:c r="J68" s="15">
        <x:v>1.1</x:v>
      </x:c>
      <x:c r="K68" s="15">
        <x:v>0.0</x:v>
      </x:c>
      <x:c r="L68" s="15">
        <x:v>0.0</x:v>
      </x:c>
      <x:c r="M68" s="15">
        <x:v>0.0</x:v>
      </x:c>
      <x:c r="N68" s="15">
        <x:v>0.62</x:v>
      </x:c>
      <x:c r="O68" s="15" t="s">
        <x:v>2398</x:v>
      </x:c>
      <x:c r="P68" s="15">
        <x:v>1.2</x:v>
      </x:c>
      <x:c r="Q68" s="15" t="s">
        <x:v>25</x:v>
      </x:c>
      <x:c r="R68" s="15" t="s">
        <x:v>2026</x:v>
      </x:c>
      <x:c r="S68" s="15" t="s">
        <x:v>2030</x:v>
      </x:c>
    </x:row>
    <x:row r="69" ht="15.75" customHeight="1">
      <x:c r="A69" s="15" t="s">
        <x:v>2399</x:v>
      </x:c>
      <x:c r="B69" s="15" t="s">
        <x:v>2400</x:v>
      </x:c>
      <x:c r="C69" s="15">
        <x:v>1.0</x:v>
      </x:c>
      <x:c r="D69" s="15">
        <x:v>0.0</x:v>
      </x:c>
      <x:c r="E69" s="15">
        <x:v>0.0</x:v>
      </x:c>
      <x:c r="F69" s="15">
        <x:v>0.0</x:v>
      </x:c>
      <x:c r="G69" s="15">
        <x:v>0.0</x:v>
      </x:c>
      <x:c r="H69" s="15">
        <x:v>3.0</x:v>
      </x:c>
      <x:c r="I69" s="15">
        <x:v>0.0</x:v>
      </x:c>
      <x:c r="J69" s="15">
        <x:v>1.1</x:v>
      </x:c>
      <x:c r="K69" s="15">
        <x:v>0.0</x:v>
      </x:c>
      <x:c r="L69" s="15">
        <x:v>0.0</x:v>
      </x:c>
      <x:c r="M69" s="15">
        <x:v>0.0</x:v>
      </x:c>
      <x:c r="N69" s="15">
        <x:v>0.62</x:v>
      </x:c>
      <x:c r="O69" s="15" t="s">
        <x:v>2401</x:v>
      </x:c>
      <x:c r="P69" s="15">
        <x:v>1.2</x:v>
      </x:c>
      <x:c r="Q69" s="15" t="s">
        <x:v>25</x:v>
      </x:c>
      <x:c r="R69" s="15" t="s">
        <x:v>2034</x:v>
      </x:c>
      <x:c r="S69" s="15" t="s">
        <x:v>2027</x:v>
      </x:c>
    </x:row>
    <x:row r="70" ht="15.75" customHeight="1">
      <x:c r="A70" s="15" t="s">
        <x:v>2402</x:v>
      </x:c>
      <x:c r="B70" s="15" t="s">
        <x:v>2403</x:v>
      </x:c>
      <x:c r="C70" s="15">
        <x:v>2.0</x:v>
      </x:c>
      <x:c r="D70" s="15">
        <x:v>0.0</x:v>
      </x:c>
      <x:c r="E70" s="15">
        <x:v>0.0</x:v>
      </x:c>
      <x:c r="F70" s="15">
        <x:v>0.0</x:v>
      </x:c>
      <x:c r="G70" s="15">
        <x:v>0.0</x:v>
      </x:c>
      <x:c r="H70" s="15">
        <x:v>2.0</x:v>
      </x:c>
      <x:c r="I70" s="15">
        <x:v>0.0</x:v>
      </x:c>
      <x:c r="J70" s="15">
        <x:v>1.1</x:v>
      </x:c>
      <x:c r="K70" s="15">
        <x:v>0.0</x:v>
      </x:c>
      <x:c r="L70" s="15">
        <x:v>0.0</x:v>
      </x:c>
      <x:c r="M70" s="15">
        <x:v>0.0</x:v>
      </x:c>
      <x:c r="N70" s="15">
        <x:v>0.62</x:v>
      </x:c>
      <x:c r="O70" s="15" t="s">
        <x:v>2404</x:v>
      </x:c>
      <x:c r="P70" s="15">
        <x:v>1.2</x:v>
      </x:c>
      <x:c r="Q70" s="15" t="s">
        <x:v>25</x:v>
      </x:c>
      <x:c r="R70" s="15" t="s">
        <x:v>2034</x:v>
      </x:c>
      <x:c r="S70" s="15" t="s">
        <x:v>2030</x:v>
      </x:c>
    </x:row>
    <x:row r="71" ht="15.75" customHeight="1">
      <x:c r="A71" s="15" t="s">
        <x:v>2405</x:v>
      </x:c>
      <x:c r="B71" s="15" t="s">
        <x:v>2406</x:v>
      </x:c>
      <x:c r="C71" s="15">
        <x:v>2.0</x:v>
      </x:c>
      <x:c r="D71" s="15">
        <x:v>0.0</x:v>
      </x:c>
      <x:c r="E71" s="15">
        <x:v>1.0</x:v>
      </x:c>
      <x:c r="F71" s="15">
        <x:v>0.0</x:v>
      </x:c>
      <x:c r="G71" s="15">
        <x:v>0.0</x:v>
      </x:c>
      <x:c r="H71" s="15">
        <x:v>3.0</x:v>
      </x:c>
      <x:c r="I71" s="15">
        <x:v>0.0</x:v>
      </x:c>
      <x:c r="J71" s="15">
        <x:v>1.1</x:v>
      </x:c>
      <x:c r="K71" s="15">
        <x:v>0.0</x:v>
      </x:c>
      <x:c r="L71" s="15">
        <x:v>0.0</x:v>
      </x:c>
      <x:c r="M71" s="15">
        <x:v>0.0</x:v>
      </x:c>
      <x:c r="N71" s="15">
        <x:v>0.62</x:v>
      </x:c>
      <x:c r="O71" s="15" t="s">
        <x:v>2407</x:v>
      </x:c>
      <x:c r="P71" s="15">
        <x:v>1.2</x:v>
      </x:c>
      <x:c r="Q71" s="15" t="s">
        <x:v>25</x:v>
      </x:c>
      <x:c r="R71" s="15" t="s">
        <x:v>2041</x:v>
      </x:c>
      <x:c r="S71" s="15" t="s">
        <x:v>2027</x:v>
      </x:c>
    </x:row>
    <x:row r="72" ht="15.75" customHeight="1">
      <x:c r="A72" s="15" t="s">
        <x:v>2408</x:v>
      </x:c>
      <x:c r="B72" s="15" t="s">
        <x:v>2409</x:v>
      </x:c>
      <x:c r="C72" s="15">
        <x:v>2.0</x:v>
      </x:c>
      <x:c r="D72" s="15">
        <x:v>0.0</x:v>
      </x:c>
      <x:c r="E72" s="15">
        <x:v>0.0</x:v>
      </x:c>
      <x:c r="F72" s="15">
        <x:v>0.0</x:v>
      </x:c>
      <x:c r="G72" s="15">
        <x:v>0.0</x:v>
      </x:c>
      <x:c r="H72" s="15">
        <x:v>4.0</x:v>
      </x:c>
      <x:c r="I72" s="15">
        <x:v>0.0</x:v>
      </x:c>
      <x:c r="J72" s="15">
        <x:v>1.1</x:v>
      </x:c>
      <x:c r="K72" s="15">
        <x:v>0.0</x:v>
      </x:c>
      <x:c r="L72" s="15">
        <x:v>0.0</x:v>
      </x:c>
      <x:c r="M72" s="15">
        <x:v>0.0</x:v>
      </x:c>
      <x:c r="N72" s="15">
        <x:v>0.62</x:v>
      </x:c>
      <x:c r="O72" s="15" t="s">
        <x:v>2410</x:v>
      </x:c>
      <x:c r="P72" s="15">
        <x:v>1.2</x:v>
      </x:c>
      <x:c r="Q72" s="15" t="s">
        <x:v>25</x:v>
      </x:c>
      <x:c r="R72" s="15" t="s">
        <x:v>2041</x:v>
      </x:c>
      <x:c r="S72" s="15" t="s">
        <x:v>2030</x:v>
      </x:c>
    </x:row>
    <x:row r="73" ht="15.75" customHeight="1">
      <x:c r="A73" s="15" t="s">
        <x:v>2411</x:v>
      </x:c>
      <x:c r="B73" s="15" t="s">
        <x:v>2412</x:v>
      </x:c>
      <x:c r="C73" s="15">
        <x:v>2.0</x:v>
      </x:c>
      <x:c r="D73" s="15">
        <x:v>0.0</x:v>
      </x:c>
      <x:c r="E73" s="15">
        <x:v>2.0</x:v>
      </x:c>
      <x:c r="F73" s="15">
        <x:v>0.0</x:v>
      </x:c>
      <x:c r="G73" s="15">
        <x:v>0.0</x:v>
      </x:c>
      <x:c r="H73" s="15">
        <x:v>4.0</x:v>
      </x:c>
      <x:c r="I73" s="15">
        <x:v>0.0</x:v>
      </x:c>
      <x:c r="J73" s="15">
        <x:v>1.1</x:v>
      </x:c>
      <x:c r="K73" s="15">
        <x:v>0.0</x:v>
      </x:c>
      <x:c r="L73" s="15">
        <x:v>0.0</x:v>
      </x:c>
      <x:c r="M73" s="15">
        <x:v>0.0</x:v>
      </x:c>
      <x:c r="N73" s="15">
        <x:v>0.62</x:v>
      </x:c>
      <x:c r="O73" s="15" t="s">
        <x:v>2413</x:v>
      </x:c>
      <x:c r="P73" s="15">
        <x:v>1.2</x:v>
      </x:c>
      <x:c r="Q73" s="15" t="s">
        <x:v>25</x:v>
      </x:c>
      <x:c r="R73" s="15" t="s">
        <x:v>2048</x:v>
      </x:c>
      <x:c r="S73" s="15" t="s">
        <x:v>2027</x:v>
      </x:c>
    </x:row>
    <x:row r="74" ht="15.75" customHeight="1">
      <x:c r="A74" s="15" t="s">
        <x:v>2414</x:v>
      </x:c>
      <x:c r="B74" s="15" t="s">
        <x:v>2415</x:v>
      </x:c>
      <x:c r="C74" s="15">
        <x:v>3.0</x:v>
      </x:c>
      <x:c r="D74" s="15">
        <x:v>0.0</x:v>
      </x:c>
      <x:c r="E74" s="15">
        <x:v>1.0</x:v>
      </x:c>
      <x:c r="F74" s="15">
        <x:v>0.0</x:v>
      </x:c>
      <x:c r="G74" s="15">
        <x:v>0.0</x:v>
      </x:c>
      <x:c r="H74" s="15">
        <x:v>4.0</x:v>
      </x:c>
      <x:c r="I74" s="15">
        <x:v>0.0</x:v>
      </x:c>
      <x:c r="J74" s="15">
        <x:v>1.1</x:v>
      </x:c>
      <x:c r="K74" s="15">
        <x:v>0.0</x:v>
      </x:c>
      <x:c r="L74" s="15">
        <x:v>0.0</x:v>
      </x:c>
      <x:c r="M74" s="15">
        <x:v>0.0</x:v>
      </x:c>
      <x:c r="N74" s="15">
        <x:v>0.62</x:v>
      </x:c>
      <x:c r="O74" s="15" t="s">
        <x:v>2416</x:v>
      </x:c>
      <x:c r="P74" s="15">
        <x:v>1.2</x:v>
      </x:c>
      <x:c r="Q74" s="15" t="s">
        <x:v>25</x:v>
      </x:c>
      <x:c r="R74" s="15" t="s">
        <x:v>2048</x:v>
      </x:c>
      <x:c r="S74" s="15" t="s">
        <x:v>2030</x:v>
      </x:c>
    </x:row>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pageMargins left="0.7" right="0.7" top="0.75" bottom="0.75" header="0.3" footer="0.3"/>
</x:worksheet>
</file>

<file path=xl/worksheets/sheet18.xml><?xml version="1.0" encoding="utf-8"?>
<x:worksheet xmlns:x="http://schemas.openxmlformats.org/spreadsheetml/2006/main">
  <x:sheetFormatPr defaultColWidth="12.630000114440918" defaultRowHeight="15"/>
  <x:cols>
    <x:col min="1" max="1" width="16" customWidth="1"/>
    <x:col min="2" max="2" width="8.630000114440918" customWidth="1"/>
    <x:col min="3" max="3" width="9.75" customWidth="1"/>
    <x:col min="4" max="4" width="14.5" customWidth="1"/>
    <x:col min="5" max="5" width="8" customWidth="1"/>
    <x:col min="6" max="6" width="8.25" customWidth="1"/>
    <x:col min="7" max="7" width="17.1299991607666" customWidth="1"/>
    <x:col min="8" max="8" width="9.75" customWidth="1"/>
    <x:col min="9" max="9" width="11.25" customWidth="1"/>
    <x:col min="10" max="10" width="11.880000114440918" customWidth="1"/>
    <x:col min="11" max="11" width="18" customWidth="1"/>
    <x:col min="12" max="12" width="6" customWidth="1"/>
    <x:col min="13" max="13" width="12" customWidth="1"/>
    <x:col min="14" max="14" width="12.25" customWidth="1"/>
    <x:col min="15" max="15" width="10.130000114440918" customWidth="1"/>
    <x:col min="16" max="16" width="12" customWidth="1"/>
    <x:col min="17" max="17" width="9.880000114440918" customWidth="1"/>
    <x:col min="18" max="18" width="8.5" customWidth="1"/>
    <x:col min="19" max="19" width="15.880000114440918" customWidth="1"/>
  </x:cols>
  <x:sheetData>
    <x:row r="1" ht="14.25" customHeight="1">
      <x:c r="A1" s="113" t="s">
        <x:v>2417</x:v>
      </x:c>
      <x:c r="B1" s="113"/>
      <x:c r="C1" s="113" t="s">
        <x:v>461</x:v>
      </x:c>
      <x:c r="D1" s="113" t="s">
        <x:v>485</x:v>
      </x:c>
      <x:c r="E1" s="113" t="s">
        <x:v>507</x:v>
      </x:c>
      <x:c r="F1" s="113" t="s">
        <x:v>529</x:v>
      </x:c>
      <x:c r="G1" s="113" t="s">
        <x:v>551</x:v>
      </x:c>
      <x:c r="H1" s="113" t="s">
        <x:v>576</x:v>
      </x:c>
      <x:c r="I1" s="113" t="s">
        <x:v>597</x:v>
      </x:c>
      <x:c r="J1" s="113" t="s">
        <x:v>620</x:v>
      </x:c>
      <x:c r="K1" s="113" t="s">
        <x:v>640</x:v>
      </x:c>
      <x:c r="L1" s="113" t="s">
        <x:v>661</x:v>
      </x:c>
      <x:c r="M1" s="113" t="s">
        <x:v>13</x:v>
      </x:c>
      <x:c r="N1" s="113" t="s">
        <x:v>701</x:v>
      </x:c>
      <x:c r="O1" s="113" t="s">
        <x:v>725</x:v>
      </x:c>
      <x:c r="P1" s="113" t="s">
        <x:v>746</x:v>
      </x:c>
      <x:c r="Q1" s="113" t="s">
        <x:v>766</x:v>
      </x:c>
      <x:c r="R1" s="113" t="s">
        <x:v>787</x:v>
      </x:c>
      <x:c r="S1" s="113" t="s">
        <x:v>805</x:v>
      </x:c>
      <x:c r="U1" s="15" t="e">
        <x:f>IFERROR(__xludf.DUMMYFUNCTION("IFERROR(FILTER(INDEX(Listes_Familles!$C$2:$S$100,,MATCH(Createur!$B$6,Listes_Familles!$C$1:$S$1,0)),INDEX(Listes_Familles!$C$2:$S$100,,MATCH(Createur!$B$6,Listes_Familles!$C$1:$S$1,0))&lt;&gt;""""),"""")"),"Aucune")</x:f>
        <x:v>#NAME?</x:v>
      </x:c>
      <x:c r="V1" s="15" t="e">
        <x:f>IFERROR(__xludf.DUMMYFUNCTION("FILTER(Capacites!A2:A106, (Capacites!C2:C106=""Général"") + (Capacites!C2:C106=Createur!B6))"),"Attaque - Bonus toucher")</x:f>
        <x:v>#NAME?</x:v>
      </x:c>
      <x:c r="W1" s="15" t="e">
        <x:f>IFERROR(__xludf.DUMMYFUNCTION("FILTER(Passifs!A2:A106, (Passifs!C2:C106=""Général"") + (Passifs!C2:C106=Createur!B6))"),"Vulnérabilité - Feu")</x:f>
        <x:v>#NAME?</x:v>
      </x:c>
      <x:c r="X1" s="15" t="e">
        <x:f>IFERROR(__xludf.DUMMYFUNCTION("FILTER(Sorts!A2:B110, (Sorts!C2:C110=""Général"") + (Sorts!C2:C110=Createur!C6))"),"Sort - Projectile automatique")</x:f>
        <x:v>#NAME?</x:v>
      </x:c>
      <x:c r="Y1" s="15" t="e">
        <x:f>IFERROR(__xludf.DUMMYFUNCTION("""COMPUTED_VALUE"""),"Dégâts")</x:f>
        <x:v>#NAME?</x:v>
      </x:c>
    </x:row>
    <x:row r="2" ht="14.25" customHeight="1">
      <x:c r="A2" s="15" t="s">
        <x:v>461</x:v>
      </x:c>
      <x:c r="C2" s="15" t="s">
        <x:v>828</x:v>
      </x:c>
      <x:c r="D2" s="15" t="s">
        <x:v>828</x:v>
      </x:c>
      <x:c r="E2" s="15" t="s">
        <x:v>828</x:v>
      </x:c>
      <x:c r="F2" s="15" t="s">
        <x:v>828</x:v>
      </x:c>
      <x:c r="G2" s="15" t="s">
        <x:v>828</x:v>
      </x:c>
      <x:c r="H2" s="15" t="s">
        <x:v>828</x:v>
      </x:c>
      <x:c r="I2" s="15" t="s">
        <x:v>828</x:v>
      </x:c>
      <x:c r="J2" s="15" t="s">
        <x:v>828</x:v>
      </x:c>
      <x:c r="K2" s="15" t="s">
        <x:v>828</x:v>
      </x:c>
      <x:c r="L2" s="15" t="s">
        <x:v>828</x:v>
      </x:c>
      <x:c r="M2" s="15" t="s">
        <x:v>828</x:v>
      </x:c>
      <x:c r="N2" s="15" t="s">
        <x:v>828</x:v>
      </x:c>
      <x:c r="O2" s="15" t="s">
        <x:v>828</x:v>
      </x:c>
      <x:c r="P2" s="15" t="s">
        <x:v>828</x:v>
      </x:c>
      <x:c r="Q2" s="15" t="s">
        <x:v>828</x:v>
      </x:c>
      <x:c r="R2" s="15" t="s">
        <x:v>828</x:v>
      </x:c>
      <x:c r="S2" s="15" t="s">
        <x:v>828</x:v>
      </x:c>
      <x:c r="U2" s="15" t="e">
        <x:f>IFERROR(__xludf.DUMMYFUNCTION("""COMPUTED_VALUE"""),"Démon mineur")</x:f>
        <x:v>#NAME?</x:v>
      </x:c>
      <x:c r="V2" s="15" t="e">
        <x:f>IFERROR(__xludf.DUMMYFUNCTION("""COMPUTED_VALUE"""),"Attaque - Bonus dégâts")</x:f>
        <x:v>#NAME?</x:v>
      </x:c>
      <x:c r="W2" s="15" t="e">
        <x:f>IFERROR(__xludf.DUMMYFUNCTION("""COMPUTED_VALUE"""),"Vulnérabilité - Froid")</x:f>
        <x:v>#NAME?</x:v>
      </x:c>
      <x:c r="X2" s="15" t="e">
        <x:f>IFERROR(__xludf.DUMMYFUNCTION("""COMPUTED_VALUE"""),"Sort - Projectile puissant")</x:f>
        <x:v>#NAME?</x:v>
      </x:c>
      <x:c r="Y2" s="15" t="e">
        <x:f>IFERROR(__xludf.DUMMYFUNCTION("""COMPUTED_VALUE"""),"Dégâts")</x:f>
        <x:v>#NAME?</x:v>
      </x:c>
    </x:row>
    <x:row r="3" ht="14.25" customHeight="1">
      <x:c r="A3" s="15" t="s">
        <x:v>485</x:v>
      </x:c>
      <x:c r="C3" s="15" t="s">
        <x:v>2418</x:v>
      </x:c>
      <x:c r="D3" s="15" t="s">
        <x:v>2419</x:v>
      </x:c>
      <x:c r="E3" s="15" t="s">
        <x:v>2420</x:v>
      </x:c>
      <x:c r="F3" s="15" t="s">
        <x:v>2421</x:v>
      </x:c>
      <x:c r="G3" s="15" t="s">
        <x:v>2422</x:v>
      </x:c>
      <x:c r="H3" s="15" t="s">
        <x:v>2423</x:v>
      </x:c>
      <x:c r="I3" s="15" t="s">
        <x:v>2424</x:v>
      </x:c>
      <x:c r="J3" s="15" t="s">
        <x:v>2425</x:v>
      </x:c>
      <x:c r="K3" s="15" t="s">
        <x:v>2426</x:v>
      </x:c>
      <x:c r="M3" s="15" t="s">
        <x:v>2427</x:v>
      </x:c>
      <x:c r="N3" s="15" t="s">
        <x:v>2428</x:v>
      </x:c>
      <x:c r="O3" s="15" t="s">
        <x:v>2429</x:v>
      </x:c>
      <x:c r="P3" s="15" t="s">
        <x:v>2430</x:v>
      </x:c>
      <x:c r="Q3" s="15" t="s">
        <x:v>2431</x:v>
      </x:c>
      <x:c r="R3" s="15" t="s">
        <x:v>2432</x:v>
      </x:c>
      <x:c r="S3" s="15" t="s">
        <x:v>2433</x:v>
      </x:c>
      <x:c r="U3" s="15" t="e">
        <x:f>IFERROR(__xludf.DUMMYFUNCTION("""COMPUTED_VALUE"""),"Brute infernale")</x:f>
        <x:v>#NAME?</x:v>
      </x:c>
      <x:c r="V3" s="15" t="e">
        <x:f>IFERROR(__xludf.DUMMYFUNCTION("""COMPUTED_VALUE"""),"Attaque - Risque pour dégâts")</x:f>
        <x:v>#NAME?</x:v>
      </x:c>
      <x:c r="W3" s="15" t="e">
        <x:f>IFERROR(__xludf.DUMMYFUNCTION("""COMPUTED_VALUE"""),"Vulnérabilité - Acide")</x:f>
        <x:v>#NAME?</x:v>
      </x:c>
      <x:c r="X3" s="15" t="e">
        <x:f>IFERROR(__xludf.DUMMYFUNCTION("""COMPUTED_VALUE"""),"Sort - Rayon brûlant")</x:f>
        <x:v>#NAME?</x:v>
      </x:c>
      <x:c r="Y3" s="15" t="e">
        <x:f>IFERROR(__xludf.DUMMYFUNCTION("""COMPUTED_VALUE"""),"Dégâts feu")</x:f>
        <x:v>#NAME?</x:v>
      </x:c>
    </x:row>
    <x:row r="4" ht="14.25" customHeight="1">
      <x:c r="A4" s="15" t="s">
        <x:v>507</x:v>
      </x:c>
      <x:c r="C4" s="15" t="s">
        <x:v>2434</x:v>
      </x:c>
      <x:c r="D4" s="15" t="s">
        <x:v>2435</x:v>
      </x:c>
      <x:c r="E4" s="15" t="s">
        <x:v>2436</x:v>
      </x:c>
      <x:c r="F4" s="15" t="s">
        <x:v>2437</x:v>
      </x:c>
      <x:c r="G4" s="15" t="s">
        <x:v>2438</x:v>
      </x:c>
      <x:c r="H4" s="15" t="s">
        <x:v>2439</x:v>
      </x:c>
      <x:c r="I4" s="15" t="s">
        <x:v>2440</x:v>
      </x:c>
      <x:c r="J4" s="15" t="s">
        <x:v>2441</x:v>
      </x:c>
      <x:c r="K4" s="15" t="s">
        <x:v>2442</x:v>
      </x:c>
      <x:c r="M4" s="15" t="s">
        <x:v>2443</x:v>
      </x:c>
      <x:c r="N4" s="15" t="s">
        <x:v>2444</x:v>
      </x:c>
      <x:c r="O4" s="15" t="s">
        <x:v>2445</x:v>
      </x:c>
      <x:c r="P4" s="15" t="s">
        <x:v>2446</x:v>
      </x:c>
      <x:c r="Q4" s="15" t="s">
        <x:v>2447</x:v>
      </x:c>
      <x:c r="R4" s="15" t="s">
        <x:v>2448</x:v>
      </x:c>
      <x:c r="S4" s="15" t="s">
        <x:v>2449</x:v>
      </x:c>
      <x:c r="U4" s="15" t="e">
        <x:f>IFERROR(__xludf.DUMMYFUNCTION("""COMPUTED_VALUE"""),"Corrupteur")</x:f>
        <x:v>#NAME?</x:v>
      </x:c>
      <x:c r="V4" s="15" t="e">
        <x:f>IFERROR(__xludf.DUMMYFUNCTION("""COMPUTED_VALUE"""),"Attaque - Charge offensive")</x:f>
        <x:v>#NAME?</x:v>
      </x:c>
      <x:c r="W4" s="15" t="e">
        <x:f>IFERROR(__xludf.DUMMYFUNCTION("""COMPUTED_VALUE"""),"Vulnérabilité - Électrique")</x:f>
        <x:v>#NAME?</x:v>
      </x:c>
      <x:c r="X4" s="15" t="e">
        <x:f>IFERROR(__xludf.DUMMYFUNCTION("""COMPUTED_VALUE"""),"Sort - Explosion de feu")</x:f>
        <x:v>#NAME?</x:v>
      </x:c>
      <x:c r="Y4" s="15" t="e">
        <x:f>IFERROR(__xludf.DUMMYFUNCTION("""COMPUTED_VALUE"""),"AOE dégâts")</x:f>
        <x:v>#NAME?</x:v>
      </x:c>
    </x:row>
    <x:row r="5" ht="14.25" customHeight="1">
      <x:c r="A5" s="15" t="s">
        <x:v>529</x:v>
      </x:c>
      <x:c r="C5" s="15" t="s">
        <x:v>2450</x:v>
      </x:c>
      <x:c r="D5" s="15" t="s">
        <x:v>2451</x:v>
      </x:c>
      <x:c r="E5" s="15" t="s">
        <x:v>2452</x:v>
      </x:c>
      <x:c r="F5" s="15" t="s">
        <x:v>2453</x:v>
      </x:c>
      <x:c r="G5" s="15" t="s">
        <x:v>2454</x:v>
      </x:c>
      <x:c r="H5" s="15" t="s">
        <x:v>2455</x:v>
      </x:c>
      <x:c r="I5" s="15" t="s">
        <x:v>2456</x:v>
      </x:c>
      <x:c r="J5" s="15" t="s">
        <x:v>2457</x:v>
      </x:c>
      <x:c r="K5" s="15" t="s">
        <x:v>2458</x:v>
      </x:c>
      <x:c r="M5" s="15" t="s">
        <x:v>2459</x:v>
      </x:c>
      <x:c r="N5" s="15" t="s">
        <x:v>2460</x:v>
      </x:c>
      <x:c r="O5" s="15" t="s">
        <x:v>2461</x:v>
      </x:c>
      <x:c r="P5" s="15" t="s">
        <x:v>2462</x:v>
      </x:c>
      <x:c r="Q5" s="15" t="s">
        <x:v>2463</x:v>
      </x:c>
      <x:c r="R5" s="15" t="s">
        <x:v>2464</x:v>
      </x:c>
      <x:c r="S5" s="15" t="s">
        <x:v>2465</x:v>
      </x:c>
      <x:c r="V5" s="15" t="e">
        <x:f>IFERROR(__xludf.DUMMYFUNCTION("""COMPUTED_VALUE"""),"Attaque - Charge + renversement")</x:f>
        <x:v>#NAME?</x:v>
      </x:c>
      <x:c r="W5" s="15" t="e">
        <x:f>IFERROR(__xludf.DUMMYFUNCTION("""COMPUTED_VALUE"""),"Vulnérabilité - Poison")</x:f>
        <x:v>#NAME?</x:v>
      </x:c>
      <x:c r="X5" s="15" t="e">
        <x:f>IFERROR(__xludf.DUMMYFUNCTION("""COMPUTED_VALUE"""),"Sort - Cône sonore")</x:f>
        <x:v>#NAME?</x:v>
      </x:c>
      <x:c r="Y5" s="15" t="e">
        <x:f>IFERROR(__xludf.DUMMYFUNCTION("""COMPUTED_VALUE"""),"AOE cône")</x:f>
        <x:v>#NAME?</x:v>
      </x:c>
    </x:row>
    <x:row r="6" ht="14.25" customHeight="1">
      <x:c r="A6" s="15" t="s">
        <x:v>551</x:v>
      </x:c>
      <x:c r="O6" s="15" t="s">
        <x:v>76</x:v>
      </x:c>
      <x:c r="S6" s="15" t="s">
        <x:v>2466</x:v>
      </x:c>
      <x:c r="V6" s="15" t="e">
        <x:f>IFERROR(__xludf.DUMMYFUNCTION("""COMPUTED_VALUE"""),"Attaque - Renversement")</x:f>
        <x:v>#NAME?</x:v>
      </x:c>
      <x:c r="W6" s="15" t="e">
        <x:f>IFERROR(__xludf.DUMMYFUNCTION("""COMPUTED_VALUE"""),"Vulnérabilité - Maladie")</x:f>
        <x:v>#NAME?</x:v>
      </x:c>
      <x:c r="X6" s="15" t="e">
        <x:f>IFERROR(__xludf.DUMMYFUNCTION("""COMPUTED_VALUE"""),"Sort - Onde de renversement")</x:f>
        <x:v>#NAME?</x:v>
      </x:c>
      <x:c r="Y6" s="15" t="e">
        <x:f>IFERROR(__xludf.DUMMYFUNCTION("""COMPUTED_VALUE"""),"AOE contrôle")</x:f>
        <x:v>#NAME?</x:v>
      </x:c>
    </x:row>
    <x:row r="7" ht="14.25" customHeight="1">
      <x:c r="A7" s="15" t="s">
        <x:v>576</x:v>
      </x:c>
      <x:c r="O7" s="15" t="s">
        <x:v>2467</x:v>
      </x:c>
      <x:c r="S7" s="15" t="s">
        <x:v>2468</x:v>
      </x:c>
      <x:c r="V7" s="15" t="e">
        <x:f>IFERROR(__xludf.DUMMYFUNCTION("""COMPUTED_VALUE"""),"Attaque - Ralentissement")</x:f>
        <x:v>#NAME?</x:v>
      </x:c>
      <x:c r="W7" s="15" t="e">
        <x:f>IFERROR(__xludf.DUMMYFUNCTION("""COMPUTED_VALUE"""),"Vulnérabilité - Fer froid")</x:f>
        <x:v>#NAME?</x:v>
      </x:c>
      <x:c r="X7" s="15" t="e">
        <x:f>IFERROR(__xludf.DUMMYFUNCTION("""COMPUTED_VALUE"""),"Sort - Entrave magique")</x:f>
        <x:v>#NAME?</x:v>
      </x:c>
      <x:c r="Y7" s="15" t="e">
        <x:f>IFERROR(__xludf.DUMMYFUNCTION("""COMPUTED_VALUE"""),"Contrôle")</x:f>
        <x:v>#NAME?</x:v>
      </x:c>
    </x:row>
    <x:row r="8" ht="14.25" customHeight="1">
      <x:c r="A8" s="15" t="s">
        <x:v>597</x:v>
      </x:c>
      <x:c r="O8" s="15" t="s">
        <x:v>79</x:v>
      </x:c>
      <x:c r="S8" s="15" t="s">
        <x:v>2469</x:v>
      </x:c>
      <x:c r="V8" s="15" t="e">
        <x:f>IFERROR(__xludf.DUMMYFUNCTION("""COMPUTED_VALUE"""),"Attaque - Immobilisation")</x:f>
        <x:v>#NAME?</x:v>
      </x:c>
      <x:c r="W8" s="15" t="e">
        <x:f>IFERROR(__xludf.DUMMYFUNCTION("""COMPUTED_VALUE"""),"Vulnérabilité - Tueur de catégorie")</x:f>
        <x:v>#NAME?</x:v>
      </x:c>
      <x:c r="X8" s="15" t="e">
        <x:f>IFERROR(__xludf.DUMMYFUNCTION("""COMPUTED_VALUE"""),"Sort - Ralentissement magique")</x:f>
        <x:v>#NAME?</x:v>
      </x:c>
      <x:c r="Y8" s="15" t="e">
        <x:f>IFERROR(__xludf.DUMMYFUNCTION("""COMPUTED_VALUE"""),"Contrôle")</x:f>
        <x:v>#NAME?</x:v>
      </x:c>
    </x:row>
    <x:row r="9" ht="14.25" customHeight="1">
      <x:c r="A9" s="15" t="s">
        <x:v>620</x:v>
      </x:c>
      <x:c r="O9" s="15" t="s">
        <x:v>2470</x:v>
      </x:c>
      <x:c r="V9" s="15" t="e">
        <x:f>IFERROR(__xludf.DUMMYFUNCTION("""COMPUTED_VALUE"""),"Attaque - Affaiblissement")</x:f>
        <x:v>#NAME?</x:v>
      </x:c>
      <x:c r="W9" s="15" t="e">
        <x:f>IFERROR(__xludf.DUMMYFUNCTION("""COMPUTED_VALUE"""),"Vulnérabilité - Grande taille")</x:f>
        <x:v>#NAME?</x:v>
      </x:c>
      <x:c r="X9" s="15" t="e">
        <x:f>IFERROR(__xludf.DUMMYFUNCTION("""COMPUTED_VALUE"""),"Sort - Étourdissement ciblé")</x:f>
        <x:v>#NAME?</x:v>
      </x:c>
      <x:c r="Y9" s="15" t="e">
        <x:f>IFERROR(__xludf.DUMMYFUNCTION("""COMPUTED_VALUE"""),"Contrôle fort")</x:f>
        <x:v>#NAME?</x:v>
      </x:c>
    </x:row>
    <x:row r="10" ht="14.25" customHeight="1">
      <x:c r="A10" s="15" t="s">
        <x:v>640</x:v>
      </x:c>
      <x:c r="V10" s="15" t="e">
        <x:f>IFERROR(__xludf.DUMMYFUNCTION("""COMPUTED_VALUE"""),"Attaque - Étourdissement")</x:f>
        <x:v>#NAME?</x:v>
      </x:c>
      <x:c r="W10" s="15" t="e">
        <x:f>IFERROR(__xludf.DUMMYFUNCTION("""COMPUTED_VALUE"""),"Buff - Défense")</x:f>
        <x:v>#NAME?</x:v>
      </x:c>
      <x:c r="X10" s="15" t="e">
        <x:f>IFERROR(__xludf.DUMMYFUNCTION("""COMPUTED_VALUE"""),"Sort - Aveuglement ciblé")</x:f>
        <x:v>#NAME?</x:v>
      </x:c>
      <x:c r="Y10" s="15" t="e">
        <x:f>IFERROR(__xludf.DUMMYFUNCTION("""COMPUTED_VALUE"""),"Contrôle")</x:f>
        <x:v>#NAME?</x:v>
      </x:c>
    </x:row>
    <x:row r="11" ht="14.25" customHeight="1">
      <x:c r="A11" s="15" t="s">
        <x:v>661</x:v>
      </x:c>
      <x:c r="V11" s="15" t="e">
        <x:f>IFERROR(__xludf.DUMMYFUNCTION("""COMPUTED_VALUE"""),"Attaque - Peur")</x:f>
        <x:v>#NAME?</x:v>
      </x:c>
      <x:c r="W11" s="15" t="e">
        <x:f>IFERROR(__xludf.DUMMYFUNCTION("""COMPUTED_VALUE"""),"Buff - Réduction dégâts")</x:f>
        <x:v>#NAME?</x:v>
      </x:c>
      <x:c r="X11" s="15" t="e">
        <x:f>IFERROR(__xludf.DUMMYFUNCTION("""COMPUTED_VALUE"""),"Sort - Peur ciblée")</x:f>
        <x:v>#NAME?</x:v>
      </x:c>
      <x:c r="Y11" s="15" t="e">
        <x:f>IFERROR(__xludf.DUMMYFUNCTION("""COMPUTED_VALUE"""),"Moral")</x:f>
        <x:v>#NAME?</x:v>
      </x:c>
    </x:row>
    <x:row r="12" ht="14.25" customHeight="1">
      <x:c r="A12" s="15" t="s">
        <x:v>13</x:v>
      </x:c>
      <x:c r="V12" s="15" t="e">
        <x:f>IFERROR(__xludf.DUMMYFUNCTION("""COMPUTED_VALUE"""),"Attaque - Drain")</x:f>
        <x:v>#NAME?</x:v>
      </x:c>
      <x:c r="W12" s="15" t="e">
        <x:f>IFERROR(__xludf.DUMMYFUNCTION("""COMPUTED_VALUE"""),"Buff - Sauvegardes")</x:f>
        <x:v>#NAME?</x:v>
      </x:c>
      <x:c r="X12" s="15" t="e">
        <x:f>IFERROR(__xludf.DUMMYFUNCTION("""COMPUTED_VALUE"""),"Sort - Danse forcée")</x:f>
        <x:v>#NAME?</x:v>
      </x:c>
      <x:c r="Y12" s="15" t="e">
        <x:f>IFERROR(__xludf.DUMMYFUNCTION("""COMPUTED_VALUE"""),"Contrôle fort")</x:f>
        <x:v>#NAME?</x:v>
      </x:c>
    </x:row>
    <x:row r="13" ht="14.25" customHeight="1">
      <x:c r="A13" s="15" t="s">
        <x:v>701</x:v>
      </x:c>
      <x:c r="V13" s="15" t="e">
        <x:f>IFERROR(__xludf.DUMMYFUNCTION("""COMPUTED_VALUE"""),"Attaque - Agrippement")</x:f>
        <x:v>#NAME?</x:v>
      </x:c>
      <x:c r="W13" s="15" t="e">
        <x:f>IFERROR(__xludf.DUMMYFUNCTION("""COMPUTED_VALUE"""),"Buff - Force")</x:f>
        <x:v>#NAME?</x:v>
      </x:c>
      <x:c r="X13" s="15" t="e">
        <x:f>IFERROR(__xludf.DUMMYFUNCTION("""COMPUTED_VALUE"""),"Sort - Asphyxie ciblée")</x:f>
        <x:v>#NAME?</x:v>
      </x:c>
      <x:c r="Y13" s="15" t="e">
        <x:f>IFERROR(__xludf.DUMMYFUNCTION("""COMPUTED_VALUE"""),"Contrôle durée")</x:f>
        <x:v>#NAME?</x:v>
      </x:c>
    </x:row>
    <x:row r="14" ht="14.25" customHeight="1">
      <x:c r="A14" s="15" t="s">
        <x:v>725</x:v>
      </x:c>
      <x:c r="V14" s="15" t="e">
        <x:f>IFERROR(__xludf.DUMMYFUNCTION("""COMPUTED_VALUE"""),"Attaque - Étreinte")</x:f>
        <x:v>#NAME?</x:v>
      </x:c>
      <x:c r="W14" s="15" t="e">
        <x:f>IFERROR(__xludf.DUMMYFUNCTION("""COMPUTED_VALUE"""),"Buff - Dextérité")</x:f>
        <x:v>#NAME?</x:v>
      </x:c>
      <x:c r="X14" s="15" t="e">
        <x:f>IFERROR(__xludf.DUMMYFUNCTION("""COMPUTED_VALUE"""),"Sort - Poison persistant")</x:f>
        <x:v>#NAME?</x:v>
      </x:c>
      <x:c r="Y14" s="15" t="e">
        <x:f>IFERROR(__xludf.DUMMYFUNCTION("""COMPUTED_VALUE"""),"Dégâts durée")</x:f>
        <x:v>#NAME?</x:v>
      </x:c>
    </x:row>
    <x:row r="15" ht="14.25" customHeight="1">
      <x:c r="A15" s="15" t="s">
        <x:v>746</x:v>
      </x:c>
      <x:c r="V15" s="15" t="e">
        <x:f>IFERROR(__xludf.DUMMYFUNCTION("""COMPUTED_VALUE"""),"Multicible - Deux cibles")</x:f>
        <x:v>#NAME?</x:v>
      </x:c>
      <x:c r="W15" s="15" t="e">
        <x:f>IFERROR(__xludf.DUMMYFUNCTION("""COMPUTED_VALUE"""),"Buff - Constitution")</x:f>
        <x:v>#NAME?</x:v>
      </x:c>
      <x:c r="X15" s="15" t="e">
        <x:f>IFERROR(__xludf.DUMMYFUNCTION("""COMPUTED_VALUE"""),"Sort - Drain vital")</x:f>
        <x:v>#NAME?</x:v>
      </x:c>
      <x:c r="Y15" s="15" t="e">
        <x:f>IFERROR(__xludf.DUMMYFUNCTION("""COMPUTED_VALUE"""),"Drain")</x:f>
        <x:v>#NAME?</x:v>
      </x:c>
    </x:row>
    <x:row r="16" ht="14.25" customHeight="1">
      <x:c r="A16" s="15" t="s">
        <x:v>766</x:v>
      </x:c>
      <x:c r="V16" s="15" t="e">
        <x:f>IFERROR(__xludf.DUMMYFUNCTION("""COMPUTED_VALUE"""),"Multicible - Trois cibles")</x:f>
        <x:v>#NAME?</x:v>
      </x:c>
      <x:c r="W16" s="15" t="e">
        <x:f>IFERROR(__xludf.DUMMYFUNCTION("""COMPUTED_VALUE"""),"Buff - Test spécialisé")</x:f>
        <x:v>#NAME?</x:v>
      </x:c>
      <x:c r="X16" s="15" t="e">
        <x:f>IFERROR(__xludf.DUMMYFUNCTION("""COMPUTED_VALUE"""),"Sort - Peau protectrice")</x:f>
        <x:v>#NAME?</x:v>
      </x:c>
      <x:c r="Y16" s="15" t="e">
        <x:f>IFERROR(__xludf.DUMMYFUNCTION("""COMPUTED_VALUE"""),"Buff défense")</x:f>
        <x:v>#NAME?</x:v>
      </x:c>
    </x:row>
    <x:row r="17" ht="14.25" customHeight="1">
      <x:c r="A17" s="15" t="s">
        <x:v>787</x:v>
      </x:c>
      <x:c r="V17" s="15" t="e">
        <x:f>IFERROR(__xludf.DUMMYFUNCTION("""COMPUTED_VALUE"""),"Ligne - Attaque équipée")</x:f>
        <x:v>#NAME?</x:v>
      </x:c>
      <x:c r="W17" s="15" t="e">
        <x:f>IFERROR(__xludf.DUMMYFUNCTION("""COMPUTED_VALUE"""),"Buff - Immunité critique")</x:f>
        <x:v>#NAME?</x:v>
      </x:c>
      <x:c r="X17" s="15" t="e">
        <x:f>IFERROR(__xludf.DUMMYFUNCTION("""COMPUTED_VALUE"""),"Sort - Bouclier ciblé")</x:f>
        <x:v>#NAME?</x:v>
      </x:c>
      <x:c r="Y17" s="15" t="e">
        <x:f>IFERROR(__xludf.DUMMYFUNCTION("""COMPUTED_VALUE"""),"Buff allié")</x:f>
        <x:v>#NAME?</x:v>
      </x:c>
    </x:row>
    <x:row r="18" ht="14.25" customHeight="1">
      <x:c r="A18" s="15" t="s">
        <x:v>805</x:v>
      </x:c>
      <x:c r="V18" s="15" t="e">
        <x:f>IFERROR(__xludf.DUMMYFUNCTION("""COMPUTED_VALUE"""),"Zone - Attaque équipée")</x:f>
        <x:v>#NAME?</x:v>
      </x:c>
      <x:c r="W18" s="15" t="e">
        <x:f>IFERROR(__xludf.DUMMYFUNCTION("""COMPUTED_VALUE"""),"Buff - Immunité saignement")</x:f>
        <x:v>#NAME?</x:v>
      </x:c>
      <x:c r="X18" s="15" t="e">
        <x:f>IFERROR(__xludf.DUMMYFUNCTION("""COMPUTED_VALUE"""),"Sort - Bénédiction de groupe")</x:f>
        <x:v>#NAME?</x:v>
      </x:c>
      <x:c r="Y18" s="15" t="e">
        <x:f>IFERROR(__xludf.DUMMYFUNCTION("""COMPUTED_VALUE"""),"Buff alliés")</x:f>
        <x:v>#NAME?</x:v>
      </x:c>
    </x:row>
    <x:row r="19" ht="14.25" customHeight="1">
      <x:c r="V19" s="15" t="e">
        <x:f>IFERROR(__xludf.DUMMYFUNCTION("""COMPUTED_VALUE"""),"Zone - Terrain difficile")</x:f>
        <x:v>#NAME?</x:v>
      </x:c>
      <x:c r="W19" s="15" t="e">
        <x:f>IFERROR(__xludf.DUMMYFUNCTION("""COMPUTED_VALUE"""),"Buff - Sans peur")</x:f>
        <x:v>#NAME?</x:v>
      </x:c>
      <x:c r="X19" s="15" t="e">
        <x:f>IFERROR(__xludf.DUMMYFUNCTION("""COMPUTED_VALUE"""),"Sort - Soin ciblé")</x:f>
        <x:v>#NAME?</x:v>
      </x:c>
      <x:c r="Y19" s="15" t="e">
        <x:f>IFERROR(__xludf.DUMMYFUNCTION("""COMPUTED_VALUE"""),"Soin")</x:f>
        <x:v>#NAME?</x:v>
      </x:c>
    </x:row>
    <x:row r="20" ht="14.25" customHeight="1">
      <x:c r="V20" s="15" t="e">
        <x:f>IFERROR(__xludf.DUMMYFUNCTION("""COMPUTED_VALUE"""),"Soin - Personnel")</x:f>
        <x:v>#NAME?</x:v>
      </x:c>
      <x:c r="W20" s="15" t="e">
        <x:f>IFERROR(__xludf.DUMMYFUNCTION("""COMPUTED_VALUE"""),"Buff - Sans esprit")</x:f>
        <x:v>#NAME?</x:v>
      </x:c>
      <x:c r="X20" s="15" t="e">
        <x:f>IFERROR(__xludf.DUMMYFUNCTION("""COMPUTED_VALUE"""),"Sort - Soin de zone proche")</x:f>
        <x:v>#NAME?</x:v>
      </x:c>
      <x:c r="Y20" s="15" t="e">
        <x:f>IFERROR(__xludf.DUMMYFUNCTION("""COMPUTED_VALUE"""),"Soin AOE")</x:f>
        <x:v>#NAME?</x:v>
      </x:c>
    </x:row>
    <x:row r="21" ht="15.75" customHeight="1">
      <x:c r="V21" s="15" t="e">
        <x:f>IFERROR(__xludf.DUMMYFUNCTION("""COMPUTED_VALUE"""),"Attaque - Affaiblissement")</x:f>
        <x:v>#NAME?</x:v>
      </x:c>
      <x:c r="W21" s="15" t="e">
        <x:f>IFERROR(__xludf.DUMMYFUNCTION("""COMPUTED_VALUE"""),"Buff - Vitalité surnaturelle")</x:f>
        <x:v>#NAME?</x:v>
      </x:c>
      <x:c r="X21" s="15" t="e">
        <x:f>IFERROR(__xludf.DUMMYFUNCTION("""COMPUTED_VALUE"""),"Sort - Silence de zone")</x:f>
        <x:v>#NAME?</x:v>
      </x:c>
      <x:c r="Y21" s="15" t="e">
        <x:f>IFERROR(__xludf.DUMMYFUNCTION("""COMPUTED_VALUE"""),"Contrôle zone")</x:f>
        <x:v>#NAME?</x:v>
      </x:c>
    </x:row>
    <x:row r="22" ht="15.75" customHeight="1">
      <x:c r="V22" s="15" t="e">
        <x:f>IFERROR(__xludf.DUMMYFUNCTION("""COMPUTED_VALUE"""),"Zone - Peur forte")</x:f>
        <x:v>#NAME?</x:v>
      </x:c>
      <x:c r="W22" s="15" t="e">
        <x:f>IFERROR(__xludf.DUMMYFUNCTION("""COMPUTED_VALUE"""),"Debuff - Blessure sanglante")</x:f>
        <x:v>#NAME?</x:v>
      </x:c>
      <x:c r="X22" s="15" t="e">
        <x:f>IFERROR(__xludf.DUMMYFUNCTION("""COMPUTED_VALUE"""),"Sort - Arme élémentaire")</x:f>
        <x:v>#NAME?</x:v>
      </x:c>
      <x:c r="Y22" s="15" t="e">
        <x:f>IFERROR(__xludf.DUMMYFUNCTION("""COMPUTED_VALUE"""),"Buff offensif")</x:f>
        <x:v>#NAME?</x:v>
      </x:c>
    </x:row>
    <x:row r="23" ht="15.75" customHeight="1">
      <x:c r="V23" s="15" t="e">
        <x:f>IFERROR(__xludf.DUMMYFUNCTION("""COMPUTED_VALUE"""),"Attaque - Drain vivant")</x:f>
        <x:v>#NAME?</x:v>
      </x:c>
      <x:c r="W23" s="15" t="e">
        <x:f>IFERROR(__xludf.DUMMYFUNCTION("""COMPUTED_VALUE"""),"Debuff - Agrippement sur bon jet")</x:f>
        <x:v>#NAME?</x:v>
      </x:c>
    </x:row>
    <x:row r="24" ht="15.75" customHeight="1">
      <x:c r="V24" s="15" t="e">
        <x:f>IFERROR(__xludf.DUMMYFUNCTION("""COMPUTED_VALUE"""),"Zone - Étourdissement")</x:f>
        <x:v>#NAME?</x:v>
      </x:c>
      <x:c r="W24" s="15" t="e">
        <x:f>IFERROR(__xludf.DUMMYFUNCTION("""COMPUTED_VALUE"""),"Debuff - Attaque de meute")</x:f>
        <x:v>#NAME?</x:v>
      </x:c>
    </x:row>
    <x:row r="25" ht="15.75" customHeight="1">
      <x:c r="V25" s="15" t="e">
        <x:f>IFERROR(__xludf.DUMMYFUNCTION("""COMPUTED_VALUE"""),"Multicible - Peur sur deux cibles")</x:f>
        <x:v>#NAME?</x:v>
      </x:c>
      <x:c r="W25" s="15" t="e">
        <x:f>IFERROR(__xludf.DUMMYFUNCTION("""COMPUTED_VALUE"""),"Riposte - Dégâts au contact")</x:f>
        <x:v>#NAME?</x:v>
      </x:c>
    </x:row>
    <x:row r="26" ht="15.75" customHeight="1">
      <x:c r="W26" s="15" t="e">
        <x:f>IFERROR(__xludf.DUMMYFUNCTION("""COMPUTED_VALUE"""),"Soin offensif - Énergie impie")</x:f>
        <x:v>#NAME?</x:v>
      </x:c>
    </x:row>
    <x:row r="27" ht="15.75" customHeight="1">
      <x:c r="W27" s="15" t="e">
        <x:f>IFERROR(__xludf.DUMMYFUNCTION("""COMPUTED_VALUE"""),"Défense morale - Sans peur")</x:f>
        <x:v>#NAME?</x:v>
      </x:c>
    </x:row>
    <x:row r="28" ht="15.75" customHeight="1">
      <x:c r="W28" s="15" t="e">
        <x:f>IFERROR(__xludf.DUMMYFUNCTION("""COMPUTED_VALUE"""),"Défense - Résistance non magique")</x:f>
        <x:v>#NAME?</x:v>
      </x:c>
    </x:row>
    <x:row r="29" ht="15.75" customHeight="1">
      <x:c r="W29" s="15" t="e">
        <x:f>IFERROR(__xludf.DUMMYFUNCTION("""COMPUTED_VALUE"""),"Riposte - Corps infernal")</x:f>
        <x:v>#NAME?</x:v>
      </x:c>
    </x:row>
    <x:row r="30" ht="15.75" customHeight="1">
      <x:c r="W30" s="15" t="e">
        <x:f>IFERROR(__xludf.DUMMYFUNCTION("""COMPUTED_VALUE"""),"Alignement - Mauvais")</x:f>
        <x:v>#NAME?</x:v>
      </x:c>
    </x:row>
    <x:row r="31" ht="15.75" customHeight="1"/>
    <x:row r="32" ht="15.75" customHeight="1"/>
    <x:row r="33" ht="15.75" customHeight="1"/>
    <x:row r="34" ht="15.75" customHeight="1"/>
    <x:row r="35" ht="15.75" customHeight="1"/>
    <x:row r="36" ht="15.75" customHeight="1"/>
    <x:row r="37" ht="15.75" customHeight="1"/>
    <x:row r="38" ht="15.75" customHeight="1"/>
    <x:row r="39" ht="15.75" customHeight="1"/>
    <x:row r="40" ht="15.75" customHeight="1"/>
    <x:row r="41" ht="15.75" customHeight="1"/>
    <x:row r="42" ht="15.75" customHeight="1"/>
    <x:row r="43" ht="15.75" customHeight="1"/>
    <x:row r="44" ht="15.75" customHeight="1"/>
    <x:row r="45" ht="15.75" customHeight="1"/>
    <x:row r="46" ht="15.75" customHeight="1"/>
    <x:row r="47" ht="15.75" customHeight="1"/>
    <x:row r="48" ht="15.75" customHeight="1"/>
    <x:row r="49" ht="15.75" customHeight="1"/>
    <x:row r="50" ht="15.75" customHeight="1"/>
    <x:row r="51" ht="15.75" customHeight="1"/>
    <x:row r="52" ht="15.75" customHeight="1"/>
    <x:row r="53" ht="15.75" customHeight="1"/>
    <x:row r="54" ht="15.75" customHeight="1"/>
    <x:row r="55" ht="15.75" customHeight="1"/>
    <x:row r="56" ht="15.75" customHeight="1"/>
    <x:row r="57" ht="15.75" customHeight="1"/>
    <x:row r="58" ht="15.75" customHeight="1"/>
    <x:row r="59" ht="15.75" customHeight="1"/>
    <x:row r="60" ht="15.75" customHeight="1"/>
    <x:row r="61" ht="15.75" customHeight="1"/>
    <x:row r="62" ht="15.75" customHeight="1"/>
    <x:row r="63" ht="15.75" customHeight="1"/>
    <x:row r="64" ht="15.75" customHeight="1"/>
    <x:row r="65" ht="15.75" customHeight="1"/>
    <x:row r="66" ht="15.75" customHeight="1"/>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pageMargins left="0.7" right="0.7" top="0.75" bottom="0.75" header="0.3" footer="0.3"/>
</x:worksheet>
</file>

<file path=xl/worksheets/sheet19.xml><?xml version="1.0" encoding="utf-8"?>
<x:worksheet xmlns:x="http://schemas.openxmlformats.org/spreadsheetml/2006/main">
  <x:sheetFormatPr defaultColWidth="12.630000114440918" defaultRowHeight="15"/>
  <x:cols>
    <x:col min="1" max="1" width="24" customWidth="1"/>
    <x:col min="2" max="2" width="18" customWidth="1"/>
    <x:col min="3" max="3" width="14" customWidth="1"/>
    <x:col min="4" max="6" width="24" customWidth="1"/>
    <x:col min="7" max="8" width="52" customWidth="1"/>
  </x:cols>
  <x:sheetData>
    <x:row r="1" ht="27.75" customHeight="1">
      <x:c r="A1" s="114" t="str">
        <x:v>Guide des résistances &amp; vulnérabilités — affinités + physique</x:v>
      </x:c>
    </x:row>
    <x:row r="2" ht="43.5" customHeight="1">
      <x:c r="A2" s="115" t="str">
        <x:v>Affinités courantes : Feu, Eau, Air, Terre, Ombre, Lumière, Force. La colonne Nature historique reste conservée dans Familles uniquement pour compatibilité et n'est plus exportée automatiquement.</x:v>
      </x:c>
    </x:row>
    <x:row r="3" ht="14.25" customHeight="1">
      <x:c r="A3" s="1" t="s">
        <x:v>2471</x:v>
      </x:c>
      <x:c r="B3" s="1" t="s">
        <x:v>2472</x:v>
      </x:c>
      <x:c r="C3" s="1" t="s">
        <x:v>2473</x:v>
      </x:c>
      <x:c r="D3" s="1" t="s">
        <x:v>2474</x:v>
      </x:c>
      <x:c r="E3" s="1" t="s">
        <x:v>2475</x:v>
      </x:c>
      <x:c r="F3" s="1" t="s">
        <x:v>2476</x:v>
      </x:c>
      <x:c r="G3" s="1" t="s">
        <x:v>2477</x:v>
      </x:c>
      <x:c r="H3" s="1" t="s">
        <x:v>2478</x:v>
      </x:c>
    </x:row>
    <x:row r="4" ht="14.25" customHeight="1">
      <x:c r="A4" s="116" t="str">
        <x:f>Familles!A2</x:f>
        <x:v>Humanoïde</x:v>
      </x:c>
      <x:c r="B4" s="116" t="str">
        <x:f>Familles!D2</x:f>
        <x:v>Humanoïde</x:v>
      </x:c>
      <x:c r="C4" s="116" t="str">
        <x:f>IF(Familles!A2=Familles!D2,"Famille","Sous-famille")</x:f>
        <x:v>Famille</x:v>
      </x:c>
      <x:c r="D4" s="116" t="str">
        <x:f>TRIM(IF(Familles!AT2="Résistant","Feu; ","")&amp;IF(Familles!AU2="Résistant","Air; ","")&amp;IF(Familles!AV2="Résistant","Eau; ","")&amp;IF(Familles!AW2="Résistant","Terre; ","")&amp;IF(Familles!AX2="Résistant","Ombre; ","")&amp;IF(Familles!AY2="Résistant","Lumière; ","")&amp;IF(Familles!AZ2="Résistant","Force; ",""))</x:f>
      </x:c>
      <x:c r="E4" s="116" t="str">
        <x:f>TRIM(IF(Familles!AT2="Vulnérable","Feu; ","")&amp;IF(Familles!AU2="Vulnérable","Air; ","")&amp;IF(Familles!AV2="Vulnérable","Eau; ","")&amp;IF(Familles!AW2="Vulnérable","Terre; ","")&amp;IF(Familles!AX2="Vulnérable","Ombre; ","")&amp;IF(Familles!AY2="Vulnérable","Lumière; ","")&amp;IF(Familles!AZ2="Vulnérable","Force; ",""))</x:f>
      </x:c>
      <x:c r="F4" s="116" t="str">
        <x:f>TRIM(IF(Familles!BC2="Oui","Tranchant; ","")&amp;IF(Familles!BD2="Oui","Perçant; ","")&amp;IF(Familles!BE2="Oui","Contondant; ","")&amp;IF(Familles!BF2="Oui","Non-magique; ",""))</x:f>
      </x:c>
      <x:c r="G4" s="116" t="str">
        <x:f>Familles!BG2</x:f>
        <x:v>Créature de chair et de sang : sa défense vient surtout de l'équipement et de l'entraînement, pas d'une résistance innée. Aucune résistance innée supplémentaire : son identité vient surtout de ses statistiques et capacités.</x:v>
      </x:c>
      <x:c r="H4" s="116" t="n">
        <x:f>Familles!BH2</x:f>
        <x:v>0</x:v>
      </x:c>
    </x:row>
    <x:row r="5" ht="14.25" customHeight="1">
      <x:c r="A5" s="116" t="str">
        <x:f>Familles!A3</x:f>
        <x:v>Mort-vivant</x:v>
      </x:c>
      <x:c r="B5" s="116" t="str">
        <x:f>Familles!D3</x:f>
        <x:v>Mort-vivant</x:v>
      </x:c>
      <x:c r="C5" s="116" t="str">
        <x:f>IF(Familles!A3=Familles!D3,"Famille","Sous-famille")</x:f>
        <x:v>Famille</x:v>
      </x:c>
      <x:c r="D5" s="116" t="str">
        <x:f>TRIM(IF(Familles!AT3="Résistant","Feu; ","")&amp;IF(Familles!AU3="Résistant","Air; ","")&amp;IF(Familles!AV3="Résistant","Eau; ","")&amp;IF(Familles!AW3="Résistant","Terre; ","")&amp;IF(Familles!AX3="Résistant","Ombre; ","")&amp;IF(Familles!AY3="Résistant","Lumière; ","")&amp;IF(Familles!AZ3="Résistant","Force; ",""))</x:f>
        <x:v>Ombre;</x:v>
      </x:c>
      <x:c r="E5" s="116" t="str">
        <x:f>TRIM(IF(Familles!AT3="Vulnérable","Feu; ","")&amp;IF(Familles!AU3="Vulnérable","Air; ","")&amp;IF(Familles!AV3="Vulnérable","Eau; ","")&amp;IF(Familles!AW3="Vulnérable","Terre; ","")&amp;IF(Familles!AX3="Vulnérable","Ombre; ","")&amp;IF(Familles!AY3="Vulnérable","Lumière; ","")&amp;IF(Familles!AZ3="Vulnérable","Force; ",""))</x:f>
        <x:v>Lumière;</x:v>
      </x:c>
      <x:c r="F5" s="116" t="str">
        <x:f>TRIM(IF(Familles!BC3="Oui","Tranchant; ","")&amp;IF(Familles!BD3="Oui","Perçant; ","")&amp;IF(Familles!BE3="Oui","Contondant; ","")&amp;IF(Familles!BF3="Oui","Non-magique; ",""))</x:f>
      </x:c>
      <x:c r="G5" s="116" t="str">
        <x:f>Familles!BG3</x:f>
        <x:v>Un corps déjà mort ignore mieux ce qui attaque la vie ou la chair, mais la Lumière perturbe la force qui l'anime. Résiste à Ombre par affinité ou constitution. Vulnérable à Lumière, qui perturbe directement sa nature.</x:v>
      </x:c>
      <x:c r="H5" s="116" t="str">
        <x:f>Familles!BH3</x:f>
        <x:v>resistanceA_ombre vulnerableA_lumiere</x:v>
      </x:c>
    </x:row>
    <x:row r="6" ht="14.25" customHeight="1">
      <x:c r="A6" s="116" t="str">
        <x:f>Familles!A4</x:f>
        <x:v>Bête</x:v>
      </x:c>
      <x:c r="B6" s="116" t="str">
        <x:f>Familles!D4</x:f>
        <x:v>Bête</x:v>
      </x:c>
      <x:c r="C6" s="116" t="str">
        <x:f>IF(Familles!A4=Familles!D4,"Famille","Sous-famille")</x:f>
        <x:v>Famille</x:v>
      </x:c>
      <x:c r="D6" s="116" t="str">
        <x:f>TRIM(IF(Familles!AT4="Résistant","Feu; ","")&amp;IF(Familles!AU4="Résistant","Air; ","")&amp;IF(Familles!AV4="Résistant","Eau; ","")&amp;IF(Familles!AW4="Résistant","Terre; ","")&amp;IF(Familles!AX4="Résistant","Ombre; ","")&amp;IF(Familles!AY4="Résistant","Lumière; ","")&amp;IF(Familles!AZ4="Résistant","Force; ",""))</x:f>
      </x:c>
      <x:c r="E6" s="116" t="str">
        <x:f>TRIM(IF(Familles!AT4="Vulnérable","Feu; ","")&amp;IF(Familles!AU4="Vulnérable","Air; ","")&amp;IF(Familles!AV4="Vulnérable","Eau; ","")&amp;IF(Familles!AW4="Vulnérable","Terre; ","")&amp;IF(Familles!AX4="Vulnérable","Ombre; ","")&amp;IF(Familles!AY4="Vulnérable","Lumière; ","")&amp;IF(Familles!AZ4="Vulnérable","Force; ",""))</x:f>
      </x:c>
      <x:c r="F6" s="116" t="str">
        <x:f>TRIM(IF(Familles!BC4="Oui","Tranchant; ","")&amp;IF(Familles!BD4="Oui","Perçant; ","")&amp;IF(Familles!BE4="Oui","Contondant; ","")&amp;IF(Familles!BF4="Oui","Non-magique; ",""))</x:f>
      </x:c>
      <x:c r="G6" s="116" t="str">
        <x:f>Familles!BG4</x:f>
        <x:v>Animal naturel : peau, fourrure et instinct protègent sans créer de résistance surnaturelle systématique. Aucune résistance innée supplémentaire : son identité vient surtout de ses statistiques et capacités.</x:v>
      </x:c>
      <x:c r="H6" s="116" t="n">
        <x:f>Familles!BH4</x:f>
        <x:v>0</x:v>
      </x:c>
    </x:row>
    <x:row r="7" ht="14.25" customHeight="1">
      <x:c r="A7" s="116" t="str">
        <x:f>Familles!A5</x:f>
        <x:v>Vermine</x:v>
      </x:c>
      <x:c r="B7" s="116" t="str">
        <x:f>Familles!D5</x:f>
        <x:v>Vermine</x:v>
      </x:c>
      <x:c r="C7" s="116" t="str">
        <x:f>IF(Familles!A5=Familles!D5,"Famille","Sous-famille")</x:f>
        <x:v>Famille</x:v>
      </x:c>
      <x:c r="D7" s="116" t="str">
        <x:f>TRIM(IF(Familles!AT5="Résistant","Feu; ","")&amp;IF(Familles!AU5="Résistant","Air; ","")&amp;IF(Familles!AV5="Résistant","Eau; ","")&amp;IF(Familles!AW5="Résistant","Terre; ","")&amp;IF(Familles!AX5="Résistant","Ombre; ","")&amp;IF(Familles!AY5="Résistant","Lumière; ","")&amp;IF(Familles!AZ5="Résistant","Force; ",""))</x:f>
      </x:c>
      <x:c r="E7" s="116" t="str">
        <x:f>TRIM(IF(Familles!AT5="Vulnérable","Feu; ","")&amp;IF(Familles!AU5="Vulnérable","Air; ","")&amp;IF(Familles!AV5="Vulnérable","Eau; ","")&amp;IF(Familles!AW5="Vulnérable","Terre; ","")&amp;IF(Familles!AX5="Vulnérable","Ombre; ","")&amp;IF(Familles!AY5="Vulnérable","Lumière; ","")&amp;IF(Familles!AZ5="Vulnérable","Force; ",""))</x:f>
        <x:v>Feu;</x:v>
      </x:c>
      <x:c r="F7" s="116" t="str">
        <x:f>TRIM(IF(Familles!BC5="Oui","Tranchant; ","")&amp;IF(Familles!BD5="Oui","Perçant; ","")&amp;IF(Familles!BE5="Oui","Contondant; ","")&amp;IF(Familles!BF5="Oui","Non-magique; ",""))</x:f>
      </x:c>
      <x:c r="G7" s="116" t="str">
        <x:f>Familles!BG5</x:f>
        <x:v>Organisme primitif et tenace, souvent protégé par une carapace ou une biologie robuste, mais sensible au feu. Vulnérable à Feu, qui perturbe directement sa nature.</x:v>
      </x:c>
      <x:c r="H7" s="116" t="str">
        <x:f>Familles!BH5</x:f>
        <x:v>vulnerableA_feu</x:v>
      </x:c>
    </x:row>
    <x:row r="8" ht="14.25" customHeight="1">
      <x:c r="A8" s="116" t="str">
        <x:f>Familles!A6</x:f>
        <x:v>Aquatique</x:v>
      </x:c>
      <x:c r="B8" s="116" t="str">
        <x:f>Familles!D6</x:f>
        <x:v>Aquatique</x:v>
      </x:c>
      <x:c r="C8" s="116" t="str">
        <x:f>IF(Familles!A6=Familles!D6,"Famille","Sous-famille")</x:f>
        <x:v>Famille</x:v>
      </x:c>
      <x:c r="D8" s="116" t="str">
        <x:f>TRIM(IF(Familles!AT6="Résistant","Feu; ","")&amp;IF(Familles!AU6="Résistant","Air; ","")&amp;IF(Familles!AV6="Résistant","Eau; ","")&amp;IF(Familles!AW6="Résistant","Terre; ","")&amp;IF(Familles!AX6="Résistant","Ombre; ","")&amp;IF(Familles!AY6="Résistant","Lumière; ","")&amp;IF(Familles!AZ6="Résistant","Force; ",""))</x:f>
        <x:v>Eau;</x:v>
      </x:c>
      <x:c r="E8" s="116" t="str">
        <x:f>TRIM(IF(Familles!AT6="Vulnérable","Feu; ","")&amp;IF(Familles!AU6="Vulnérable","Air; ","")&amp;IF(Familles!AV6="Vulnérable","Eau; ","")&amp;IF(Familles!AW6="Vulnérable","Terre; ","")&amp;IF(Familles!AX6="Vulnérable","Ombre; ","")&amp;IF(Familles!AY6="Vulnérable","Lumière; ","")&amp;IF(Familles!AZ6="Vulnérable","Force; ",""))</x:f>
        <x:v>Feu;</x:v>
      </x:c>
      <x:c r="F8" s="116" t="str">
        <x:f>TRIM(IF(Familles!BC6="Oui","Tranchant; ","")&amp;IF(Familles!BD6="Oui","Perçant; ","")&amp;IF(Familles!BE6="Oui","Contondant; ","")&amp;IF(Familles!BF6="Oui","Non-magique; ",""))</x:f>
      </x:c>
      <x:c r="G8" s="116" t="str">
        <x:f>Familles!BG6</x:f>
        <x:v>Adaptée à l'eau et aux milieux humides, sa physiologie supporte mieux ce domaine mais souffre davantage de la chaleur. Résiste à Eau par affinité ou constitution. Vulnérable à Feu, qui perturbe directement sa nature.</x:v>
      </x:c>
      <x:c r="H8" s="116" t="str">
        <x:f>Familles!BH6</x:f>
        <x:v>vulnerableA_feu resistanceA_eau</x:v>
      </x:c>
    </x:row>
    <x:row r="9" ht="14.25" customHeight="1">
      <x:c r="A9" s="116" t="str">
        <x:f>Familles!A7</x:f>
        <x:v>Aberration</x:v>
      </x:c>
      <x:c r="B9" s="116" t="str">
        <x:f>Familles!D7</x:f>
        <x:v>Aberration</x:v>
      </x:c>
      <x:c r="C9" s="116" t="str">
        <x:f>IF(Familles!A7=Familles!D7,"Famille","Sous-famille")</x:f>
        <x:v>Famille</x:v>
      </x:c>
      <x:c r="D9" s="116" t="str">
        <x:f>TRIM(IF(Familles!AT7="Résistant","Feu; ","")&amp;IF(Familles!AU7="Résistant","Air; ","")&amp;IF(Familles!AV7="Résistant","Eau; ","")&amp;IF(Familles!AW7="Résistant","Terre; ","")&amp;IF(Familles!AX7="Résistant","Ombre; ","")&amp;IF(Familles!AY7="Résistant","Lumière; ","")&amp;IF(Familles!AZ7="Résistant","Force; ",""))</x:f>
        <x:v>Force;</x:v>
      </x:c>
      <x:c r="E9" s="116" t="str">
        <x:f>TRIM(IF(Familles!AT7="Vulnérable","Feu; ","")&amp;IF(Familles!AU7="Vulnérable","Air; ","")&amp;IF(Familles!AV7="Vulnérable","Eau; ","")&amp;IF(Familles!AW7="Vulnérable","Terre; ","")&amp;IF(Familles!AX7="Vulnérable","Ombre; ","")&amp;IF(Familles!AY7="Vulnérable","Lumière; ","")&amp;IF(Familles!AZ7="Vulnérable","Force; ",""))</x:f>
      </x:c>
      <x:c r="F9" s="116" t="str">
        <x:f>TRIM(IF(Familles!BC7="Oui","Tranchant; ","")&amp;IF(Familles!BD7="Oui","Perçant; ","")&amp;IF(Familles!BE7="Oui","Contondant; ","")&amp;IF(Familles!BF7="Oui","Non-magique; ",""))</x:f>
      </x:c>
      <x:c r="G9" s="116" t="str">
        <x:f>Familles!BG7</x:f>
        <x:v>Sa biologie impossible est souvent soutenue par une Force magique qui la rend moins sensible aux attaques conventionnelles. Résiste à Force par affinité ou constitution.</x:v>
      </x:c>
      <x:c r="H9" s="116" t="str">
        <x:f>Familles!BH7</x:f>
        <x:v>resistanceA_force</x:v>
      </x:c>
    </x:row>
    <x:row r="10" ht="14.25" customHeight="1">
      <x:c r="A10" s="116" t="str">
        <x:f>Familles!A8</x:f>
        <x:v>Plante</x:v>
      </x:c>
      <x:c r="B10" s="116" t="str">
        <x:f>Familles!D8</x:f>
        <x:v>Plante</x:v>
      </x:c>
      <x:c r="C10" s="116" t="str">
        <x:f>IF(Familles!A8=Familles!D8,"Famille","Sous-famille")</x:f>
        <x:v>Famille</x:v>
      </x:c>
      <x:c r="D10" s="116" t="str">
        <x:f>TRIM(IF(Familles!AT8="Résistant","Feu; ","")&amp;IF(Familles!AU8="Résistant","Air; ","")&amp;IF(Familles!AV8="Résistant","Eau; ","")&amp;IF(Familles!AW8="Résistant","Terre; ","")&amp;IF(Familles!AX8="Résistant","Ombre; ","")&amp;IF(Familles!AY8="Résistant","Lumière; ","")&amp;IF(Familles!AZ8="Résistant","Force; ",""))</x:f>
        <x:v>Eau;</x:v>
      </x:c>
      <x:c r="E10" s="116" t="str">
        <x:f>TRIM(IF(Familles!AT8="Vulnérable","Feu; ","")&amp;IF(Familles!AU8="Vulnérable","Air; ","")&amp;IF(Familles!AV8="Vulnérable","Eau; ","")&amp;IF(Familles!AW8="Vulnérable","Terre; ","")&amp;IF(Familles!AX8="Vulnérable","Ombre; ","")&amp;IF(Familles!AY8="Vulnérable","Lumière; ","")&amp;IF(Familles!AZ8="Vulnérable","Force; ",""))</x:f>
        <x:v>Feu;</x:v>
      </x:c>
      <x:c r="F10" s="116" t="str">
        <x:f>TRIM(IF(Familles!BC8="Oui","Tranchant; ","")&amp;IF(Familles!BD8="Oui","Perçant; ","")&amp;IF(Familles!BE8="Oui","Contondant; ","")&amp;IF(Familles!BF8="Oui","Non-magique; ",""))</x:f>
        <x:v>Perçant;</x:v>
      </x:c>
      <x:c r="G10" s="116" t="str">
        <x:f>Familles!BG8</x:f>
        <x:v>Sa masse végétale absorbe bien les perforations et les agressions naturelles, mais le feu détruit rapidement ses tissus. Résiste à Eau par affinité ou constitution. Vulnérable à Feu, qui perturbe directement sa nature. Sa morphologie réduit les dégâts perçants.</x:v>
      </x:c>
      <x:c r="H10" s="116" t="str">
        <x:f>Familles!BH8</x:f>
        <x:v>vulnerableA_feu resistanceA_eau resistanceA_percant</x:v>
      </x:c>
    </x:row>
    <x:row r="11" ht="14.25" customHeight="1">
      <x:c r="A11" s="116" t="str">
        <x:f>Familles!A9</x:f>
        <x:v>Fée</x:v>
      </x:c>
      <x:c r="B11" s="116" t="str">
        <x:f>Familles!D9</x:f>
        <x:v>Fée</x:v>
      </x:c>
      <x:c r="C11" s="116" t="str">
        <x:f>IF(Familles!A9=Familles!D9,"Famille","Sous-famille")</x:f>
        <x:v>Famille</x:v>
      </x:c>
      <x:c r="D11" s="116" t="str">
        <x:f>TRIM(IF(Familles!AT9="Résistant","Feu; ","")&amp;IF(Familles!AU9="Résistant","Air; ","")&amp;IF(Familles!AV9="Résistant","Eau; ","")&amp;IF(Familles!AW9="Résistant","Terre; ","")&amp;IF(Familles!AX9="Résistant","Ombre; ","")&amp;IF(Familles!AY9="Résistant","Lumière; ","")&amp;IF(Familles!AZ9="Résistant","Force; ",""))</x:f>
        <x:v>Force;</x:v>
      </x:c>
      <x:c r="E11" s="116" t="str">
        <x:f>TRIM(IF(Familles!AT9="Vulnérable","Feu; ","")&amp;IF(Familles!AU9="Vulnérable","Air; ","")&amp;IF(Familles!AV9="Vulnérable","Eau; ","")&amp;IF(Familles!AW9="Vulnérable","Terre; ","")&amp;IF(Familles!AX9="Vulnérable","Ombre; ","")&amp;IF(Familles!AY9="Vulnérable","Lumière; ","")&amp;IF(Familles!AZ9="Vulnérable","Force; ",""))</x:f>
        <x:v>Ombre;</x:v>
      </x:c>
      <x:c r="F11" s="116" t="str">
        <x:f>TRIM(IF(Familles!BC9="Oui","Tranchant; ","")&amp;IF(Familles!BD9="Oui","Perçant; ","")&amp;IF(Familles!BE9="Oui","Contondant; ","")&amp;IF(Familles!BF9="Oui","Non-magique; ",""))</x:f>
      </x:c>
      <x:c r="G11" s="116" t="str">
        <x:f>Familles!BG9</x:f>
        <x:v>Créature intimement liée à la nature et à la magie, moins vulnérable aux forces de son propre monde. Résiste à Force par affinité ou constitution. Vulnérable à Ombre, qui perturbe directement sa nature.</x:v>
      </x:c>
      <x:c r="H11" s="116" t="str">
        <x:f>Familles!BH9</x:f>
        <x:v>vulnerableA_ombre resistanceA_force</x:v>
      </x:c>
    </x:row>
    <x:row r="12" ht="14.25" customHeight="1">
      <x:c r="A12" s="116" t="str">
        <x:f>Familles!A10</x:f>
        <x:v>Monstre</x:v>
      </x:c>
      <x:c r="B12" s="116" t="str">
        <x:f>Familles!D10</x:f>
        <x:v>Monstre</x:v>
      </x:c>
      <x:c r="C12" s="116" t="str">
        <x:f>IF(Familles!A10=Familles!D10,"Famille","Sous-famille")</x:f>
        <x:v>Famille</x:v>
      </x:c>
      <x:c r="D12" s="116" t="str">
        <x:f>TRIM(IF(Familles!AT10="Résistant","Feu; ","")&amp;IF(Familles!AU10="Résistant","Air; ","")&amp;IF(Familles!AV10="Résistant","Eau; ","")&amp;IF(Familles!AW10="Résistant","Terre; ","")&amp;IF(Familles!AX10="Résistant","Ombre; ","")&amp;IF(Familles!AY10="Résistant","Lumière; ","")&amp;IF(Familles!AZ10="Résistant","Force; ",""))</x:f>
      </x:c>
      <x:c r="E12" s="116" t="str">
        <x:f>TRIM(IF(Familles!AT10="Vulnérable","Feu; ","")&amp;IF(Familles!AU10="Vulnérable","Air; ","")&amp;IF(Familles!AV10="Vulnérable","Eau; ","")&amp;IF(Familles!AW10="Vulnérable","Terre; ","")&amp;IF(Familles!AX10="Vulnérable","Ombre; ","")&amp;IF(Familles!AY10="Vulnérable","Lumière; ","")&amp;IF(Familles!AZ10="Vulnérable","Force; ",""))</x:f>
      </x:c>
      <x:c r="F12" s="116" t="str">
        <x:f>TRIM(IF(Familles!BC10="Oui","Tranchant; ","")&amp;IF(Familles!BD10="Oui","Perçant; ","")&amp;IF(Familles!BE10="Oui","Contondant; ","")&amp;IF(Familles!BF10="Oui","Non-magique; ",""))</x:f>
      </x:c>
      <x:c r="G12" s="116" t="str">
        <x:f>Familles!BG10</x:f>
        <x:v>Catégorie volontairement générique : les résistances doivent surtout venir de la sous-famille et de la morphologie. Aucune résistance innée supplémentaire : son identité vient surtout de ses statistiques et capacités.</x:v>
      </x:c>
      <x:c r="H12" s="116" t="n">
        <x:f>Familles!BH10</x:f>
        <x:v>0</x:v>
      </x:c>
    </x:row>
    <x:row r="13" ht="14.25" customHeight="1">
      <x:c r="A13" s="116" t="str">
        <x:f>Familles!A11</x:f>
        <x:v>Vase</x:v>
      </x:c>
      <x:c r="B13" s="116" t="str">
        <x:f>Familles!D11</x:f>
        <x:v>Vase</x:v>
      </x:c>
      <x:c r="C13" s="116" t="str">
        <x:f>IF(Familles!A11=Familles!D11,"Famille","Sous-famille")</x:f>
        <x:v>Famille</x:v>
      </x:c>
      <x:c r="D13" s="116" t="str">
        <x:f>TRIM(IF(Familles!AT11="Résistant","Feu; ","")&amp;IF(Familles!AU11="Résistant","Air; ","")&amp;IF(Familles!AV11="Résistant","Eau; ","")&amp;IF(Familles!AW11="Résistant","Terre; ","")&amp;IF(Familles!AX11="Résistant","Ombre; ","")&amp;IF(Familles!AY11="Résistant","Lumière; ","")&amp;IF(Familles!AZ11="Résistant","Force; ",""))</x:f>
        <x:v>Terre;</x:v>
      </x:c>
      <x:c r="E13" s="116" t="str">
        <x:f>TRIM(IF(Familles!AT11="Vulnérable","Feu; ","")&amp;IF(Familles!AU11="Vulnérable","Air; ","")&amp;IF(Familles!AV11="Vulnérable","Eau; ","")&amp;IF(Familles!AW11="Vulnérable","Terre; ","")&amp;IF(Familles!AX11="Vulnérable","Ombre; ","")&amp;IF(Familles!AY11="Vulnérable","Lumière; ","")&amp;IF(Familles!AZ11="Vulnérable","Force; ",""))</x:f>
        <x:v>Feu;</x:v>
      </x:c>
      <x:c r="F13" s="116" t="str">
        <x:f>TRIM(IF(Familles!BC11="Oui","Tranchant; ","")&amp;IF(Familles!BD11="Oui","Perçant; ","")&amp;IF(Familles!BE11="Oui","Contondant; ","")&amp;IF(Familles!BF11="Oui","Non-magique; ",""))</x:f>
        <x:v>Tranchant; Perçant;</x:v>
      </x:c>
      <x:c r="G13" s="116" t="str">
        <x:f>Familles!BG11</x:f>
        <x:v>Une masse amorphe est difficile à découper ou à transpercer : les armes traversent la matière sans atteindre d'organe vital. Résiste à Terre par affinité ou constitution. Vulnérable à Feu, qui perturbe directement sa nature. Sa morphologie réduit les dégâts tranchants, perçants.</x:v>
      </x:c>
      <x:c r="H13" s="116" t="str">
        <x:f>Familles!BH11</x:f>
        <x:v>vulnerableA_feu resistanceA_terre resistanceA_tranchant resistanceA_percant</x:v>
      </x:c>
    </x:row>
    <x:row r="14" ht="14.25" customHeight="1">
      <x:c r="A14" s="116" t="str">
        <x:f>Familles!A12</x:f>
        <x:v>Démon</x:v>
      </x:c>
      <x:c r="B14" s="116" t="str">
        <x:f>Familles!D12</x:f>
        <x:v>Démon</x:v>
      </x:c>
      <x:c r="C14" s="116" t="str">
        <x:f>IF(Familles!A12=Familles!D12,"Famille","Sous-famille")</x:f>
        <x:v>Famille</x:v>
      </x:c>
      <x:c r="D14" s="116" t="str">
        <x:f>TRIM(IF(Familles!AT12="Résistant","Feu; ","")&amp;IF(Familles!AU12="Résistant","Air; ","")&amp;IF(Familles!AV12="Résistant","Eau; ","")&amp;IF(Familles!AW12="Résistant","Terre; ","")&amp;IF(Familles!AX12="Résistant","Ombre; ","")&amp;IF(Familles!AY12="Résistant","Lumière; ","")&amp;IF(Familles!AZ12="Résistant","Force; ",""))</x:f>
        <x:v>Feu; Ombre;</x:v>
      </x:c>
      <x:c r="E14" s="116" t="str">
        <x:f>TRIM(IF(Familles!AT12="Vulnérable","Feu; ","")&amp;IF(Familles!AU12="Vulnérable","Air; ","")&amp;IF(Familles!AV12="Vulnérable","Eau; ","")&amp;IF(Familles!AW12="Vulnérable","Terre; ","")&amp;IF(Familles!AX12="Vulnérable","Ombre; ","")&amp;IF(Familles!AY12="Vulnérable","Lumière; ","")&amp;IF(Familles!AZ12="Vulnérable","Force; ",""))</x:f>
        <x:v>Lumière;</x:v>
      </x:c>
      <x:c r="F14" s="116" t="str">
        <x:f>TRIM(IF(Familles!BC12="Oui","Tranchant; ","")&amp;IF(Familles!BD12="Oui","Perçant; ","")&amp;IF(Familles!BE12="Oui","Contondant; ","")&amp;IF(Familles!BF12="Oui","Non-magique; ",""))</x:f>
        <x:v>Tranchant;</x:v>
      </x:c>
      <x:c r="G14" s="116" t="str">
        <x:f>Familles!BG12</x:f>
        <x:v>Sa chair surnaturelle et coriace résiste aux lames, au feu et aux forces de l’Ombre, tandis que le radiant contrarie son essence. Résiste à Feu, Ombre par affinité ou constitution. Vulnérable à Lumière, qui perturbe directement sa nature. Sa morphologie réduit les dégâts tranchants.</x:v>
      </x:c>
      <x:c r="H14" s="116" t="str">
        <x:f>Familles!BH12</x:f>
        <x:v>resistanceA_feu resistanceA_ombre vulnerableA_lumiere resistanceA_tranchant</x:v>
      </x:c>
    </x:row>
    <x:row r="15" ht="14.25" customHeight="1">
      <x:c r="A15" s="116" t="str">
        <x:f>Familles!A13</x:f>
        <x:v>Géant</x:v>
      </x:c>
      <x:c r="B15" s="116" t="str">
        <x:f>Familles!D13</x:f>
        <x:v>Géant</x:v>
      </x:c>
      <x:c r="C15" s="116" t="str">
        <x:f>IF(Familles!A13=Familles!D13,"Famille","Sous-famille")</x:f>
        <x:v>Famille</x:v>
      </x:c>
      <x:c r="D15" s="116" t="str">
        <x:f>TRIM(IF(Familles!AT13="Résistant","Feu; ","")&amp;IF(Familles!AU13="Résistant","Air; ","")&amp;IF(Familles!AV13="Résistant","Eau; ","")&amp;IF(Familles!AW13="Résistant","Terre; ","")&amp;IF(Familles!AX13="Résistant","Ombre; ","")&amp;IF(Familles!AY13="Résistant","Lumière; ","")&amp;IF(Familles!AZ13="Résistant","Force; ",""))</x:f>
      </x:c>
      <x:c r="E15" s="116" t="str">
        <x:f>TRIM(IF(Familles!AT13="Vulnérable","Feu; ","")&amp;IF(Familles!AU13="Vulnérable","Air; ","")&amp;IF(Familles!AV13="Vulnérable","Eau; ","")&amp;IF(Familles!AW13="Vulnérable","Terre; ","")&amp;IF(Familles!AX13="Vulnérable","Ombre; ","")&amp;IF(Familles!AY13="Vulnérable","Lumière; ","")&amp;IF(Familles!AZ13="Vulnérable","Force; ",""))</x:f>
      </x:c>
      <x:c r="F15" s="116" t="str">
        <x:f>TRIM(IF(Familles!BC13="Oui","Tranchant; ","")&amp;IF(Familles!BD13="Oui","Perçant; ","")&amp;IF(Familles!BE13="Oui","Contondant; ","")&amp;IF(Familles!BF13="Oui","Non-magique; ",""))</x:f>
        <x:v>Contondant;</x:v>
      </x:c>
      <x:c r="G15" s="116" t="str">
        <x:f>Familles!BG13</x:f>
        <x:v>Sa masse énorme amortit les impacts : un coup qui briserait un humanoïde ne représente qu'un choc localisé. Sa morphologie réduit les dégâts contondants.</x:v>
      </x:c>
      <x:c r="H15" s="116" t="str">
        <x:f>Familles!BH13</x:f>
        <x:v>resistanceA_contondant</x:v>
      </x:c>
    </x:row>
    <x:row r="16" ht="14.25" customHeight="1">
      <x:c r="A16" s="116" t="str">
        <x:f>Familles!A14</x:f>
        <x:v>Élémentaire</x:v>
      </x:c>
      <x:c r="B16" s="116" t="str">
        <x:f>Familles!D14</x:f>
        <x:v>Élémentaire</x:v>
      </x:c>
      <x:c r="C16" s="116" t="str">
        <x:f>IF(Familles!A14=Familles!D14,"Famille","Sous-famille")</x:f>
        <x:v>Famille</x:v>
      </x:c>
      <x:c r="D16" s="116" t="str">
        <x:f>TRIM(IF(Familles!AT14="Résistant","Feu; ","")&amp;IF(Familles!AU14="Résistant","Air; ","")&amp;IF(Familles!AV14="Résistant","Eau; ","")&amp;IF(Familles!AW14="Résistant","Terre; ","")&amp;IF(Familles!AX14="Résistant","Ombre; ","")&amp;IF(Familles!AY14="Résistant","Lumière; ","")&amp;IF(Familles!AZ14="Résistant","Force; ",""))</x:f>
        <x:v>Force;</x:v>
      </x:c>
      <x:c r="E16" s="116" t="str">
        <x:f>TRIM(IF(Familles!AT14="Vulnérable","Feu; ","")&amp;IF(Familles!AU14="Vulnérable","Air; ","")&amp;IF(Familles!AV14="Vulnérable","Eau; ","")&amp;IF(Familles!AW14="Vulnérable","Terre; ","")&amp;IF(Familles!AX14="Vulnérable","Ombre; ","")&amp;IF(Familles!AY14="Vulnérable","Lumière; ","")&amp;IF(Familles!AZ14="Vulnérable","Force; ",""))</x:f>
      </x:c>
      <x:c r="F16" s="116" t="str">
        <x:f>TRIM(IF(Familles!BC14="Oui","Tranchant; ","")&amp;IF(Familles!BD14="Oui","Perçant; ","")&amp;IF(Familles!BE14="Oui","Contondant; ","")&amp;IF(Familles!BF14="Oui","Non-magique; ",""))</x:f>
      </x:c>
      <x:c r="G16" s="116" t="str">
        <x:f>Familles!BG14</x:f>
        <x:v>Son corps est une manifestation d'énergie ou de matière élémentaire ; sa vraie défense dépend de l'élément incarné. Résiste à Force par affinité ou constitution.</x:v>
      </x:c>
      <x:c r="H16" s="116" t="str">
        <x:f>Familles!BH14</x:f>
        <x:v>resistanceA_force</x:v>
      </x:c>
    </x:row>
    <x:row r="17" ht="14.25" customHeight="1">
      <x:c r="A17" s="116" t="str">
        <x:f>Familles!A15</x:f>
        <x:v>Céleste</x:v>
      </x:c>
      <x:c r="B17" s="116" t="str">
        <x:f>Familles!D15</x:f>
        <x:v>Céleste</x:v>
      </x:c>
      <x:c r="C17" s="116" t="str">
        <x:f>IF(Familles!A15=Familles!D15,"Famille","Sous-famille")</x:f>
        <x:v>Famille</x:v>
      </x:c>
      <x:c r="D17" s="116" t="str">
        <x:f>TRIM(IF(Familles!AT15="Résistant","Feu; ","")&amp;IF(Familles!AU15="Résistant","Air; ","")&amp;IF(Familles!AV15="Résistant","Eau; ","")&amp;IF(Familles!AW15="Résistant","Terre; ","")&amp;IF(Familles!AX15="Résistant","Ombre; ","")&amp;IF(Familles!AY15="Résistant","Lumière; ","")&amp;IF(Familles!AZ15="Résistant","Force; ",""))</x:f>
        <x:v>Lumière;</x:v>
      </x:c>
      <x:c r="E17" s="116" t="str">
        <x:f>TRIM(IF(Familles!AT15="Vulnérable","Feu; ","")&amp;IF(Familles!AU15="Vulnérable","Air; ","")&amp;IF(Familles!AV15="Vulnérable","Eau; ","")&amp;IF(Familles!AW15="Vulnérable","Terre; ","")&amp;IF(Familles!AX15="Vulnérable","Ombre; ","")&amp;IF(Familles!AY15="Vulnérable","Lumière; ","")&amp;IF(Familles!AZ15="Vulnérable","Force; ",""))</x:f>
        <x:v>Ombre;</x:v>
      </x:c>
      <x:c r="F17" s="116" t="str">
        <x:f>TRIM(IF(Familles!BC15="Oui","Tranchant; ","")&amp;IF(Familles!BD15="Oui","Perçant; ","")&amp;IF(Familles!BE15="Oui","Contondant; ","")&amp;IF(Familles!BF15="Oui","Non-magique; ",""))</x:f>
      </x:c>
      <x:c r="G17" s="116" t="str">
        <x:f>Familles!BG15</x:f>
        <x:v>Son essence sacrée résiste au radiant mais réagit mal aux forces de l’Ombre qui corrompent ou annulent cette énergie. Résiste à Lumière par affinité ou constitution. Vulnérable à Ombre, qui perturbe directement sa nature.</x:v>
      </x:c>
      <x:c r="H17" s="116" t="str">
        <x:f>Familles!BH15</x:f>
        <x:v>vulnerableA_ombre resistanceA_lumiere</x:v>
      </x:c>
    </x:row>
    <x:row r="18" ht="14.25" customHeight="1">
      <x:c r="A18" s="116" t="str">
        <x:f>Familles!A16</x:f>
        <x:v>Artificiel</x:v>
      </x:c>
      <x:c r="B18" s="116" t="str">
        <x:f>Familles!D16</x:f>
        <x:v>Artificiel</x:v>
      </x:c>
      <x:c r="C18" s="116" t="str">
        <x:f>IF(Familles!A16=Familles!D16,"Famille","Sous-famille")</x:f>
        <x:v>Famille</x:v>
      </x:c>
      <x:c r="D18" s="116" t="str">
        <x:f>TRIM(IF(Familles!AT16="Résistant","Feu; ","")&amp;IF(Familles!AU16="Résistant","Air; ","")&amp;IF(Familles!AV16="Résistant","Eau; ","")&amp;IF(Familles!AW16="Résistant","Terre; ","")&amp;IF(Familles!AX16="Résistant","Ombre; ","")&amp;IF(Familles!AY16="Résistant","Lumière; ","")&amp;IF(Familles!AZ16="Résistant","Force; ",""))</x:f>
        <x:v>Ombre;</x:v>
      </x:c>
      <x:c r="E18" s="116" t="str">
        <x:f>TRIM(IF(Familles!AT16="Vulnérable","Feu; ","")&amp;IF(Familles!AU16="Vulnérable","Air; ","")&amp;IF(Familles!AV16="Vulnérable","Eau; ","")&amp;IF(Familles!AW16="Vulnérable","Terre; ","")&amp;IF(Familles!AX16="Vulnérable","Ombre; ","")&amp;IF(Familles!AY16="Vulnérable","Lumière; ","")&amp;IF(Familles!AZ16="Vulnérable","Force; ",""))</x:f>
      </x:c>
      <x:c r="F18" s="116" t="str">
        <x:f>TRIM(IF(Familles!BC16="Oui","Tranchant; ","")&amp;IF(Familles!BD16="Oui","Perçant; ","")&amp;IF(Familles!BE16="Oui","Contondant; ","")&amp;IF(Familles!BF16="Oui","Non-magique; ",""))</x:f>
        <x:v>Perçant;</x:v>
      </x:c>
      <x:c r="G18" s="116" t="str">
        <x:f>Familles!BG16</x:f>
        <x:v>Sans organes ni points vitaux classiques, il craint moins les perforations et les effets qui ciblent la matière vivante. Résiste à Ombre par affinité ou constitution. Sa morphologie réduit les dégâts perçants.</x:v>
      </x:c>
      <x:c r="H18" s="116" t="str">
        <x:f>Familles!BH16</x:f>
        <x:v>resistanceA_ombre resistanceA_percant</x:v>
      </x:c>
    </x:row>
    <x:row r="19" ht="14.25" customHeight="1">
      <x:c r="A19" s="116" t="str">
        <x:f>Familles!A17</x:f>
        <x:v>Esprit</x:v>
      </x:c>
      <x:c r="B19" s="116" t="str">
        <x:f>Familles!D17</x:f>
        <x:v>Esprit</x:v>
      </x:c>
      <x:c r="C19" s="116" t="str">
        <x:f>IF(Familles!A17=Familles!D17,"Famille","Sous-famille")</x:f>
        <x:v>Famille</x:v>
      </x:c>
      <x:c r="D19" s="116" t="str">
        <x:f>TRIM(IF(Familles!AT17="Résistant","Feu; ","")&amp;IF(Familles!AU17="Résistant","Air; ","")&amp;IF(Familles!AV17="Résistant","Eau; ","")&amp;IF(Familles!AW17="Résistant","Terre; ","")&amp;IF(Familles!AX17="Résistant","Ombre; ","")&amp;IF(Familles!AY17="Résistant","Lumière; ","")&amp;IF(Familles!AZ17="Résistant","Force; ",""))</x:f>
        <x:v>Ombre; Force;</x:v>
      </x:c>
      <x:c r="E19" s="116" t="str">
        <x:f>TRIM(IF(Familles!AT17="Vulnérable","Feu; ","")&amp;IF(Familles!AU17="Vulnérable","Air; ","")&amp;IF(Familles!AV17="Vulnérable","Eau; ","")&amp;IF(Familles!AW17="Vulnérable","Terre; ","")&amp;IF(Familles!AX17="Vulnérable","Ombre; ","")&amp;IF(Familles!AY17="Vulnérable","Lumière; ","")&amp;IF(Familles!AZ17="Vulnérable","Force; ",""))</x:f>
        <x:v>Lumière;</x:v>
      </x:c>
      <x:c r="F19" s="116" t="str">
        <x:f>TRIM(IF(Familles!BC17="Oui","Tranchant; ","")&amp;IF(Familles!BD17="Oui","Perçant; ","")&amp;IF(Familles!BE17="Oui","Contondant; ","")&amp;IF(Familles!BF17="Oui","Non-magique; ",""))</x:f>
      </x:c>
      <x:c r="G19" s="116" t="str">
        <x:f>Familles!BG17</x:f>
        <x:v>Une manifestation immatérielle ne réagit pas comme un corps physique ; l'intangibilité doit rester son principal mécanisme défensif. Résiste à Ombre, Force par affinité ou constitution. Vulnérable à Lumière, qui perturbe directement sa nature.</x:v>
      </x:c>
      <x:c r="H19" s="116" t="str">
        <x:f>Familles!BH17</x:f>
        <x:v>resistanceA_ombre vulnerableA_lumiere resistanceA_force</x:v>
      </x:c>
    </x:row>
    <x:row r="20" ht="14.25" customHeight="1">
      <x:c r="A20" s="116" t="str">
        <x:f>Familles!A18</x:f>
        <x:v>Dragon</x:v>
      </x:c>
      <x:c r="B20" s="116" t="str">
        <x:f>Familles!D18</x:f>
        <x:v>Dragon</x:v>
      </x:c>
      <x:c r="C20" s="116" t="str">
        <x:f>IF(Familles!A18=Familles!D18,"Famille","Sous-famille")</x:f>
        <x:v>Famille</x:v>
      </x:c>
      <x:c r="D20" s="116" t="str">
        <x:f>TRIM(IF(Familles!AT18="Résistant","Feu; ","")&amp;IF(Familles!AU18="Résistant","Air; ","")&amp;IF(Familles!AV18="Résistant","Eau; ","")&amp;IF(Familles!AW18="Résistant","Terre; ","")&amp;IF(Familles!AX18="Résistant","Ombre; ","")&amp;IF(Familles!AY18="Résistant","Lumière; ","")&amp;IF(Familles!AZ18="Résistant","Force; ",""))</x:f>
        <x:v>Force;</x:v>
      </x:c>
      <x:c r="E20" s="116" t="str">
        <x:f>TRIM(IF(Familles!AT18="Vulnérable","Feu; ","")&amp;IF(Familles!AU18="Vulnérable","Air; ","")&amp;IF(Familles!AV18="Vulnérable","Eau; ","")&amp;IF(Familles!AW18="Vulnérable","Terre; ","")&amp;IF(Familles!AX18="Vulnérable","Ombre; ","")&amp;IF(Familles!AY18="Vulnérable","Lumière; ","")&amp;IF(Familles!AZ18="Vulnérable","Force; ",""))</x:f>
      </x:c>
      <x:c r="F20" s="116" t="str">
        <x:f>TRIM(IF(Familles!BC18="Oui","Tranchant; ","")&amp;IF(Familles!BD18="Oui","Perçant; ","")&amp;IF(Familles!BE18="Oui","Contondant; ","")&amp;IF(Familles!BF18="Oui","Non-magique; ",""))</x:f>
        <x:v>Tranchant;</x:v>
      </x:c>
      <x:c r="G20" s="116" t="str">
        <x:f>Familles!BG18</x:f>
        <x:v>Écailles, puissance magique et physiologie surnaturelle rendent les entailles ordinaires moins efficaces. Résiste à Force par affinité ou constitution. Sa morphologie réduit les dégâts tranchants.</x:v>
      </x:c>
      <x:c r="H20" s="116" t="str">
        <x:f>Familles!BH18</x:f>
        <x:v>resistanceA_force resistanceA_tranchant</x:v>
      </x:c>
    </x:row>
    <x:row r="21" ht="14.25" customHeight="1">
      <x:c r="A21" s="116" t="str">
        <x:f>Familles!A19</x:f>
        <x:v>Gobelinoïde</x:v>
      </x:c>
      <x:c r="B21" s="116" t="str">
        <x:f>Familles!D19</x:f>
        <x:v>Humanoïde</x:v>
      </x:c>
      <x:c r="C21" s="116" t="str">
        <x:f>IF(Familles!A19=Familles!D19,"Famille","Sous-famille")</x:f>
        <x:v>Sous-famille</x:v>
      </x:c>
      <x:c r="D21" s="116" t="str">
        <x:f>TRIM(IF(Familles!AT19="Résistant","Feu; ","")&amp;IF(Familles!AU19="Résistant","Air; ","")&amp;IF(Familles!AV19="Résistant","Eau; ","")&amp;IF(Familles!AW19="Résistant","Terre; ","")&amp;IF(Familles!AX19="Résistant","Ombre; ","")&amp;IF(Familles!AY19="Résistant","Lumière; ","")&amp;IF(Familles!AZ19="Résistant","Force; ",""))</x:f>
      </x:c>
      <x:c r="E21" s="116" t="str">
        <x:f>TRIM(IF(Familles!AT19="Vulnérable","Feu; ","")&amp;IF(Familles!AU19="Vulnérable","Air; ","")&amp;IF(Familles!AV19="Vulnérable","Eau; ","")&amp;IF(Familles!AW19="Vulnérable","Terre; ","")&amp;IF(Familles!AX19="Vulnérable","Ombre; ","")&amp;IF(Familles!AY19="Vulnérable","Lumière; ","")&amp;IF(Familles!AZ19="Vulnérable","Force; ",""))</x:f>
      </x:c>
      <x:c r="F21" s="116" t="str">
        <x:f>TRIM(IF(Familles!BC19="Oui","Tranchant; ","")&amp;IF(Familles!BD19="Oui","Perçant; ","")&amp;IF(Familles!BE19="Oui","Contondant; ","")&amp;IF(Familles!BF19="Oui","Non-magique; ",""))</x:f>
      </x:c>
      <x:c r="G21" s="116" t="str">
        <x:f>Familles!BG19</x:f>
        <x:v>Peuples rusés, tribaux ou militaires : gobelins, hobgobelins, bugbears. Aucune résistance innée supplémentaire : son identité vient surtout de ses statistiques et capacités.</x:v>
      </x:c>
      <x:c r="H21" s="116" t="n">
        <x:f>Familles!BH19</x:f>
        <x:v>0</x:v>
      </x:c>
    </x:row>
    <x:row r="22" ht="14.25" customHeight="1">
      <x:c r="A22" s="116" t="str">
        <x:f>Familles!A20</x:f>
        <x:v>Saurien</x:v>
      </x:c>
      <x:c r="B22" s="116" t="str">
        <x:f>Familles!D20</x:f>
        <x:v>Humanoïde</x:v>
      </x:c>
      <x:c r="C22" s="116" t="str">
        <x:f>IF(Familles!A20=Familles!D20,"Famille","Sous-famille")</x:f>
        <x:v>Sous-famille</x:v>
      </x:c>
      <x:c r="D22" s="116" t="str">
        <x:f>TRIM(IF(Familles!AT20="Résistant","Feu; ","")&amp;IF(Familles!AU20="Résistant","Air; ","")&amp;IF(Familles!AV20="Résistant","Eau; ","")&amp;IF(Familles!AW20="Résistant","Terre; ","")&amp;IF(Familles!AX20="Résistant","Ombre; ","")&amp;IF(Familles!AY20="Résistant","Lumière; ","")&amp;IF(Familles!AZ20="Résistant","Force; ",""))</x:f>
        <x:v>Terre;</x:v>
      </x:c>
      <x:c r="E22" s="116" t="str">
        <x:f>TRIM(IF(Familles!AT20="Vulnérable","Feu; ","")&amp;IF(Familles!AU20="Vulnérable","Air; ","")&amp;IF(Familles!AV20="Vulnérable","Eau; ","")&amp;IF(Familles!AW20="Vulnérable","Terre; ","")&amp;IF(Familles!AX20="Vulnérable","Ombre; ","")&amp;IF(Familles!AY20="Vulnérable","Lumière; ","")&amp;IF(Familles!AZ20="Vulnérable","Force; ",""))</x:f>
      </x:c>
      <x:c r="F22" s="116" t="str">
        <x:f>TRIM(IF(Familles!BC20="Oui","Tranchant; ","")&amp;IF(Familles!BD20="Oui","Perçant; ","")&amp;IF(Familles!BE20="Oui","Contondant; ","")&amp;IF(Familles!BF20="Oui","Non-magique; ",""))</x:f>
        <x:v>Tranchant;</x:v>
      </x:c>
      <x:c r="G22" s="116" t="str">
        <x:f>Familles!BG20</x:f>
        <x:v>Humanoïdes reptiliens : homme-lézard, kobold, peuples des marais ou écaillés. Résiste à Terre par affinité ou constitution. Sa morphologie réduit les dégâts tranchants.</x:v>
      </x:c>
      <x:c r="H22" s="116" t="str">
        <x:f>Familles!BH20</x:f>
        <x:v>resistanceA_terre resistanceA_tranchant</x:v>
      </x:c>
    </x:row>
    <x:row r="23" ht="14.25" customHeight="1">
      <x:c r="A23" s="116" t="str">
        <x:f>Familles!A21</x:f>
        <x:v>Orcoïde</x:v>
      </x:c>
      <x:c r="B23" s="116" t="str">
        <x:f>Familles!D21</x:f>
        <x:v>Humanoïde</x:v>
      </x:c>
      <x:c r="C23" s="116" t="str">
        <x:f>IF(Familles!A21=Familles!D21,"Famille","Sous-famille")</x:f>
        <x:v>Sous-famille</x:v>
      </x:c>
      <x:c r="D23" s="116" t="str">
        <x:f>TRIM(IF(Familles!AT21="Résistant","Feu; ","")&amp;IF(Familles!AU21="Résistant","Air; ","")&amp;IF(Familles!AV21="Résistant","Eau; ","")&amp;IF(Familles!AW21="Résistant","Terre; ","")&amp;IF(Familles!AX21="Résistant","Ombre; ","")&amp;IF(Familles!AY21="Résistant","Lumière; ","")&amp;IF(Familles!AZ21="Résistant","Force; ",""))</x:f>
      </x:c>
      <x:c r="E23" s="116" t="str">
        <x:f>TRIM(IF(Familles!AT21="Vulnérable","Feu; ","")&amp;IF(Familles!AU21="Vulnérable","Air; ","")&amp;IF(Familles!AV21="Vulnérable","Eau; ","")&amp;IF(Familles!AW21="Vulnérable","Terre; ","")&amp;IF(Familles!AX21="Vulnérable","Ombre; ","")&amp;IF(Familles!AY21="Vulnérable","Lumière; ","")&amp;IF(Familles!AZ21="Vulnérable","Force; ",""))</x:f>
      </x:c>
      <x:c r="F23" s="116" t="str">
        <x:f>TRIM(IF(Familles!BC21="Oui","Tranchant; ","")&amp;IF(Familles!BD21="Oui","Perçant; ","")&amp;IF(Familles!BE21="Oui","Contondant; ","")&amp;IF(Familles!BF21="Oui","Non-magique; ",""))</x:f>
        <x:v>Contondant;</x:v>
      </x:c>
      <x:c r="G23" s="116" t="str">
        <x:f>Familles!BG21</x:f>
        <x:v>Humanoïdes brutaux et physiques : orcs, demi-orcs sauvages, tribus guerrières. Sa morphologie réduit les dégâts contondants.</x:v>
      </x:c>
      <x:c r="H23" s="116" t="str">
        <x:f>Familles!BH21</x:f>
        <x:v>resistanceA_contondant</x:v>
      </x:c>
    </x:row>
    <x:row r="24" ht="14.25" customHeight="1">
      <x:c r="A24" s="116" t="str">
        <x:f>Familles!A22</x:f>
        <x:v>Squelette</x:v>
      </x:c>
      <x:c r="B24" s="116" t="str">
        <x:f>Familles!D22</x:f>
        <x:v>Mort-vivant</x:v>
      </x:c>
      <x:c r="C24" s="116" t="str">
        <x:f>IF(Familles!A22=Familles!D22,"Famille","Sous-famille")</x:f>
        <x:v>Sous-famille</x:v>
      </x:c>
      <x:c r="D24" s="116" t="str">
        <x:f>TRIM(IF(Familles!AT22="Résistant","Feu; ","")&amp;IF(Familles!AU22="Résistant","Air; ","")&amp;IF(Familles!AV22="Résistant","Eau; ","")&amp;IF(Familles!AW22="Résistant","Terre; ","")&amp;IF(Familles!AX22="Résistant","Ombre; ","")&amp;IF(Familles!AY22="Résistant","Lumière; ","")&amp;IF(Familles!AZ22="Résistant","Force; ",""))</x:f>
        <x:v>Ombre;</x:v>
      </x:c>
      <x:c r="E24" s="116" t="str">
        <x:f>TRIM(IF(Familles!AT22="Vulnérable","Feu; ","")&amp;IF(Familles!AU22="Vulnérable","Air; ","")&amp;IF(Familles!AV22="Vulnérable","Eau; ","")&amp;IF(Familles!AW22="Vulnérable","Terre; ","")&amp;IF(Familles!AX22="Vulnérable","Ombre; ","")&amp;IF(Familles!AY22="Vulnérable","Lumière; ","")&amp;IF(Familles!AZ22="Vulnérable","Force; ",""))</x:f>
        <x:v>Lumière;</x:v>
      </x:c>
      <x:c r="F24" s="116" t="str">
        <x:f>TRIM(IF(Familles!BC22="Oui","Tranchant; ","")&amp;IF(Familles!BD22="Oui","Perçant; ","")&amp;IF(Familles!BE22="Oui","Contondant; ","")&amp;IF(Familles!BF22="Oui","Non-magique; ",""))</x:f>
        <x:v>Perçant;</x:v>
      </x:c>
      <x:c r="G24" s="116" t="str">
        <x:f>Familles!BG22</x:f>
        <x:v>Mort-vivant osseux : loot et résistances différents des zombies. Résiste à Ombre par affinité ou constitution. Vulnérable à Lumière, qui perturbe directement sa nature. Sa morphologie réduit les dégâts perçants.</x:v>
      </x:c>
      <x:c r="H24" s="116" t="str">
        <x:f>Familles!BH22</x:f>
        <x:v>resistanceA_ombre vulnerableA_lumiere resistanceA_percant</x:v>
      </x:c>
    </x:row>
    <x:row r="25" ht="14.25" customHeight="1">
      <x:c r="A25" s="116" t="str">
        <x:f>Familles!A23</x:f>
        <x:v>Charogne</x:v>
      </x:c>
      <x:c r="B25" s="116" t="str">
        <x:f>Familles!D23</x:f>
        <x:v>Mort-vivant</x:v>
      </x:c>
      <x:c r="C25" s="116" t="str">
        <x:f>IF(Familles!A23=Familles!D23,"Famille","Sous-famille")</x:f>
        <x:v>Sous-famille</x:v>
      </x:c>
      <x:c r="D25" s="116" t="str">
        <x:f>TRIM(IF(Familles!AT23="Résistant","Feu; ","")&amp;IF(Familles!AU23="Résistant","Air; ","")&amp;IF(Familles!AV23="Résistant","Eau; ","")&amp;IF(Familles!AW23="Résistant","Terre; ","")&amp;IF(Familles!AX23="Résistant","Ombre; ","")&amp;IF(Familles!AY23="Résistant","Lumière; ","")&amp;IF(Familles!AZ23="Résistant","Force; ",""))</x:f>
        <x:v>Ombre;</x:v>
      </x:c>
      <x:c r="E25" s="116" t="str">
        <x:f>TRIM(IF(Familles!AT23="Vulnérable","Feu; ","")&amp;IF(Familles!AU23="Vulnérable","Air; ","")&amp;IF(Familles!AV23="Vulnérable","Eau; ","")&amp;IF(Familles!AW23="Vulnérable","Terre; ","")&amp;IF(Familles!AX23="Vulnérable","Ombre; ","")&amp;IF(Familles!AY23="Vulnérable","Lumière; ","")&amp;IF(Familles!AZ23="Vulnérable","Force; ",""))</x:f>
        <x:v>Lumière;</x:v>
      </x:c>
      <x:c r="F25" s="116" t="str">
        <x:f>TRIM(IF(Familles!BC23="Oui","Tranchant; ","")&amp;IF(Familles!BD23="Oui","Perçant; ","")&amp;IF(Familles!BE23="Oui","Contondant; ","")&amp;IF(Familles!BF23="Oui","Non-magique; ",""))</x:f>
        <x:v>Perçant;</x:v>
      </x:c>
      <x:c r="G25" s="116" t="str">
        <x:f>Familles!BG23</x:f>
        <x:v>Mort-vivant de chair morte : putréfaction, maladie, goules, zombies. Résiste à Ombre par affinité ou constitution. Vulnérable à Lumière, qui perturbe directement sa nature. Sa morphologie réduit les dégâts perçants.</x:v>
      </x:c>
      <x:c r="H25" s="116" t="str">
        <x:f>Familles!BH23</x:f>
        <x:v>resistanceA_ombre vulnerableA_lumiere resistanceA_percant</x:v>
      </x:c>
    </x:row>
    <x:row r="26" ht="14.25" customHeight="1">
      <x:c r="A26" s="116" t="str">
        <x:f>Familles!A24</x:f>
        <x:v>Prédateur</x:v>
      </x:c>
      <x:c r="B26" s="116" t="str">
        <x:f>Familles!D24</x:f>
        <x:v>Bête</x:v>
      </x:c>
      <x:c r="C26" s="116" t="str">
        <x:f>IF(Familles!A24=Familles!D24,"Famille","Sous-famille")</x:f>
        <x:v>Sous-famille</x:v>
      </x:c>
      <x:c r="D26" s="116" t="str">
        <x:f>TRIM(IF(Familles!AT24="Résistant","Feu; ","")&amp;IF(Familles!AU24="Résistant","Air; ","")&amp;IF(Familles!AV24="Résistant","Eau; ","")&amp;IF(Familles!AW24="Résistant","Terre; ","")&amp;IF(Familles!AX24="Résistant","Ombre; ","")&amp;IF(Familles!AY24="Résistant","Lumière; ","")&amp;IF(Familles!AZ24="Résistant","Force; ",""))</x:f>
      </x:c>
      <x:c r="E26" s="116" t="str">
        <x:f>TRIM(IF(Familles!AT24="Vulnérable","Feu; ","")&amp;IF(Familles!AU24="Vulnérable","Air; ","")&amp;IF(Familles!AV24="Vulnérable","Eau; ","")&amp;IF(Familles!AW24="Vulnérable","Terre; ","")&amp;IF(Familles!AX24="Vulnérable","Ombre; ","")&amp;IF(Familles!AY24="Vulnérable","Lumière; ","")&amp;IF(Familles!AZ24="Vulnérable","Force; ",""))</x:f>
      </x:c>
      <x:c r="F26" s="116" t="str">
        <x:f>TRIM(IF(Familles!BC24="Oui","Tranchant; ","")&amp;IF(Familles!BD24="Oui","Perçant; ","")&amp;IF(Familles!BE24="Oui","Contondant; ","")&amp;IF(Familles!BF24="Oui","Non-magique; ",""))</x:f>
      </x:c>
      <x:c r="G26" s="116" t="str">
        <x:f>Familles!BG24</x:f>
        <x:v>Bête de chasse classique : loup, félin, ours, panthère. Aucune résistance innée supplémentaire : son identité vient surtout de ses statistiques et capacités.</x:v>
      </x:c>
      <x:c r="H26" s="116" t="n">
        <x:f>Familles!BH24</x:f>
        <x:v>0</x:v>
      </x:c>
    </x:row>
    <x:row r="27" ht="14.25" customHeight="1">
      <x:c r="A27" s="116" t="str">
        <x:f>Familles!A25</x:f>
        <x:v>Volante</x:v>
      </x:c>
      <x:c r="B27" s="116" t="str">
        <x:f>Familles!D25</x:f>
        <x:v>Bête</x:v>
      </x:c>
      <x:c r="C27" s="116" t="str">
        <x:f>IF(Familles!A25=Familles!D25,"Famille","Sous-famille")</x:f>
        <x:v>Sous-famille</x:v>
      </x:c>
      <x:c r="D27" s="116" t="str">
        <x:f>TRIM(IF(Familles!AT25="Résistant","Feu; ","")&amp;IF(Familles!AU25="Résistant","Air; ","")&amp;IF(Familles!AV25="Résistant","Eau; ","")&amp;IF(Familles!AW25="Résistant","Terre; ","")&amp;IF(Familles!AX25="Résistant","Ombre; ","")&amp;IF(Familles!AY25="Résistant","Lumière; ","")&amp;IF(Familles!AZ25="Résistant","Force; ",""))</x:f>
        <x:v>Air;</x:v>
      </x:c>
      <x:c r="E27" s="116" t="str">
        <x:f>TRIM(IF(Familles!AT25="Vulnérable","Feu; ","")&amp;IF(Familles!AU25="Vulnérable","Air; ","")&amp;IF(Familles!AV25="Vulnérable","Eau; ","")&amp;IF(Familles!AW25="Vulnérable","Terre; ","")&amp;IF(Familles!AX25="Vulnérable","Ombre; ","")&amp;IF(Familles!AY25="Vulnérable","Lumière; ","")&amp;IF(Familles!AZ25="Vulnérable","Force; ",""))</x:f>
      </x:c>
      <x:c r="F27" s="116" t="str">
        <x:f>TRIM(IF(Familles!BC25="Oui","Tranchant; ","")&amp;IF(Familles!BD25="Oui","Perçant; ","")&amp;IF(Familles!BE25="Oui","Contondant; ","")&amp;IF(Familles!BF25="Oui","Non-magique; ",""))</x:f>
      </x:c>
      <x:c r="G27" s="116" t="str">
        <x:f>Familles!BG25</x:f>
        <x:v>Bête avec avantage tactique de mobilité aérienne. Résiste à Air par affinité ou constitution.</x:v>
      </x:c>
      <x:c r="H27" s="116" t="str">
        <x:f>Familles!BH25</x:f>
        <x:v>resistanceA_air</x:v>
      </x:c>
    </x:row>
    <x:row r="28" ht="14.25" customHeight="1">
      <x:c r="A28" s="116" t="str">
        <x:f>Familles!A26</x:f>
        <x:v>Massive</x:v>
      </x:c>
      <x:c r="B28" s="116" t="str">
        <x:f>Familles!D26</x:f>
        <x:v>Bête</x:v>
      </x:c>
      <x:c r="C28" s="116" t="str">
        <x:f>IF(Familles!A26=Familles!D26,"Famille","Sous-famille")</x:f>
        <x:v>Sous-famille</x:v>
      </x:c>
      <x:c r="D28" s="116" t="str">
        <x:f>TRIM(IF(Familles!AT26="Résistant","Feu; ","")&amp;IF(Familles!AU26="Résistant","Air; ","")&amp;IF(Familles!AV26="Résistant","Eau; ","")&amp;IF(Familles!AW26="Résistant","Terre; ","")&amp;IF(Familles!AX26="Résistant","Ombre; ","")&amp;IF(Familles!AY26="Résistant","Lumière; ","")&amp;IF(Familles!AZ26="Résistant","Force; ",""))</x:f>
        <x:v>Terre;</x:v>
      </x:c>
      <x:c r="E28" s="116" t="str">
        <x:f>TRIM(IF(Familles!AT26="Vulnérable","Feu; ","")&amp;IF(Familles!AU26="Vulnérable","Air; ","")&amp;IF(Familles!AV26="Vulnérable","Eau; ","")&amp;IF(Familles!AW26="Vulnérable","Terre; ","")&amp;IF(Familles!AX26="Vulnérable","Ombre; ","")&amp;IF(Familles!AY26="Vulnérable","Lumière; ","")&amp;IF(Familles!AZ26="Vulnérable","Force; ",""))</x:f>
      </x:c>
      <x:c r="F28" s="116" t="str">
        <x:f>TRIM(IF(Familles!BC26="Oui","Tranchant; ","")&amp;IF(Familles!BD26="Oui","Perçant; ","")&amp;IF(Familles!BE26="Oui","Contondant; ","")&amp;IF(Familles!BF26="Oui","Non-magique; ",""))</x:f>
        <x:v>Contondant;</x:v>
      </x:c>
      <x:c r="G28" s="116" t="str">
        <x:f>Familles!BG26</x:f>
        <x:v>Bête très lourde : meilleure force, constitution ou PV. Résiste à Terre par affinité ou constitution. Sa morphologie réduit les dégâts contondants.</x:v>
      </x:c>
      <x:c r="H28" s="116" t="str">
        <x:f>Familles!BH26</x:f>
        <x:v>resistanceA_terre resistanceA_contondant</x:v>
      </x:c>
    </x:row>
    <x:row r="29" ht="14.25" customHeight="1">
      <x:c r="A29" s="116" t="str">
        <x:f>Familles!A27</x:f>
        <x:v>Insectoïde</x:v>
      </x:c>
      <x:c r="B29" s="116" t="str">
        <x:f>Familles!D27</x:f>
        <x:v>Vermine</x:v>
      </x:c>
      <x:c r="C29" s="116" t="str">
        <x:f>IF(Familles!A27=Familles!D27,"Famille","Sous-famille")</x:f>
        <x:v>Sous-famille</x:v>
      </x:c>
      <x:c r="D29" s="116" t="str">
        <x:f>TRIM(IF(Familles!AT27="Résistant","Feu; ","")&amp;IF(Familles!AU27="Résistant","Air; ","")&amp;IF(Familles!AV27="Résistant","Eau; ","")&amp;IF(Familles!AW27="Résistant","Terre; ","")&amp;IF(Familles!AX27="Résistant","Ombre; ","")&amp;IF(Familles!AY27="Résistant","Lumière; ","")&amp;IF(Familles!AZ27="Résistant","Force; ",""))</x:f>
      </x:c>
      <x:c r="E29" s="116" t="str">
        <x:f>TRIM(IF(Familles!AT27="Vulnérable","Feu; ","")&amp;IF(Familles!AU27="Vulnérable","Air; ","")&amp;IF(Familles!AV27="Vulnérable","Eau; ","")&amp;IF(Familles!AW27="Vulnérable","Terre; ","")&amp;IF(Familles!AX27="Vulnérable","Ombre; ","")&amp;IF(Familles!AY27="Vulnérable","Lumière; ","")&amp;IF(Familles!AZ27="Vulnérable","Force; ",""))</x:f>
        <x:v>Feu;</x:v>
      </x:c>
      <x:c r="F29" s="116" t="str">
        <x:f>TRIM(IF(Familles!BC27="Oui","Tranchant; ","")&amp;IF(Familles!BD27="Oui","Perçant; ","")&amp;IF(Familles!BE27="Oui","Contondant; ","")&amp;IF(Familles!BF27="Oui","Non-magique; ",""))</x:f>
        <x:v>Tranchant;</x:v>
      </x:c>
      <x:c r="G29" s="116" t="str">
        <x:f>Familles!BG27</x:f>
        <x:v>Vermine à chitine, mandibules ou glandes exploitables. Vulnérable à Feu, qui perturbe directement sa nature. Sa morphologie réduit les dégâts tranchants.</x:v>
      </x:c>
      <x:c r="H29" s="116" t="str">
        <x:f>Familles!BH27</x:f>
        <x:v>vulnerableA_feu resistanceA_tranchant</x:v>
      </x:c>
    </x:row>
    <x:row r="30" ht="14.25" customHeight="1">
      <x:c r="A30" s="116" t="str">
        <x:f>Familles!A28</x:f>
        <x:v>Prédateur marin</x:v>
      </x:c>
      <x:c r="B30" s="116" t="str">
        <x:f>Familles!D28</x:f>
        <x:v>Aquatique</x:v>
      </x:c>
      <x:c r="C30" s="116" t="str">
        <x:f>IF(Familles!A28=Familles!D28,"Famille","Sous-famille")</x:f>
        <x:v>Sous-famille</x:v>
      </x:c>
      <x:c r="D30" s="116" t="str">
        <x:f>TRIM(IF(Familles!AT28="Résistant","Feu; ","")&amp;IF(Familles!AU28="Résistant","Air; ","")&amp;IF(Familles!AV28="Résistant","Eau; ","")&amp;IF(Familles!AW28="Résistant","Terre; ","")&amp;IF(Familles!AX28="Résistant","Ombre; ","")&amp;IF(Familles!AY28="Résistant","Lumière; ","")&amp;IF(Familles!AZ28="Résistant","Force; ",""))</x:f>
        <x:v>Eau;</x:v>
      </x:c>
      <x:c r="E30" s="116" t="str">
        <x:f>TRIM(IF(Familles!AT28="Vulnérable","Feu; ","")&amp;IF(Familles!AU28="Vulnérable","Air; ","")&amp;IF(Familles!AV28="Vulnérable","Eau; ","")&amp;IF(Familles!AW28="Vulnérable","Terre; ","")&amp;IF(Familles!AX28="Vulnérable","Ombre; ","")&amp;IF(Familles!AY28="Vulnérable","Lumière; ","")&amp;IF(Familles!AZ28="Vulnérable","Force; ",""))</x:f>
        <x:v>Feu;</x:v>
      </x:c>
      <x:c r="F30" s="116" t="str">
        <x:f>TRIM(IF(Familles!BC28="Oui","Tranchant; ","")&amp;IF(Familles!BD28="Oui","Perçant; ","")&amp;IF(Familles!BE28="Oui","Contondant; ","")&amp;IF(Familles!BF28="Oui","Non-magique; ",""))</x:f>
      </x:c>
      <x:c r="G30" s="116" t="str">
        <x:f>Familles!BG28</x:f>
        <x:v>Danger aquatique simple : requin, serpent de mer, crocodile géant. Résiste à Eau par affinité ou constitution. Vulnérable à Feu, qui perturbe directement sa nature.</x:v>
      </x:c>
      <x:c r="H30" s="116" t="str">
        <x:f>Familles!BH28</x:f>
        <x:v>vulnerableA_feu resistanceA_eau</x:v>
      </x:c>
    </x:row>
    <x:row r="31" ht="14.25" customHeight="1">
      <x:c r="A31" s="116" t="str">
        <x:f>Familles!A29</x:f>
        <x:v>Amphibien intelligent</x:v>
      </x:c>
      <x:c r="B31" s="116" t="str">
        <x:f>Familles!D29</x:f>
        <x:v>Aquatique</x:v>
      </x:c>
      <x:c r="C31" s="116" t="str">
        <x:f>IF(Familles!A29=Familles!D29,"Famille","Sous-famille")</x:f>
        <x:v>Sous-famille</x:v>
      </x:c>
      <x:c r="D31" s="116" t="str">
        <x:f>TRIM(IF(Familles!AT29="Résistant","Feu; ","")&amp;IF(Familles!AU29="Résistant","Air; ","")&amp;IF(Familles!AV29="Résistant","Eau; ","")&amp;IF(Familles!AW29="Résistant","Terre; ","")&amp;IF(Familles!AX29="Résistant","Ombre; ","")&amp;IF(Familles!AY29="Résistant","Lumière; ","")&amp;IF(Familles!AZ29="Résistant","Force; ",""))</x:f>
        <x:v>Eau;</x:v>
      </x:c>
      <x:c r="E31" s="116" t="str">
        <x:f>TRIM(IF(Familles!AT29="Vulnérable","Feu; ","")&amp;IF(Familles!AU29="Vulnérable","Air; ","")&amp;IF(Familles!AV29="Vulnérable","Eau; ","")&amp;IF(Familles!AW29="Vulnérable","Terre; ","")&amp;IF(Familles!AX29="Vulnérable","Ombre; ","")&amp;IF(Familles!AY29="Vulnérable","Lumière; ","")&amp;IF(Familles!AZ29="Vulnérable","Force; ",""))</x:f>
        <x:v>Feu;</x:v>
      </x:c>
      <x:c r="F31" s="116" t="str">
        <x:f>TRIM(IF(Familles!BC29="Oui","Tranchant; ","")&amp;IF(Familles!BD29="Oui","Perçant; ","")&amp;IF(Familles!BE29="Oui","Contondant; ","")&amp;IF(Familles!BF29="Oui","Non-magique; ",""))</x:f>
      </x:c>
      <x:c r="G31" s="116" t="str">
        <x:f>Familles!BG29</x:f>
        <x:v>Créature aquatique organisée ou armée. Résiste à Eau par affinité ou constitution. Vulnérable à Feu, qui perturbe directement sa nature.</x:v>
      </x:c>
      <x:c r="H31" s="116" t="str">
        <x:f>Familles!BH29</x:f>
        <x:v>vulnerableA_feu resistanceA_eau</x:v>
      </x:c>
    </x:row>
    <x:row r="32" ht="14.25" customHeight="1">
      <x:c r="A32" s="116" t="str">
        <x:f>Familles!A30</x:f>
        <x:v>Arachnide</x:v>
      </x:c>
      <x:c r="B32" s="116" t="str">
        <x:f>Familles!D30</x:f>
        <x:v>Vermine</x:v>
      </x:c>
      <x:c r="C32" s="116" t="str">
        <x:f>IF(Familles!A30=Familles!D30,"Famille","Sous-famille")</x:f>
        <x:v>Sous-famille</x:v>
      </x:c>
      <x:c r="D32" s="116" t="str">
        <x:f>TRIM(IF(Familles!AT30="Résistant","Feu; ","")&amp;IF(Familles!AU30="Résistant","Air; ","")&amp;IF(Familles!AV30="Résistant","Eau; ","")&amp;IF(Familles!AW30="Résistant","Terre; ","")&amp;IF(Familles!AX30="Résistant","Ombre; ","")&amp;IF(Familles!AY30="Résistant","Lumière; ","")&amp;IF(Familles!AZ30="Résistant","Force; ",""))</x:f>
      </x:c>
      <x:c r="E32" s="116" t="str">
        <x:f>TRIM(IF(Familles!AT30="Vulnérable","Feu; ","")&amp;IF(Familles!AU30="Vulnérable","Air; ","")&amp;IF(Familles!AV30="Vulnérable","Eau; ","")&amp;IF(Familles!AW30="Vulnérable","Terre; ","")&amp;IF(Familles!AX30="Vulnérable","Ombre; ","")&amp;IF(Familles!AY30="Vulnérable","Lumière; ","")&amp;IF(Familles!AZ30="Vulnérable","Force; ",""))</x:f>
        <x:v>Feu;</x:v>
      </x:c>
      <x:c r="F32" s="116" t="str">
        <x:f>TRIM(IF(Familles!BC30="Oui","Tranchant; ","")&amp;IF(Familles!BD30="Oui","Perçant; ","")&amp;IF(Familles!BE30="Oui","Contondant; ","")&amp;IF(Familles!BF30="Oui","Non-magique; ",""))</x:f>
        <x:v>Tranchant;</x:v>
      </x:c>
      <x:c r="G32" s="116" t="str">
        <x:f>Familles!BG30</x:f>
        <x:v>Araignées et scorpions : venin, toile, pinces. Vulnérable à Feu, qui perturbe directement sa nature. Sa morphologie réduit les dégâts tranchants.</x:v>
      </x:c>
      <x:c r="H32" s="116" t="str">
        <x:f>Familles!BH30</x:f>
        <x:v>vulnerableA_feu resistanceA_tranchant</x:v>
      </x:c>
    </x:row>
    <x:row r="33" ht="14.25" customHeight="1">
      <x:c r="A33" s="116" t="str">
        <x:f>Familles!A31</x:f>
        <x:v>Mutante</x:v>
      </x:c>
      <x:c r="B33" s="116" t="str">
        <x:f>Familles!D31</x:f>
        <x:v>Aberration</x:v>
      </x:c>
      <x:c r="C33" s="116" t="str">
        <x:f>IF(Familles!A31=Familles!D31,"Famille","Sous-famille")</x:f>
        <x:v>Sous-famille</x:v>
      </x:c>
      <x:c r="D33" s="116" t="str">
        <x:f>TRIM(IF(Familles!AT31="Résistant","Feu; ","")&amp;IF(Familles!AU31="Résistant","Air; ","")&amp;IF(Familles!AV31="Résistant","Eau; ","")&amp;IF(Familles!AW31="Résistant","Terre; ","")&amp;IF(Familles!AX31="Résistant","Ombre; ","")&amp;IF(Familles!AY31="Résistant","Lumière; ","")&amp;IF(Familles!AZ31="Résistant","Force; ",""))</x:f>
        <x:v>Force;</x:v>
      </x:c>
      <x:c r="E33" s="116" t="str">
        <x:f>TRIM(IF(Familles!AT31="Vulnérable","Feu; ","")&amp;IF(Familles!AU31="Vulnérable","Air; ","")&amp;IF(Familles!AV31="Vulnérable","Eau; ","")&amp;IF(Familles!AW31="Vulnérable","Terre; ","")&amp;IF(Familles!AX31="Vulnérable","Ombre; ","")&amp;IF(Familles!AY31="Vulnérable","Lumière; ","")&amp;IF(Familles!AZ31="Vulnérable","Force; ",""))</x:f>
      </x:c>
      <x:c r="F33" s="116" t="str">
        <x:f>TRIM(IF(Familles!BC31="Oui","Tranchant; ","")&amp;IF(Familles!BD31="Oui","Perçant; ","")&amp;IF(Familles!BE31="Oui","Contondant; ","")&amp;IF(Familles!BF31="Oui","Non-magique; ",""))</x:f>
        <x:v>Contondant;</x:v>
      </x:c>
      <x:c r="G33" s="116" t="str">
        <x:f>Familles!BG31</x:f>
        <x:v>Aberration physique ou organique instable. Résiste à Force par affinité ou constitution. Sa morphologie réduit les dégâts contondants.</x:v>
      </x:c>
      <x:c r="H33" s="116" t="str">
        <x:f>Familles!BH31</x:f>
        <x:v>resistanceA_force resistanceA_contondant</x:v>
      </x:c>
    </x:row>
    <x:row r="34" ht="14.25" customHeight="1">
      <x:c r="A34" s="116" t="str">
        <x:f>Familles!A32</x:f>
        <x:v>Végétal animé</x:v>
      </x:c>
      <x:c r="B34" s="116" t="str">
        <x:f>Familles!D32</x:f>
        <x:v>Plante</x:v>
      </x:c>
      <x:c r="C34" s="116" t="str">
        <x:f>IF(Familles!A32=Familles!D32,"Famille","Sous-famille")</x:f>
        <x:v>Sous-famille</x:v>
      </x:c>
      <x:c r="D34" s="116" t="str">
        <x:f>TRIM(IF(Familles!AT32="Résistant","Feu; ","")&amp;IF(Familles!AU32="Résistant","Air; ","")&amp;IF(Familles!AV32="Résistant","Eau; ","")&amp;IF(Familles!AW32="Résistant","Terre; ","")&amp;IF(Familles!AX32="Résistant","Ombre; ","")&amp;IF(Familles!AY32="Résistant","Lumière; ","")&amp;IF(Familles!AZ32="Résistant","Force; ",""))</x:f>
        <x:v>Eau;</x:v>
      </x:c>
      <x:c r="E34" s="116" t="str">
        <x:f>TRIM(IF(Familles!AT32="Vulnérable","Feu; ","")&amp;IF(Familles!AU32="Vulnérable","Air; ","")&amp;IF(Familles!AV32="Vulnérable","Eau; ","")&amp;IF(Familles!AW32="Vulnérable","Terre; ","")&amp;IF(Familles!AX32="Vulnérable","Ombre; ","")&amp;IF(Familles!AY32="Vulnérable","Lumière; ","")&amp;IF(Familles!AZ32="Vulnérable","Force; ",""))</x:f>
        <x:v>Feu;</x:v>
      </x:c>
      <x:c r="F34" s="116" t="str">
        <x:f>TRIM(IF(Familles!BC32="Oui","Tranchant; ","")&amp;IF(Familles!BD32="Oui","Perçant; ","")&amp;IF(Familles!BE32="Oui","Contondant; ","")&amp;IF(Familles!BF32="Oui","Non-magique; ",""))</x:f>
        <x:v>Perçant;</x:v>
      </x:c>
      <x:c r="G34" s="116" t="str">
        <x:f>Familles!BG32</x:f>
        <x:v>Plante mobile ou animée. Résiste à Eau par affinité ou constitution. Vulnérable à Feu, qui perturbe directement sa nature. Sa morphologie réduit les dégâts perçants.</x:v>
      </x:c>
      <x:c r="H34" s="116" t="str">
        <x:f>Familles!BH32</x:f>
        <x:v>vulnerableA_feu resistanceA_eau resistanceA_percant</x:v>
      </x:c>
    </x:row>
    <x:row r="35" ht="14.25" customHeight="1">
      <x:c r="A35" s="116" t="str">
        <x:f>Familles!A33</x:f>
        <x:v>Nuée</x:v>
      </x:c>
      <x:c r="B35" s="116" t="str">
        <x:f>Familles!D33</x:f>
        <x:v>Vermine</x:v>
      </x:c>
      <x:c r="C35" s="116" t="str">
        <x:f>IF(Familles!A33=Familles!D33,"Famille","Sous-famille")</x:f>
        <x:v>Sous-famille</x:v>
      </x:c>
      <x:c r="D35" s="116" t="str">
        <x:f>TRIM(IF(Familles!AT33="Résistant","Feu; ","")&amp;IF(Familles!AU33="Résistant","Air; ","")&amp;IF(Familles!AV33="Résistant","Eau; ","")&amp;IF(Familles!AW33="Résistant","Terre; ","")&amp;IF(Familles!AX33="Résistant","Ombre; ","")&amp;IF(Familles!AY33="Résistant","Lumière; ","")&amp;IF(Familles!AZ33="Résistant","Force; ",""))</x:f>
      </x:c>
      <x:c r="E35" s="116" t="str">
        <x:f>TRIM(IF(Familles!AT33="Vulnérable","Feu; ","")&amp;IF(Familles!AU33="Vulnérable","Air; ","")&amp;IF(Familles!AV33="Vulnérable","Eau; ","")&amp;IF(Familles!AW33="Vulnérable","Terre; ","")&amp;IF(Familles!AX33="Vulnérable","Ombre; ","")&amp;IF(Familles!AY33="Vulnérable","Lumière; ","")&amp;IF(Familles!AZ33="Vulnérable","Force; ",""))</x:f>
        <x:v>Feu;</x:v>
      </x:c>
      <x:c r="F35" s="116" t="str">
        <x:f>TRIM(IF(Familles!BC33="Oui","Tranchant; ","")&amp;IF(Familles!BD33="Oui","Perçant; ","")&amp;IF(Familles!BE33="Oui","Contondant; ","")&amp;IF(Familles!BF33="Oui","Non-magique; ",""))</x:f>
        <x:v>Tranchant; Perçant;</x:v>
      </x:c>
      <x:c r="G35" s="116" t="str">
        <x:f>Familles!BG33</x:f>
        <x:v>Créature collective : l’effet de masse change le danger réel. Vulnérable à Feu, qui perturbe directement sa nature. Sa morphologie réduit les dégâts tranchants, perçants.</x:v>
      </x:c>
      <x:c r="H35" s="116" t="str">
        <x:f>Familles!BH33</x:f>
        <x:v>vulnerableA_feu resistanceA_tranchant resistanceA_percant</x:v>
      </x:c>
    </x:row>
    <x:row r="36" ht="14.25" customHeight="1">
      <x:c r="A36" s="116" t="str">
        <x:f>Familles!A34</x:f>
        <x:v>Tentaculaire</x:v>
      </x:c>
      <x:c r="B36" s="116" t="str">
        <x:f>Familles!D34</x:f>
        <x:v>Aberration</x:v>
      </x:c>
      <x:c r="C36" s="116" t="str">
        <x:f>IF(Familles!A34=Familles!D34,"Famille","Sous-famille")</x:f>
        <x:v>Sous-famille</x:v>
      </x:c>
      <x:c r="D36" s="116" t="str">
        <x:f>TRIM(IF(Familles!AT34="Résistant","Feu; ","")&amp;IF(Familles!AU34="Résistant","Air; ","")&amp;IF(Familles!AV34="Résistant","Eau; ","")&amp;IF(Familles!AW34="Résistant","Terre; ","")&amp;IF(Familles!AX34="Résistant","Ombre; ","")&amp;IF(Familles!AY34="Résistant","Lumière; ","")&amp;IF(Familles!AZ34="Résistant","Force; ",""))</x:f>
        <x:v>Force;</x:v>
      </x:c>
      <x:c r="E36" s="116" t="str">
        <x:f>TRIM(IF(Familles!AT34="Vulnérable","Feu; ","")&amp;IF(Familles!AU34="Vulnérable","Air; ","")&amp;IF(Familles!AV34="Vulnérable","Eau; ","")&amp;IF(Familles!AW34="Vulnérable","Terre; ","")&amp;IF(Familles!AX34="Vulnérable","Ombre; ","")&amp;IF(Familles!AY34="Vulnérable","Lumière; ","")&amp;IF(Familles!AZ34="Vulnérable","Force; ",""))</x:f>
      </x:c>
      <x:c r="F36" s="116" t="str">
        <x:f>TRIM(IF(Familles!BC34="Oui","Tranchant; ","")&amp;IF(Familles!BD34="Oui","Perçant; ","")&amp;IF(Familles!BE34="Oui","Contondant; ","")&amp;IF(Familles!BF34="Oui","Non-magique; ",""))</x:f>
        <x:v>Contondant;</x:v>
      </x:c>
      <x:c r="G36" s="116" t="str">
        <x:f>Familles!BG34</x:f>
        <x:v>Aberration de contrôle : entrave, attaques multiples, tentacules. Résiste à Force par affinité ou constitution. Sa morphologie réduit les dégâts contondants.</x:v>
      </x:c>
      <x:c r="H36" s="116" t="str">
        <x:f>Familles!BH34</x:f>
        <x:v>resistanceA_force resistanceA_contondant</x:v>
      </x:c>
    </x:row>
    <x:row r="37" ht="14.25" customHeight="1">
      <x:c r="A37" s="116" t="str">
        <x:f>Familles!A35</x:f>
        <x:v>Fongique</x:v>
      </x:c>
      <x:c r="B37" s="116" t="str">
        <x:f>Familles!D35</x:f>
        <x:v>Plante</x:v>
      </x:c>
      <x:c r="C37" s="116" t="str">
        <x:f>IF(Familles!A35=Familles!D35,"Famille","Sous-famille")</x:f>
        <x:v>Sous-famille</x:v>
      </x:c>
      <x:c r="D37" s="116" t="str">
        <x:f>TRIM(IF(Familles!AT35="Résistant","Feu; ","")&amp;IF(Familles!AU35="Résistant","Air; ","")&amp;IF(Familles!AV35="Résistant","Eau; ","")&amp;IF(Familles!AW35="Résistant","Terre; ","")&amp;IF(Familles!AX35="Résistant","Ombre; ","")&amp;IF(Familles!AY35="Résistant","Lumière; ","")&amp;IF(Familles!AZ35="Résistant","Force; ",""))</x:f>
      </x:c>
      <x:c r="E37" s="116" t="str">
        <x:f>TRIM(IF(Familles!AT35="Vulnérable","Feu; ","")&amp;IF(Familles!AU35="Vulnérable","Air; ","")&amp;IF(Familles!AV35="Vulnérable","Eau; ","")&amp;IF(Familles!AW35="Vulnérable","Terre; ","")&amp;IF(Familles!AX35="Vulnérable","Ombre; ","")&amp;IF(Familles!AY35="Vulnérable","Lumière; ","")&amp;IF(Familles!AZ35="Vulnérable","Force; ",""))</x:f>
        <x:v>Feu;</x:v>
      </x:c>
      <x:c r="F37" s="116" t="str">
        <x:f>TRIM(IF(Familles!BC35="Oui","Tranchant; ","")&amp;IF(Familles!BD35="Oui","Perçant; ","")&amp;IF(Familles!BE35="Oui","Contondant; ","")&amp;IF(Familles!BF35="Oui","Non-magique; ",""))</x:f>
        <x:v>Contondant;</x:v>
      </x:c>
      <x:c r="G37" s="116" t="str">
        <x:f>Familles!BG35</x:f>
        <x:v>Spores, toxines, maladie ou contamination. Vulnérable à Feu, qui perturbe directement sa nature. Sa morphologie réduit les dégâts contondants.</x:v>
      </x:c>
      <x:c r="H37" s="116" t="str">
        <x:f>Familles!BH35</x:f>
        <x:v>vulnerableA_feu resistanceA_contondant</x:v>
      </x:c>
    </x:row>
    <x:row r="38" ht="14.25" customHeight="1">
      <x:c r="A38" s="116" t="str">
        <x:f>Familles!A36</x:f>
        <x:v>Mentaliste</x:v>
      </x:c>
      <x:c r="B38" s="116" t="str">
        <x:f>Familles!D36</x:f>
        <x:v>Aberration</x:v>
      </x:c>
      <x:c r="C38" s="116" t="str">
        <x:f>IF(Familles!A36=Familles!D36,"Famille","Sous-famille")</x:f>
        <x:v>Sous-famille</x:v>
      </x:c>
      <x:c r="D38" s="116" t="str">
        <x:f>TRIM(IF(Familles!AT36="Résistant","Feu; ","")&amp;IF(Familles!AU36="Résistant","Air; ","")&amp;IF(Familles!AV36="Résistant","Eau; ","")&amp;IF(Familles!AW36="Résistant","Terre; ","")&amp;IF(Familles!AX36="Résistant","Ombre; ","")&amp;IF(Familles!AY36="Résistant","Lumière; ","")&amp;IF(Familles!AZ36="Résistant","Force; ",""))</x:f>
        <x:v>Force;</x:v>
      </x:c>
      <x:c r="E38" s="116" t="str">
        <x:f>TRIM(IF(Familles!AT36="Vulnérable","Feu; ","")&amp;IF(Familles!AU36="Vulnérable","Air; ","")&amp;IF(Familles!AV36="Vulnérable","Eau; ","")&amp;IF(Familles!AW36="Vulnérable","Terre; ","")&amp;IF(Familles!AX36="Vulnérable","Ombre; ","")&amp;IF(Familles!AY36="Vulnérable","Lumière; ","")&amp;IF(Familles!AZ36="Vulnérable","Force; ",""))</x:f>
      </x:c>
      <x:c r="F38" s="116" t="str">
        <x:f>TRIM(IF(Familles!BC36="Oui","Tranchant; ","")&amp;IF(Familles!BD36="Oui","Perçant; ","")&amp;IF(Familles!BE36="Oui","Contondant; ","")&amp;IF(Familles!BF36="Oui","Non-magique; ",""))</x:f>
      </x:c>
      <x:c r="G38" s="116" t="str">
        <x:f>Familles!BG36</x:f>
        <x:v>Aberration à pouvoirs mentaux : illusion, domination, confusion. Résiste à Force par affinité ou constitution.</x:v>
      </x:c>
      <x:c r="H38" s="116" t="str">
        <x:f>Familles!BH36</x:f>
        <x:v>resistanceA_force</x:v>
      </x:c>
    </x:row>
    <x:row r="39" ht="14.25" customHeight="1">
      <x:c r="A39" s="116" t="str">
        <x:f>Familles!A37</x:f>
        <x:v>Carnivore</x:v>
      </x:c>
      <x:c r="B39" s="116" t="str">
        <x:f>Familles!D37</x:f>
        <x:v>Plante</x:v>
      </x:c>
      <x:c r="C39" s="116" t="str">
        <x:f>IF(Familles!A37=Familles!D37,"Famille","Sous-famille")</x:f>
        <x:v>Sous-famille</x:v>
      </x:c>
      <x:c r="D39" s="116" t="str">
        <x:f>TRIM(IF(Familles!AT37="Résistant","Feu; ","")&amp;IF(Familles!AU37="Résistant","Air; ","")&amp;IF(Familles!AV37="Résistant","Eau; ","")&amp;IF(Familles!AW37="Résistant","Terre; ","")&amp;IF(Familles!AX37="Résistant","Ombre; ","")&amp;IF(Familles!AY37="Résistant","Lumière; ","")&amp;IF(Familles!AZ37="Résistant","Force; ",""))</x:f>
      </x:c>
      <x:c r="E39" s="116" t="str">
        <x:f>TRIM(IF(Familles!AT37="Vulnérable","Feu; ","")&amp;IF(Familles!AU37="Vulnérable","Air; ","")&amp;IF(Familles!AV37="Vulnérable","Eau; ","")&amp;IF(Familles!AW37="Vulnérable","Terre; ","")&amp;IF(Familles!AX37="Vulnérable","Ombre; ","")&amp;IF(Familles!AY37="Vulnérable","Lumière; ","")&amp;IF(Familles!AZ37="Vulnérable","Force; ",""))</x:f>
        <x:v>Feu;</x:v>
      </x:c>
      <x:c r="F39" s="116" t="str">
        <x:f>TRIM(IF(Familles!BC37="Oui","Tranchant; ","")&amp;IF(Familles!BD37="Oui","Perçant; ","")&amp;IF(Familles!BE37="Oui","Contondant; ","")&amp;IF(Familles!BF37="Oui","Non-magique; ",""))</x:f>
        <x:v>Perçant;</x:v>
      </x:c>
      <x:c r="G39" s="116" t="str">
        <x:f>Familles!BG37</x:f>
        <x:v>Plante prédatrice : morsure, digestion, entrave. Vulnérable à Feu, qui perturbe directement sa nature. Sa morphologie réduit les dégâts perçants.</x:v>
      </x:c>
      <x:c r="H39" s="116" t="str">
        <x:f>Familles!BH37</x:f>
        <x:v>vulnerableA_feu resistanceA_percant</x:v>
      </x:c>
    </x:row>
    <x:row r="40" ht="14.25" customHeight="1">
      <x:c r="A40" s="116" t="str">
        <x:f>Familles!A38</x:f>
        <x:v>Abyssal</x:v>
      </x:c>
      <x:c r="B40" s="116" t="str">
        <x:f>Familles!D38</x:f>
        <x:v>Aquatique</x:v>
      </x:c>
      <x:c r="C40" s="116" t="str">
        <x:f>IF(Familles!A38=Familles!D38,"Famille","Sous-famille")</x:f>
        <x:v>Sous-famille</x:v>
      </x:c>
      <x:c r="D40" s="116" t="str">
        <x:f>TRIM(IF(Familles!AT38="Résistant","Feu; ","")&amp;IF(Familles!AU38="Résistant","Air; ","")&amp;IF(Familles!AV38="Résistant","Eau; ","")&amp;IF(Familles!AW38="Résistant","Terre; ","")&amp;IF(Familles!AX38="Résistant","Ombre; ","")&amp;IF(Familles!AY38="Résistant","Lumière; ","")&amp;IF(Familles!AZ38="Résistant","Force; ",""))</x:f>
        <x:v>Eau; Ombre;</x:v>
      </x:c>
      <x:c r="E40" s="116" t="str">
        <x:f>TRIM(IF(Familles!AT38="Vulnérable","Feu; ","")&amp;IF(Familles!AU38="Vulnérable","Air; ","")&amp;IF(Familles!AV38="Vulnérable","Eau; ","")&amp;IF(Familles!AW38="Vulnérable","Terre; ","")&amp;IF(Familles!AX38="Vulnérable","Ombre; ","")&amp;IF(Familles!AY38="Vulnérable","Lumière; ","")&amp;IF(Familles!AZ38="Vulnérable","Force; ",""))</x:f>
        <x:v>Lumière;</x:v>
      </x:c>
      <x:c r="F40" s="116" t="str">
        <x:f>TRIM(IF(Familles!BC38="Oui","Tranchant; ","")&amp;IF(Familles!BD38="Oui","Perçant; ","")&amp;IF(Familles!BE38="Oui","Contondant; ","")&amp;IF(Familles!BF38="Oui","Non-magique; ",""))</x:f>
        <x:v>Contondant;</x:v>
      </x:c>
      <x:c r="G40" s="116" t="str">
        <x:f>Familles!BG38</x:f>
        <x:v>Horreur des profondeurs, ancienne ou boss aquatique. Résiste à Eau, Ombre par affinité ou constitution. Vulnérable à Lumière, qui perturbe directement sa nature. Sa morphologie réduit les dégâts contondants.</x:v>
      </x:c>
      <x:c r="H40" s="116" t="str">
        <x:f>Familles!BH38</x:f>
        <x:v>resistanceA_eau resistanceA_ombre vulnerableA_lumiere resistanceA_contondant</x:v>
      </x:c>
    </x:row>
    <x:row r="41" ht="14.25" customHeight="1">
      <x:c r="A41" s="116" t="str">
        <x:f>Familles!A39</x:f>
        <x:v>Sylvestre</x:v>
      </x:c>
      <x:c r="B41" s="116" t="str">
        <x:f>Familles!D39</x:f>
        <x:v>Fée</x:v>
      </x:c>
      <x:c r="C41" s="116" t="str">
        <x:f>IF(Familles!A39=Familles!D39,"Famille","Sous-famille")</x:f>
        <x:v>Sous-famille</x:v>
      </x:c>
      <x:c r="D41" s="116" t="str">
        <x:f>TRIM(IF(Familles!AT39="Résistant","Feu; ","")&amp;IF(Familles!AU39="Résistant","Air; ","")&amp;IF(Familles!AV39="Résistant","Eau; ","")&amp;IF(Familles!AW39="Résistant","Terre; ","")&amp;IF(Familles!AX39="Résistant","Ombre; ","")&amp;IF(Familles!AY39="Résistant","Lumière; ","")&amp;IF(Familles!AZ39="Résistant","Force; ",""))</x:f>
        <x:v>Eau;</x:v>
      </x:c>
      <x:c r="E41" s="116" t="str">
        <x:f>TRIM(IF(Familles!AT39="Vulnérable","Feu; ","")&amp;IF(Familles!AU39="Vulnérable","Air; ","")&amp;IF(Familles!AV39="Vulnérable","Eau; ","")&amp;IF(Familles!AW39="Vulnérable","Terre; ","")&amp;IF(Familles!AX39="Vulnérable","Ombre; ","")&amp;IF(Familles!AY39="Vulnérable","Lumière; ","")&amp;IF(Familles!AZ39="Vulnérable","Force; ",""))</x:f>
        <x:v>Feu;</x:v>
      </x:c>
      <x:c r="F41" s="116" t="str">
        <x:f>TRIM(IF(Familles!BC39="Oui","Tranchant; ","")&amp;IF(Familles!BD39="Oui","Perçant; ","")&amp;IF(Familles!BE39="Oui","Contondant; ","")&amp;IF(Familles!BF39="Oui","Non-magique; ",""))</x:f>
      </x:c>
      <x:c r="G41" s="116" t="str">
        <x:f>Familles!BG39</x:f>
        <x:v>Fée naturelle, dryade ou esprit de forêt. Résiste à Eau par affinité ou constitution. Vulnérable à Feu, qui perturbe directement sa nature.</x:v>
      </x:c>
      <x:c r="H41" s="116" t="str">
        <x:f>Familles!BH39</x:f>
        <x:v>vulnerableA_feu resistanceA_eau</x:v>
      </x:c>
    </x:row>
    <x:row r="42" ht="14.25" customHeight="1">
      <x:c r="A42" s="116" t="str">
        <x:f>Familles!A40</x:f>
        <x:v>Démon mineur</x:v>
      </x:c>
      <x:c r="B42" s="116" t="str">
        <x:f>Familles!D40</x:f>
        <x:v>Démon</x:v>
      </x:c>
      <x:c r="C42" s="116" t="str">
        <x:f>IF(Familles!A40=Familles!D40,"Famille","Sous-famille")</x:f>
        <x:v>Sous-famille</x:v>
      </x:c>
      <x:c r="D42" s="116" t="str">
        <x:f>TRIM(IF(Familles!AT40="Résistant","Feu; ","")&amp;IF(Familles!AU40="Résistant","Air; ","")&amp;IF(Familles!AV40="Résistant","Eau; ","")&amp;IF(Familles!AW40="Résistant","Terre; ","")&amp;IF(Familles!AX40="Résistant","Ombre; ","")&amp;IF(Familles!AY40="Résistant","Lumière; ","")&amp;IF(Familles!AZ40="Résistant","Force; ",""))</x:f>
        <x:v>Feu; Ombre;</x:v>
      </x:c>
      <x:c r="E42" s="116" t="str">
        <x:f>TRIM(IF(Familles!AT40="Vulnérable","Feu; ","")&amp;IF(Familles!AU40="Vulnérable","Air; ","")&amp;IF(Familles!AV40="Vulnérable","Eau; ","")&amp;IF(Familles!AW40="Vulnérable","Terre; ","")&amp;IF(Familles!AX40="Vulnérable","Ombre; ","")&amp;IF(Familles!AY40="Vulnérable","Lumière; ","")&amp;IF(Familles!AZ40="Vulnérable","Force; ",""))</x:f>
        <x:v>Lumière;</x:v>
      </x:c>
      <x:c r="F42" s="116" t="str">
        <x:f>TRIM(IF(Familles!BC40="Oui","Tranchant; ","")&amp;IF(Familles!BD40="Oui","Perçant; ","")&amp;IF(Familles!BE40="Oui","Contondant; ","")&amp;IF(Familles!BF40="Oui","Non-magique; ",""))</x:f>
      </x:c>
      <x:c r="G42" s="116" t="str">
        <x:f>Familles!BG40</x:f>
        <x:v>Petite créature infernale ou corrompue. Résiste à Feu, Ombre par affinité ou constitution. Vulnérable à Lumière, qui perturbe directement sa nature.</x:v>
      </x:c>
      <x:c r="H42" s="116" t="str">
        <x:f>Familles!BH40</x:f>
        <x:v>resistanceA_feu resistanceA_ombre vulnerableA_lumiere</x:v>
      </x:c>
    </x:row>
    <x:row r="43" ht="14.25" customHeight="1">
      <x:c r="A43" s="116" t="str">
        <x:f>Familles!A41</x:f>
        <x:v>Noble mort-vivant</x:v>
      </x:c>
      <x:c r="B43" s="116" t="str">
        <x:f>Familles!D41</x:f>
        <x:v>Mort-vivant</x:v>
      </x:c>
      <x:c r="C43" s="116" t="str">
        <x:f>IF(Familles!A41=Familles!D41,"Famille","Sous-famille")</x:f>
        <x:v>Sous-famille</x:v>
      </x:c>
      <x:c r="D43" s="116" t="str">
        <x:f>TRIM(IF(Familles!AT41="Résistant","Feu; ","")&amp;IF(Familles!AU41="Résistant","Air; ","")&amp;IF(Familles!AV41="Résistant","Eau; ","")&amp;IF(Familles!AW41="Résistant","Terre; ","")&amp;IF(Familles!AX41="Résistant","Ombre; ","")&amp;IF(Familles!AY41="Résistant","Lumière; ","")&amp;IF(Familles!AZ41="Résistant","Force; ",""))</x:f>
        <x:v>Ombre; Force;</x:v>
      </x:c>
      <x:c r="E43" s="116" t="str">
        <x:f>TRIM(IF(Familles!AT41="Vulnérable","Feu; ","")&amp;IF(Familles!AU41="Vulnérable","Air; ","")&amp;IF(Familles!AV41="Vulnérable","Eau; ","")&amp;IF(Familles!AW41="Vulnérable","Terre; ","")&amp;IF(Familles!AX41="Vulnérable","Ombre; ","")&amp;IF(Familles!AY41="Vulnérable","Lumière; ","")&amp;IF(Familles!AZ41="Vulnérable","Force; ",""))</x:f>
        <x:v>Lumière;</x:v>
      </x:c>
      <x:c r="F43" s="116" t="str">
        <x:f>TRIM(IF(Familles!BC41="Oui","Tranchant; ","")&amp;IF(Familles!BD41="Oui","Perçant; ","")&amp;IF(Familles!BE41="Oui","Contondant; ","")&amp;IF(Familles!BF41="Oui","Non-magique; ",""))</x:f>
        <x:v>Tranchant;</x:v>
      </x:c>
      <x:c r="G43" s="116" t="str">
        <x:f>Familles!BG41</x:f>
        <x:v>Mort-vivant supérieur : vampire, liche, chevalier noir ou revenant majeur. Résiste à Ombre, Force par affinité ou constitution. Vulnérable à Lumière, qui perturbe directement sa nature. Sa morphologie réduit les dégâts tranchants.</x:v>
      </x:c>
      <x:c r="H43" s="116" t="str">
        <x:f>Familles!BH41</x:f>
        <x:v>resistanceA_ombre vulnerableA_lumiere resistanceA_force resistanceA_tranchant</x:v>
      </x:c>
    </x:row>
    <x:row r="44" ht="14.25" customHeight="1">
      <x:c r="A44" s="116" t="str">
        <x:f>Familles!A42</x:f>
        <x:v>Prédateur monstrueux</x:v>
      </x:c>
      <x:c r="B44" s="116" t="str">
        <x:f>Familles!D42</x:f>
        <x:v>Monstre</x:v>
      </x:c>
      <x:c r="C44" s="116" t="str">
        <x:f>IF(Familles!A42=Familles!D42,"Famille","Sous-famille")</x:f>
        <x:v>Sous-famille</x:v>
      </x:c>
      <x:c r="D44" s="116" t="str">
        <x:f>TRIM(IF(Familles!AT42="Résistant","Feu; ","")&amp;IF(Familles!AU42="Résistant","Air; ","")&amp;IF(Familles!AV42="Résistant","Eau; ","")&amp;IF(Familles!AW42="Résistant","Terre; ","")&amp;IF(Familles!AX42="Résistant","Ombre; ","")&amp;IF(Familles!AY42="Résistant","Lumière; ","")&amp;IF(Familles!AZ42="Résistant","Force; ",""))</x:f>
      </x:c>
      <x:c r="E44" s="116" t="str">
        <x:f>TRIM(IF(Familles!AT42="Vulnérable","Feu; ","")&amp;IF(Familles!AU42="Vulnérable","Air; ","")&amp;IF(Familles!AV42="Vulnérable","Eau; ","")&amp;IF(Familles!AW42="Vulnérable","Terre; ","")&amp;IF(Familles!AX42="Vulnérable","Ombre; ","")&amp;IF(Familles!AY42="Vulnérable","Lumière; ","")&amp;IF(Familles!AZ42="Vulnérable","Force; ",""))</x:f>
      </x:c>
      <x:c r="F44" s="116" t="str">
        <x:f>TRIM(IF(Familles!BC42="Oui","Tranchant; ","")&amp;IF(Familles!BD42="Oui","Perçant; ","")&amp;IF(Familles!BE42="Oui","Contondant; ","")&amp;IF(Familles!BF42="Oui","Non-magique; ",""))</x:f>
        <x:v>Tranchant;</x:v>
      </x:c>
      <x:c r="G44" s="116" t="str">
        <x:f>Familles!BG42</x:f>
        <x:v>Monstre fantasy standard : basilic, owlbear, manticore simple. Sa morphologie réduit les dégâts tranchants.</x:v>
      </x:c>
      <x:c r="H44" s="116" t="str">
        <x:f>Familles!BH42</x:f>
        <x:v>resistanceA_tranchant</x:v>
      </x:c>
    </x:row>
    <x:row r="45" ht="14.25" customHeight="1">
      <x:c r="A45" s="116" t="str">
        <x:f>Familles!A43</x:f>
        <x:v>Sombre</x:v>
      </x:c>
      <x:c r="B45" s="116" t="str">
        <x:f>Familles!D43</x:f>
        <x:v>Fée</x:v>
      </x:c>
      <x:c r="C45" s="116" t="str">
        <x:f>IF(Familles!A43=Familles!D43,"Famille","Sous-famille")</x:f>
        <x:v>Sous-famille</x:v>
      </x:c>
      <x:c r="D45" s="116" t="str">
        <x:f>TRIM(IF(Familles!AT43="Résistant","Feu; ","")&amp;IF(Familles!AU43="Résistant","Air; ","")&amp;IF(Familles!AV43="Résistant","Eau; ","")&amp;IF(Familles!AW43="Résistant","Terre; ","")&amp;IF(Familles!AX43="Résistant","Ombre; ","")&amp;IF(Familles!AY43="Résistant","Lumière; ","")&amp;IF(Familles!AZ43="Résistant","Force; ",""))</x:f>
        <x:v>Force;</x:v>
      </x:c>
      <x:c r="E45" s="116" t="str">
        <x:f>TRIM(IF(Familles!AT43="Vulnérable","Feu; ","")&amp;IF(Familles!AU43="Vulnérable","Air; ","")&amp;IF(Familles!AV43="Vulnérable","Eau; ","")&amp;IF(Familles!AW43="Vulnérable","Terre; ","")&amp;IF(Familles!AX43="Vulnérable","Ombre; ","")&amp;IF(Familles!AY43="Vulnérable","Lumière; ","")&amp;IF(Familles!AZ43="Vulnérable","Force; ",""))</x:f>
        <x:v>Lumière;</x:v>
      </x:c>
      <x:c r="F45" s="116" t="str">
        <x:f>TRIM(IF(Familles!BC43="Oui","Tranchant; ","")&amp;IF(Familles!BD43="Oui","Perçant; ","")&amp;IF(Familles!BE43="Oui","Contondant; ","")&amp;IF(Familles!BF43="Oui","Non-magique; ",""))</x:f>
      </x:c>
      <x:c r="G45" s="116" t="str">
        <x:f>Familles!BG43</x:f>
        <x:v>Fée cruelle, maudissante ou dangereuse par illusion. Résiste à Force par affinité ou constitution. Vulnérable à Lumière, qui perturbe directement sa nature.</x:v>
      </x:c>
      <x:c r="H45" s="116" t="str">
        <x:f>Familles!BH43</x:f>
        <x:v>vulnerableA_lumiere resistanceA_force</x:v>
      </x:c>
    </x:row>
    <x:row r="46" ht="14.25" customHeight="1">
      <x:c r="A46" s="116" t="str">
        <x:f>Familles!A44</x:f>
        <x:v>Ogre</x:v>
      </x:c>
      <x:c r="B46" s="116" t="str">
        <x:f>Familles!D44</x:f>
        <x:v>Géant</x:v>
      </x:c>
      <x:c r="C46" s="116" t="str">
        <x:f>IF(Familles!A44=Familles!D44,"Famille","Sous-famille")</x:f>
        <x:v>Sous-famille</x:v>
      </x:c>
      <x:c r="D46" s="116" t="str">
        <x:f>TRIM(IF(Familles!AT44="Résistant","Feu; ","")&amp;IF(Familles!AU44="Résistant","Air; ","")&amp;IF(Familles!AV44="Résistant","Eau; ","")&amp;IF(Familles!AW44="Résistant","Terre; ","")&amp;IF(Familles!AX44="Résistant","Ombre; ","")&amp;IF(Familles!AY44="Résistant","Lumière; ","")&amp;IF(Familles!AZ44="Résistant","Force; ",""))</x:f>
      </x:c>
      <x:c r="E46" s="116" t="str">
        <x:f>TRIM(IF(Familles!AT44="Vulnérable","Feu; ","")&amp;IF(Familles!AU44="Vulnérable","Air; ","")&amp;IF(Familles!AV44="Vulnérable","Eau; ","")&amp;IF(Familles!AW44="Vulnérable","Terre; ","")&amp;IF(Familles!AX44="Vulnérable","Ombre; ","")&amp;IF(Familles!AY44="Vulnérable","Lumière; ","")&amp;IF(Familles!AZ44="Vulnérable","Force; ",""))</x:f>
      </x:c>
      <x:c r="F46" s="116" t="str">
        <x:f>TRIM(IF(Familles!BC44="Oui","Tranchant; ","")&amp;IF(Familles!BD44="Oui","Perçant; ","")&amp;IF(Familles!BE44="Oui","Contondant; ","")&amp;IF(Familles!BF44="Oui","Non-magique; ",""))</x:f>
        <x:v>Contondant;</x:v>
      </x:c>
      <x:c r="G46" s="116" t="str">
        <x:f>Familles!BG44</x:f>
        <x:v>Gros humanoïde brutal, moins puissant qu’un vrai géant. Sa morphologie réduit les dégâts contondants.</x:v>
      </x:c>
      <x:c r="H46" s="116" t="str">
        <x:f>Familles!BH44</x:f>
        <x:v>resistanceA_contondant</x:v>
      </x:c>
    </x:row>
    <x:row r="47" ht="14.25" customHeight="1">
      <x:c r="A47" s="116" t="str">
        <x:f>Familles!A45</x:f>
        <x:v>Hybride</x:v>
      </x:c>
      <x:c r="B47" s="116" t="str">
        <x:f>Familles!D45</x:f>
        <x:v>Monstre</x:v>
      </x:c>
      <x:c r="C47" s="116" t="str">
        <x:f>IF(Familles!A45=Familles!D45,"Famille","Sous-famille")</x:f>
        <x:v>Sous-famille</x:v>
      </x:c>
      <x:c r="D47" s="116" t="str">
        <x:f>TRIM(IF(Familles!AT45="Résistant","Feu; ","")&amp;IF(Familles!AU45="Résistant","Air; ","")&amp;IF(Familles!AV45="Résistant","Eau; ","")&amp;IF(Familles!AW45="Résistant","Terre; ","")&amp;IF(Familles!AX45="Résistant","Ombre; ","")&amp;IF(Familles!AY45="Résistant","Lumière; ","")&amp;IF(Familles!AZ45="Résistant","Force; ",""))</x:f>
      </x:c>
      <x:c r="E47" s="116" t="str">
        <x:f>TRIM(IF(Familles!AT45="Vulnérable","Feu; ","")&amp;IF(Familles!AU45="Vulnérable","Air; ","")&amp;IF(Familles!AV45="Vulnérable","Eau; ","")&amp;IF(Familles!AW45="Vulnérable","Terre; ","")&amp;IF(Familles!AX45="Vulnérable","Ombre; ","")&amp;IF(Familles!AY45="Vulnérable","Lumière; ","")&amp;IF(Familles!AZ45="Vulnérable","Force; ",""))</x:f>
      </x:c>
      <x:c r="F47" s="116" t="str">
        <x:f>TRIM(IF(Familles!BC45="Oui","Tranchant; ","")&amp;IF(Familles!BD45="Oui","Perçant; ","")&amp;IF(Familles!BE45="Oui","Contondant; ","")&amp;IF(Familles!BF45="Oui","Non-magique; ",""))</x:f>
        <x:v>Tranchant;</x:v>
      </x:c>
      <x:c r="G47" s="116" t="str">
        <x:f>Familles!BG45</x:f>
        <x:v>Créature composite à plusieurs natures : chimère, griffon monstrueux. Sa morphologie réduit les dégâts tranchants.</x:v>
      </x:c>
      <x:c r="H47" s="116" t="str">
        <x:f>Familles!BH45</x:f>
        <x:v>resistanceA_tranchant</x:v>
      </x:c>
    </x:row>
    <x:row r="48" ht="14.25" customHeight="1">
      <x:c r="A48" s="116" t="str">
        <x:f>Familles!A46</x:f>
        <x:v>Brute infernale</x:v>
      </x:c>
      <x:c r="B48" s="116" t="str">
        <x:f>Familles!D46</x:f>
        <x:v>Démon</x:v>
      </x:c>
      <x:c r="C48" s="116" t="str">
        <x:f>IF(Familles!A46=Familles!D46,"Famille","Sous-famille")</x:f>
        <x:v>Sous-famille</x:v>
      </x:c>
      <x:c r="D48" s="116" t="str">
        <x:f>TRIM(IF(Familles!AT46="Résistant","Feu; ","")&amp;IF(Familles!AU46="Résistant","Air; ","")&amp;IF(Familles!AV46="Résistant","Eau; ","")&amp;IF(Familles!AW46="Résistant","Terre; ","")&amp;IF(Familles!AX46="Résistant","Ombre; ","")&amp;IF(Familles!AY46="Résistant","Lumière; ","")&amp;IF(Familles!AZ46="Résistant","Force; ",""))</x:f>
        <x:v>Feu; Ombre;</x:v>
      </x:c>
      <x:c r="E48" s="116" t="str">
        <x:f>TRIM(IF(Familles!AT46="Vulnérable","Feu; ","")&amp;IF(Familles!AU46="Vulnérable","Air; ","")&amp;IF(Familles!AV46="Vulnérable","Eau; ","")&amp;IF(Familles!AW46="Vulnérable","Terre; ","")&amp;IF(Familles!AX46="Vulnérable","Ombre; ","")&amp;IF(Familles!AY46="Vulnérable","Lumière; ","")&amp;IF(Familles!AZ46="Vulnérable","Force; ",""))</x:f>
        <x:v>Lumière;</x:v>
      </x:c>
      <x:c r="F48" s="116" t="str">
        <x:f>TRIM(IF(Familles!BC46="Oui","Tranchant; ","")&amp;IF(Familles!BD46="Oui","Perçant; ","")&amp;IF(Familles!BE46="Oui","Contondant; ","")&amp;IF(Familles!BF46="Oui","Non-magique; ",""))</x:f>
        <x:v>Tranchant; Contondant;</x:v>
      </x:c>
      <x:c r="G48" s="116" t="str">
        <x:f>Familles!BG46</x:f>
        <x:v>Démon de combat standard. Résiste à Feu, Ombre par affinité ou constitution. Vulnérable à Lumière, qui perturbe directement sa nature. Sa morphologie réduit les dégâts tranchants, contondants.</x:v>
      </x:c>
      <x:c r="H48" s="116" t="str">
        <x:f>Familles!BH46</x:f>
        <x:v>resistanceA_feu resistanceA_ombre vulnerableA_lumiere resistanceA_tranchant resistanceA_contondant</x:v>
      </x:c>
    </x:row>
    <x:row r="49" ht="14.25" customHeight="1">
      <x:c r="A49" s="116" t="str">
        <x:f>Familles!A47</x:f>
        <x:v>Géant véritable</x:v>
      </x:c>
      <x:c r="B49" s="116" t="str">
        <x:f>Familles!D47</x:f>
        <x:v>Géant</x:v>
      </x:c>
      <x:c r="C49" s="116" t="str">
        <x:f>IF(Familles!A47=Familles!D47,"Famille","Sous-famille")</x:f>
        <x:v>Sous-famille</x:v>
      </x:c>
      <x:c r="D49" s="116" t="str">
        <x:f>TRIM(IF(Familles!AT47="Résistant","Feu; ","")&amp;IF(Familles!AU47="Résistant","Air; ","")&amp;IF(Familles!AV47="Résistant","Eau; ","")&amp;IF(Familles!AW47="Résistant","Terre; ","")&amp;IF(Familles!AX47="Résistant","Ombre; ","")&amp;IF(Familles!AY47="Résistant","Lumière; ","")&amp;IF(Familles!AZ47="Résistant","Force; ",""))</x:f>
        <x:v>Terre;</x:v>
      </x:c>
      <x:c r="E49" s="116" t="str">
        <x:f>TRIM(IF(Familles!AT47="Vulnérable","Feu; ","")&amp;IF(Familles!AU47="Vulnérable","Air; ","")&amp;IF(Familles!AV47="Vulnérable","Eau; ","")&amp;IF(Familles!AW47="Vulnérable","Terre; ","")&amp;IF(Familles!AX47="Vulnérable","Ombre; ","")&amp;IF(Familles!AY47="Vulnérable","Lumière; ","")&amp;IF(Familles!AZ47="Vulnérable","Force; ",""))</x:f>
      </x:c>
      <x:c r="F49" s="116" t="str">
        <x:f>TRIM(IF(Familles!BC47="Oui","Tranchant; ","")&amp;IF(Familles!BD47="Oui","Perçant; ","")&amp;IF(Familles!BE47="Oui","Contondant; ","")&amp;IF(Familles!BF47="Oui","Non-magique; ",""))</x:f>
        <x:v>Contondant;</x:v>
      </x:c>
      <x:c r="G49" s="116" t="str">
        <x:f>Familles!BG47</x:f>
        <x:v>Géant standard : force, taille, endurance. Résiste à Terre par affinité ou constitution. Sa morphologie réduit les dégâts contondants.</x:v>
      </x:c>
      <x:c r="H49" s="116" t="str">
        <x:f>Familles!BH47</x:f>
        <x:v>resistanceA_terre resistanceA_contondant</x:v>
      </x:c>
    </x:row>
    <x:row r="50" ht="14.25" customHeight="1">
      <x:c r="A50" s="116" t="str">
        <x:f>Familles!A48</x:f>
        <x:v>Régénérant</x:v>
      </x:c>
      <x:c r="B50" s="116" t="str">
        <x:f>Familles!D48</x:f>
        <x:v>Monstre</x:v>
      </x:c>
      <x:c r="C50" s="116" t="str">
        <x:f>IF(Familles!A48=Familles!D48,"Famille","Sous-famille")</x:f>
        <x:v>Sous-famille</x:v>
      </x:c>
      <x:c r="D50" s="116" t="str">
        <x:f>TRIM(IF(Familles!AT48="Résistant","Feu; ","")&amp;IF(Familles!AU48="Résistant","Air; ","")&amp;IF(Familles!AV48="Résistant","Eau; ","")&amp;IF(Familles!AW48="Résistant","Terre; ","")&amp;IF(Familles!AX48="Résistant","Ombre; ","")&amp;IF(Familles!AY48="Résistant","Lumière; ","")&amp;IF(Familles!AZ48="Résistant","Force; ",""))</x:f>
      </x:c>
      <x:c r="E50" s="116" t="str">
        <x:f>TRIM(IF(Familles!AT48="Vulnérable","Feu; ","")&amp;IF(Familles!AU48="Vulnérable","Air; ","")&amp;IF(Familles!AV48="Vulnérable","Eau; ","")&amp;IF(Familles!AW48="Vulnérable","Terre; ","")&amp;IF(Familles!AX48="Vulnérable","Ombre; ","")&amp;IF(Familles!AY48="Vulnérable","Lumière; ","")&amp;IF(Familles!AZ48="Vulnérable","Force; ",""))</x:f>
        <x:v>Feu;</x:v>
      </x:c>
      <x:c r="F50" s="116" t="str">
        <x:f>TRIM(IF(Familles!BC48="Oui","Tranchant; ","")&amp;IF(Familles!BD48="Oui","Perçant; ","")&amp;IF(Familles!BE48="Oui","Contondant; ","")&amp;IF(Familles!BF48="Oui","Non-magique; ",""))</x:f>
        <x:v>Tranchant;</x:v>
      </x:c>
      <x:c r="G50" s="116" t="str">
        <x:f>Familles!BG48</x:f>
        <x:v>Monstre difficile à achever : troll ou horreur régénérante. Vulnérable à Feu, qui perturbe directement sa nature. Sa morphologie réduit les dégâts tranchants.</x:v>
      </x:c>
      <x:c r="H50" s="116" t="str">
        <x:f>Familles!BH48</x:f>
        <x:v>vulnerableA_feu resistanceA_tranchant</x:v>
      </x:c>
    </x:row>
    <x:row r="51" ht="14.25" customHeight="1">
      <x:c r="A51" s="116" t="str">
        <x:f>Familles!A49</x:f>
        <x:v>Messager divin</x:v>
      </x:c>
      <x:c r="B51" s="116" t="str">
        <x:f>Familles!D49</x:f>
        <x:v>Céleste</x:v>
      </x:c>
      <x:c r="C51" s="116" t="str">
        <x:f>IF(Familles!A49=Familles!D49,"Famille","Sous-famille")</x:f>
        <x:v>Sous-famille</x:v>
      </x:c>
      <x:c r="D51" s="116" t="str">
        <x:f>TRIM(IF(Familles!AT49="Résistant","Feu; ","")&amp;IF(Familles!AU49="Résistant","Air; ","")&amp;IF(Familles!AV49="Résistant","Eau; ","")&amp;IF(Familles!AW49="Résistant","Terre; ","")&amp;IF(Familles!AX49="Résistant","Ombre; ","")&amp;IF(Familles!AY49="Résistant","Lumière; ","")&amp;IF(Familles!AZ49="Résistant","Force; ",""))</x:f>
        <x:v>Air; Lumière;</x:v>
      </x:c>
      <x:c r="E51" s="116" t="str">
        <x:f>TRIM(IF(Familles!AT49="Vulnérable","Feu; ","")&amp;IF(Familles!AU49="Vulnérable","Air; ","")&amp;IF(Familles!AV49="Vulnérable","Eau; ","")&amp;IF(Familles!AW49="Vulnérable","Terre; ","")&amp;IF(Familles!AX49="Vulnérable","Ombre; ","")&amp;IF(Familles!AY49="Vulnérable","Lumière; ","")&amp;IF(Familles!AZ49="Vulnérable","Force; ",""))</x:f>
        <x:v>Ombre;</x:v>
      </x:c>
      <x:c r="F51" s="116" t="str">
        <x:f>TRIM(IF(Familles!BC49="Oui","Tranchant; ","")&amp;IF(Familles!BD49="Oui","Perçant; ","")&amp;IF(Familles!BE49="Oui","Contondant; ","")&amp;IF(Familles!BF49="Oui","Non-magique; ",""))</x:f>
      </x:c>
      <x:c r="G51" s="116" t="str">
        <x:f>Familles!BG49</x:f>
        <x:v>Céleste léger, rapide ou porteur de magie sacrée. Résiste à Air, Lumière par affinité ou constitution. Vulnérable à Ombre, qui perturbe directement sa nature.</x:v>
      </x:c>
      <x:c r="H51" s="116" t="str">
        <x:f>Familles!BH49</x:f>
        <x:v>resistanceA_air vulnerableA_ombre resistanceA_lumiere</x:v>
      </x:c>
    </x:row>
    <x:row r="52" ht="14.25" customHeight="1">
      <x:c r="A52" s="116" t="str">
        <x:f>Familles!A50</x:f>
        <x:v>Corrupteur</x:v>
      </x:c>
      <x:c r="B52" s="116" t="str">
        <x:f>Familles!D50</x:f>
        <x:v>Démon</x:v>
      </x:c>
      <x:c r="C52" s="116" t="str">
        <x:f>IF(Familles!A50=Familles!D50,"Famille","Sous-famille")</x:f>
        <x:v>Sous-famille</x:v>
      </x:c>
      <x:c r="D52" s="116" t="str">
        <x:f>TRIM(IF(Familles!AT50="Résistant","Feu; ","")&amp;IF(Familles!AU50="Résistant","Air; ","")&amp;IF(Familles!AV50="Résistant","Eau; ","")&amp;IF(Familles!AW50="Résistant","Terre; ","")&amp;IF(Familles!AX50="Résistant","Ombre; ","")&amp;IF(Familles!AY50="Résistant","Lumière; ","")&amp;IF(Familles!AZ50="Résistant","Force; ",""))</x:f>
        <x:v>Ombre; Force;</x:v>
      </x:c>
      <x:c r="E52" s="116" t="str">
        <x:f>TRIM(IF(Familles!AT50="Vulnérable","Feu; ","")&amp;IF(Familles!AU50="Vulnérable","Air; ","")&amp;IF(Familles!AV50="Vulnérable","Eau; ","")&amp;IF(Familles!AW50="Vulnérable","Terre; ","")&amp;IF(Familles!AX50="Vulnérable","Ombre; ","")&amp;IF(Familles!AY50="Vulnérable","Lumière; ","")&amp;IF(Familles!AZ50="Vulnérable","Force; ",""))</x:f>
        <x:v>Lumière;</x:v>
      </x:c>
      <x:c r="F52" s="116" t="str">
        <x:f>TRIM(IF(Familles!BC50="Oui","Tranchant; ","")&amp;IF(Familles!BD50="Oui","Perçant; ","")&amp;IF(Familles!BE50="Oui","Contondant; ","")&amp;IF(Familles!BF50="Oui","Non-magique; ",""))</x:f>
      </x:c>
      <x:c r="G52" s="116" t="str">
        <x:f>Familles!BG50</x:f>
        <x:v>Démon de manipulation, possession, pacte ou magie noire. Résiste à Ombre, Force par affinité ou constitution. Vulnérable à Lumière, qui perturbe directement sa nature.</x:v>
      </x:c>
      <x:c r="H52" s="116" t="str">
        <x:f>Familles!BH50</x:f>
        <x:v>resistanceA_ombre vulnerableA_lumiere resistanceA_force</x:v>
      </x:c>
    </x:row>
    <x:row r="53" ht="14.25" customHeight="1">
      <x:c r="A53" s="116" t="str">
        <x:f>Familles!A51</x:f>
        <x:v>Noble féerique</x:v>
      </x:c>
      <x:c r="B53" s="116" t="str">
        <x:f>Familles!D51</x:f>
        <x:v>Fée</x:v>
      </x:c>
      <x:c r="C53" s="116" t="str">
        <x:f>IF(Familles!A51=Familles!D51,"Famille","Sous-famille")</x:f>
        <x:v>Sous-famille</x:v>
      </x:c>
      <x:c r="D53" s="116" t="str">
        <x:f>TRIM(IF(Familles!AT51="Résistant","Feu; ","")&amp;IF(Familles!AU51="Résistant","Air; ","")&amp;IF(Familles!AV51="Résistant","Eau; ","")&amp;IF(Familles!AW51="Résistant","Terre; ","")&amp;IF(Familles!AX51="Résistant","Ombre; ","")&amp;IF(Familles!AY51="Résistant","Lumière; ","")&amp;IF(Familles!AZ51="Résistant","Force; ",""))</x:f>
        <x:v>Force;</x:v>
      </x:c>
      <x:c r="E53" s="116" t="str">
        <x:f>TRIM(IF(Familles!AT51="Vulnérable","Feu; ","")&amp;IF(Familles!AU51="Vulnérable","Air; ","")&amp;IF(Familles!AV51="Vulnérable","Eau; ","")&amp;IF(Familles!AW51="Vulnérable","Terre; ","")&amp;IF(Familles!AX51="Vulnérable","Ombre; ","")&amp;IF(Familles!AY51="Vulnérable","Lumière; ","")&amp;IF(Familles!AZ51="Vulnérable","Force; ",""))</x:f>
        <x:v>Ombre;</x:v>
      </x:c>
      <x:c r="F53" s="116" t="str">
        <x:f>TRIM(IF(Familles!BC51="Oui","Tranchant; ","")&amp;IF(Familles!BD51="Oui","Perçant; ","")&amp;IF(Familles!BE51="Oui","Contondant; ","")&amp;IF(Familles!BF51="Oui","Non-magique; ",""))</x:f>
      </x:c>
      <x:c r="G53" s="116" t="str">
        <x:f>Familles!BG51</x:f>
        <x:v>Fée ancienne, sociale, magique ou boss mineur. Résiste à Force par affinité ou constitution. Vulnérable à Ombre, qui perturbe directement sa nature.</x:v>
      </x:c>
      <x:c r="H53" s="116" t="str">
        <x:f>Familles!BH51</x:f>
        <x:v>vulnerableA_ombre resistanceA_force</x:v>
      </x:c>
    </x:row>
    <x:row r="54" ht="14.25" customHeight="1">
      <x:c r="A54" s="116" t="str">
        <x:f>Familles!A52</x:f>
        <x:v>Air</x:v>
      </x:c>
      <x:c r="B54" s="116" t="str">
        <x:f>Familles!D52</x:f>
        <x:v>Élémentaire</x:v>
      </x:c>
      <x:c r="C54" s="116" t="str">
        <x:f>IF(Familles!A52=Familles!D52,"Famille","Sous-famille")</x:f>
        <x:v>Sous-famille</x:v>
      </x:c>
      <x:c r="D54" s="116" t="str">
        <x:f>TRIM(IF(Familles!AT52="Résistant","Feu; ","")&amp;IF(Familles!AU52="Résistant","Air; ","")&amp;IF(Familles!AV52="Résistant","Eau; ","")&amp;IF(Familles!AW52="Résistant","Terre; ","")&amp;IF(Familles!AX52="Résistant","Ombre; ","")&amp;IF(Familles!AY52="Résistant","Lumière; ","")&amp;IF(Familles!AZ52="Résistant","Force; ",""))</x:f>
        <x:v>Air; Force;</x:v>
      </x:c>
      <x:c r="E54" s="116" t="str">
        <x:f>TRIM(IF(Familles!AT52="Vulnérable","Feu; ","")&amp;IF(Familles!AU52="Vulnérable","Air; ","")&amp;IF(Familles!AV52="Vulnérable","Eau; ","")&amp;IF(Familles!AW52="Vulnérable","Terre; ","")&amp;IF(Familles!AX52="Vulnérable","Ombre; ","")&amp;IF(Familles!AY52="Vulnérable","Lumière; ","")&amp;IF(Familles!AZ52="Vulnérable","Force; ",""))</x:f>
        <x:v>Terre;</x:v>
      </x:c>
      <x:c r="F54" s="116" t="str">
        <x:f>TRIM(IF(Familles!BC52="Oui","Tranchant; ","")&amp;IF(Familles!BD52="Oui","Perçant; ","")&amp;IF(Familles!BE52="Oui","Contondant; ","")&amp;IF(Familles!BF52="Oui","Non-magique; ",""))</x:f>
        <x:v>Tranchant; Perçant;</x:v>
      </x:c>
      <x:c r="G54" s="116" t="str">
        <x:f>Familles!BG52</x:f>
        <x:v>Élémentaire mobile, rapide, peu matériel. Résiste à Air, Force par affinité ou constitution. Vulnérable à Terre, qui perturbe directement sa nature. Sa morphologie réduit les dégâts tranchants, perçants.</x:v>
      </x:c>
      <x:c r="H54" s="116" t="str">
        <x:f>Familles!BH52</x:f>
        <x:v>resistanceA_air vulnerableA_terre resistanceA_force resistanceA_tranchant resistanceA_percant</x:v>
      </x:c>
    </x:row>
    <x:row r="55" ht="14.25" customHeight="1">
      <x:c r="A55" s="116" t="str">
        <x:f>Familles!A53</x:f>
        <x:v>Eau</x:v>
      </x:c>
      <x:c r="B55" s="116" t="str">
        <x:f>Familles!D53</x:f>
        <x:v>Élémentaire</x:v>
      </x:c>
      <x:c r="C55" s="116" t="str">
        <x:f>IF(Familles!A53=Familles!D53,"Famille","Sous-famille")</x:f>
        <x:v>Sous-famille</x:v>
      </x:c>
      <x:c r="D55" s="116" t="str">
        <x:f>TRIM(IF(Familles!AT53="Résistant","Feu; ","")&amp;IF(Familles!AU53="Résistant","Air; ","")&amp;IF(Familles!AV53="Résistant","Eau; ","")&amp;IF(Familles!AW53="Résistant","Terre; ","")&amp;IF(Familles!AX53="Résistant","Ombre; ","")&amp;IF(Familles!AY53="Résistant","Lumière; ","")&amp;IF(Familles!AZ53="Résistant","Force; ",""))</x:f>
        <x:v>Eau; Force;</x:v>
      </x:c>
      <x:c r="E55" s="116" t="str">
        <x:f>TRIM(IF(Familles!AT53="Vulnérable","Feu; ","")&amp;IF(Familles!AU53="Vulnérable","Air; ","")&amp;IF(Familles!AV53="Vulnérable","Eau; ","")&amp;IF(Familles!AW53="Vulnérable","Terre; ","")&amp;IF(Familles!AX53="Vulnérable","Ombre; ","")&amp;IF(Familles!AY53="Vulnérable","Lumière; ","")&amp;IF(Familles!AZ53="Vulnérable","Force; ",""))</x:f>
        <x:v>Feu;</x:v>
      </x:c>
      <x:c r="F55" s="116" t="str">
        <x:f>TRIM(IF(Familles!BC53="Oui","Tranchant; ","")&amp;IF(Familles!BD53="Oui","Perçant; ","")&amp;IF(Familles!BE53="Oui","Contondant; ","")&amp;IF(Familles!BF53="Oui","Non-magique; ",""))</x:f>
        <x:v>Tranchant; Perçant;</x:v>
      </x:c>
      <x:c r="G55" s="116" t="str">
        <x:f>Familles!BG53</x:f>
        <x:v>Élémentaire fluide : adaptation, entrave, noyade. Résiste à Eau, Force par affinité ou constitution. Vulnérable à Feu, qui perturbe directement sa nature. Sa morphologie réduit les dégâts tranchants, perçants.</x:v>
      </x:c>
      <x:c r="H55" s="116" t="str">
        <x:f>Familles!BH53</x:f>
        <x:v>vulnerableA_feu resistanceA_eau resistanceA_force resistanceA_tranchant resistanceA_percant</x:v>
      </x:c>
    </x:row>
    <x:row r="56" ht="14.25" customHeight="1">
      <x:c r="A56" s="116" t="str">
        <x:f>Familles!A54</x:f>
        <x:v>Froid / Glace</x:v>
      </x:c>
      <x:c r="B56" s="116" t="str">
        <x:f>Familles!D54</x:f>
        <x:v>Élémentaire</x:v>
      </x:c>
      <x:c r="C56" s="116" t="str">
        <x:f>IF(Familles!A54=Familles!D54,"Famille","Sous-famille")</x:f>
        <x:v>Sous-famille</x:v>
      </x:c>
      <x:c r="D56" s="116" t="str">
        <x:f>TRIM(IF(Familles!AT54="Résistant","Feu; ","")&amp;IF(Familles!AU54="Résistant","Air; ","")&amp;IF(Familles!AV54="Résistant","Eau; ","")&amp;IF(Familles!AW54="Résistant","Terre; ","")&amp;IF(Familles!AX54="Résistant","Ombre; ","")&amp;IF(Familles!AY54="Résistant","Lumière; ","")&amp;IF(Familles!AZ54="Résistant","Force; ",""))</x:f>
        <x:v>Eau; Force;</x:v>
      </x:c>
      <x:c r="E56" s="116" t="str">
        <x:f>TRIM(IF(Familles!AT54="Vulnérable","Feu; ","")&amp;IF(Familles!AU54="Vulnérable","Air; ","")&amp;IF(Familles!AV54="Vulnérable","Eau; ","")&amp;IF(Familles!AW54="Vulnérable","Terre; ","")&amp;IF(Familles!AX54="Vulnérable","Ombre; ","")&amp;IF(Familles!AY54="Vulnérable","Lumière; ","")&amp;IF(Familles!AZ54="Vulnérable","Force; ",""))</x:f>
        <x:v>Feu;</x:v>
      </x:c>
      <x:c r="F56" s="116" t="str">
        <x:f>TRIM(IF(Familles!BC54="Oui","Tranchant; ","")&amp;IF(Familles!BD54="Oui","Perçant; ","")&amp;IF(Familles!BE54="Oui","Contondant; ","")&amp;IF(Familles!BF54="Oui","Non-magique; ",""))</x:f>
        <x:v>Perçant;</x:v>
      </x:c>
      <x:c r="G56" s="116" t="str">
        <x:f>Familles!BG54</x:f>
        <x:v>Élémentaire de ralentissement, gel et cristaux. Résiste à Eau, Force par affinité ou constitution. Vulnérable à Feu, qui perturbe directement sa nature. Sa morphologie réduit les dégâts perçants.</x:v>
      </x:c>
      <x:c r="H56" s="116" t="str">
        <x:f>Familles!BH54</x:f>
        <x:v>vulnerableA_feu resistanceA_eau resistanceA_force resistanceA_percant</x:v>
      </x:c>
    </x:row>
    <x:row r="57" ht="14.25" customHeight="1">
      <x:c r="A57" s="116" t="str">
        <x:f>Familles!A55</x:f>
        <x:v>Objet animé</x:v>
      </x:c>
      <x:c r="B57" s="116" t="str">
        <x:f>Familles!D55</x:f>
        <x:v>Artificiel</x:v>
      </x:c>
      <x:c r="C57" s="116" t="str">
        <x:f>IF(Familles!A55=Familles!D55,"Famille","Sous-famille")</x:f>
        <x:v>Sous-famille</x:v>
      </x:c>
      <x:c r="D57" s="116" t="str">
        <x:f>TRIM(IF(Familles!AT55="Résistant","Feu; ","")&amp;IF(Familles!AU55="Résistant","Air; ","")&amp;IF(Familles!AV55="Résistant","Eau; ","")&amp;IF(Familles!AW55="Résistant","Terre; ","")&amp;IF(Familles!AX55="Résistant","Ombre; ","")&amp;IF(Familles!AY55="Résistant","Lumière; ","")&amp;IF(Familles!AZ55="Résistant","Force; ",""))</x:f>
        <x:v>Ombre;</x:v>
      </x:c>
      <x:c r="E57" s="116" t="str">
        <x:f>TRIM(IF(Familles!AT55="Vulnérable","Feu; ","")&amp;IF(Familles!AU55="Vulnérable","Air; ","")&amp;IF(Familles!AV55="Vulnérable","Eau; ","")&amp;IF(Familles!AW55="Vulnérable","Terre; ","")&amp;IF(Familles!AX55="Vulnérable","Ombre; ","")&amp;IF(Familles!AY55="Vulnérable","Lumière; ","")&amp;IF(Familles!AZ55="Vulnérable","Force; ",""))</x:f>
      </x:c>
      <x:c r="F57" s="116" t="str">
        <x:f>TRIM(IF(Familles!BC55="Oui","Tranchant; ","")&amp;IF(Familles!BD55="Oui","Perçant; ","")&amp;IF(Familles!BE55="Oui","Contondant; ","")&amp;IF(Familles!BF55="Oui","Non-magique; ",""))</x:f>
        <x:v>Perçant;</x:v>
      </x:c>
      <x:c r="G57" s="116" t="str">
        <x:f>Familles!BG55</x:f>
        <x:v>Objet ou armure animée : artificiel simple. Résiste à Ombre par affinité ou constitution. Sa morphologie réduit les dégâts perçants.</x:v>
      </x:c>
      <x:c r="H57" s="116" t="str">
        <x:f>Familles!BH55</x:f>
        <x:v>resistanceA_ombre resistanceA_percant</x:v>
      </x:c>
    </x:row>
    <x:row r="58" ht="14.25" customHeight="1">
      <x:c r="A58" s="116" t="str">
        <x:f>Familles!A56</x:f>
        <x:v>Titanide</x:v>
      </x:c>
      <x:c r="B58" s="116" t="str">
        <x:f>Familles!D56</x:f>
        <x:v>Géant</x:v>
      </x:c>
      <x:c r="C58" s="116" t="str">
        <x:f>IF(Familles!A56=Familles!D56,"Famille","Sous-famille")</x:f>
        <x:v>Sous-famille</x:v>
      </x:c>
      <x:c r="D58" s="116" t="str">
        <x:f>TRIM(IF(Familles!AT56="Résistant","Feu; ","")&amp;IF(Familles!AU56="Résistant","Air; ","")&amp;IF(Familles!AV56="Résistant","Eau; ","")&amp;IF(Familles!AW56="Résistant","Terre; ","")&amp;IF(Familles!AX56="Résistant","Ombre; ","")&amp;IF(Familles!AY56="Résistant","Lumière; ","")&amp;IF(Familles!AZ56="Résistant","Force; ",""))</x:f>
        <x:v>Terre; Force;</x:v>
      </x:c>
      <x:c r="E58" s="116" t="str">
        <x:f>TRIM(IF(Familles!AT56="Vulnérable","Feu; ","")&amp;IF(Familles!AU56="Vulnérable","Air; ","")&amp;IF(Familles!AV56="Vulnérable","Eau; ","")&amp;IF(Familles!AW56="Vulnérable","Terre; ","")&amp;IF(Familles!AX56="Vulnérable","Ombre; ","")&amp;IF(Familles!AY56="Vulnérable","Lumière; ","")&amp;IF(Familles!AZ56="Vulnérable","Force; ",""))</x:f>
      </x:c>
      <x:c r="F58" s="116" t="str">
        <x:f>TRIM(IF(Familles!BC56="Oui","Tranchant; ","")&amp;IF(Familles!BD56="Oui","Perçant; ","")&amp;IF(Familles!BE56="Oui","Contondant; ","")&amp;IF(Familles!BF56="Oui","Non-magique; ",""))</x:f>
        <x:v>Tranchant; Contondant;</x:v>
      </x:c>
      <x:c r="G58" s="116" t="str">
        <x:f>Familles!BG56</x:f>
        <x:v>Géant mythique, cyclope majeur ou titan mineur. Résiste à Terre, Force par affinité ou constitution. Sa morphologie réduit les dégâts tranchants, contondants.</x:v>
      </x:c>
      <x:c r="H58" s="116" t="str">
        <x:f>Familles!BH56</x:f>
        <x:v>resistanceA_terre resistanceA_force resistanceA_tranchant resistanceA_contondant</x:v>
      </x:c>
    </x:row>
    <x:row r="59" ht="14.25" customHeight="1">
      <x:c r="A59" s="116" t="str">
        <x:f>Familles!A57</x:f>
        <x:v>Feu</x:v>
      </x:c>
      <x:c r="B59" s="116" t="str">
        <x:f>Familles!D57</x:f>
        <x:v>Élémentaire</x:v>
      </x:c>
      <x:c r="C59" s="116" t="str">
        <x:f>IF(Familles!A57=Familles!D57,"Famille","Sous-famille")</x:f>
        <x:v>Sous-famille</x:v>
      </x:c>
      <x:c r="D59" s="116" t="str">
        <x:f>TRIM(IF(Familles!AT57="Résistant","Feu; ","")&amp;IF(Familles!AU57="Résistant","Air; ","")&amp;IF(Familles!AV57="Résistant","Eau; ","")&amp;IF(Familles!AW57="Résistant","Terre; ","")&amp;IF(Familles!AX57="Résistant","Ombre; ","")&amp;IF(Familles!AY57="Résistant","Lumière; ","")&amp;IF(Familles!AZ57="Résistant","Force; ",""))</x:f>
        <x:v>Feu; Force;</x:v>
      </x:c>
      <x:c r="E59" s="116" t="str">
        <x:f>TRIM(IF(Familles!AT57="Vulnérable","Feu; ","")&amp;IF(Familles!AU57="Vulnérable","Air; ","")&amp;IF(Familles!AV57="Vulnérable","Eau; ","")&amp;IF(Familles!AW57="Vulnérable","Terre; ","")&amp;IF(Familles!AX57="Vulnérable","Ombre; ","")&amp;IF(Familles!AY57="Vulnérable","Lumière; ","")&amp;IF(Familles!AZ57="Vulnérable","Force; ",""))</x:f>
        <x:v>Eau;</x:v>
      </x:c>
      <x:c r="F59" s="116" t="str">
        <x:f>TRIM(IF(Familles!BC57="Oui","Tranchant; ","")&amp;IF(Familles!BD57="Oui","Perçant; ","")&amp;IF(Familles!BE57="Oui","Contondant; ","")&amp;IF(Familles!BF57="Oui","Non-magique; ",""))</x:f>
        <x:v>Tranchant; Perçant;</x:v>
      </x:c>
      <x:c r="G59" s="116" t="str">
        <x:f>Familles!BG57</x:f>
        <x:v>Élémentaire offensif : brûlure, aura, dégâts directs. Résiste à Feu, Force par affinité ou constitution. Vulnérable à Eau, qui perturbe directement sa nature. Sa morphologie réduit les dégâts tranchants, perçants.</x:v>
      </x:c>
      <x:c r="H59" s="116" t="str">
        <x:f>Familles!BH57</x:f>
        <x:v>resistanceA_feu vulnerableA_eau resistanceA_force resistanceA_tranchant resistanceA_percant</x:v>
      </x:c>
    </x:row>
    <x:row r="60" ht="14.25" customHeight="1">
      <x:c r="A60" s="116" t="str">
        <x:f>Familles!A58</x:f>
        <x:v>Gardien sacré</x:v>
      </x:c>
      <x:c r="B60" s="116" t="str">
        <x:f>Familles!D58</x:f>
        <x:v>Céleste</x:v>
      </x:c>
      <x:c r="C60" s="116" t="str">
        <x:f>IF(Familles!A58=Familles!D58,"Famille","Sous-famille")</x:f>
        <x:v>Sous-famille</x:v>
      </x:c>
      <x:c r="D60" s="116" t="str">
        <x:f>TRIM(IF(Familles!AT58="Résistant","Feu; ","")&amp;IF(Familles!AU58="Résistant","Air; ","")&amp;IF(Familles!AV58="Résistant","Eau; ","")&amp;IF(Familles!AW58="Résistant","Terre; ","")&amp;IF(Familles!AX58="Résistant","Ombre; ","")&amp;IF(Familles!AY58="Résistant","Lumière; ","")&amp;IF(Familles!AZ58="Résistant","Force; ",""))</x:f>
        <x:v>Lumière; Force;</x:v>
      </x:c>
      <x:c r="E60" s="116" t="str">
        <x:f>TRIM(IF(Familles!AT58="Vulnérable","Feu; ","")&amp;IF(Familles!AU58="Vulnérable","Air; ","")&amp;IF(Familles!AV58="Vulnérable","Eau; ","")&amp;IF(Familles!AW58="Vulnérable","Terre; ","")&amp;IF(Familles!AX58="Vulnérable","Ombre; ","")&amp;IF(Familles!AY58="Vulnérable","Lumière; ","")&amp;IF(Familles!AZ58="Vulnérable","Force; ",""))</x:f>
        <x:v>Ombre;</x:v>
      </x:c>
      <x:c r="F60" s="116" t="str">
        <x:f>TRIM(IF(Familles!BC58="Oui","Tranchant; ","")&amp;IF(Familles!BD58="Oui","Perçant; ","")&amp;IF(Familles!BE58="Oui","Contondant; ","")&amp;IF(Familles!BF58="Oui","Non-magique; ",""))</x:f>
        <x:v>Tranchant;</x:v>
      </x:c>
      <x:c r="G60" s="116" t="str">
        <x:f>Familles!BG58</x:f>
        <x:v>Défenseur céleste avec meilleure défense et résistances. Résiste à Lumière, Force par affinité ou constitution. Vulnérable à Ombre, qui perturbe directement sa nature. Sa morphologie réduit les dégâts tranchants.</x:v>
      </x:c>
      <x:c r="H60" s="116" t="str">
        <x:f>Familles!BH58</x:f>
        <x:v>vulnerableA_ombre resistanceA_lumiere resistanceA_force resistanceA_tranchant</x:v>
      </x:c>
    </x:row>
    <x:row r="61" ht="14.25" customHeight="1">
      <x:c r="A61" s="116" t="str">
        <x:f>Familles!A59</x:f>
        <x:v>Foudre</x:v>
      </x:c>
      <x:c r="B61" s="116" t="str">
        <x:f>Familles!D59</x:f>
        <x:v>Élémentaire</x:v>
      </x:c>
      <x:c r="C61" s="116" t="str">
        <x:f>IF(Familles!A59=Familles!D59,"Famille","Sous-famille")</x:f>
        <x:v>Sous-famille</x:v>
      </x:c>
      <x:c r="D61" s="116" t="str">
        <x:f>TRIM(IF(Familles!AT59="Résistant","Feu; ","")&amp;IF(Familles!AU59="Résistant","Air; ","")&amp;IF(Familles!AV59="Résistant","Eau; ","")&amp;IF(Familles!AW59="Résistant","Terre; ","")&amp;IF(Familles!AX59="Résistant","Ombre; ","")&amp;IF(Familles!AY59="Résistant","Lumière; ","")&amp;IF(Familles!AZ59="Résistant","Force; ",""))</x:f>
        <x:v>Air; Force;</x:v>
      </x:c>
      <x:c r="E61" s="116" t="str">
        <x:f>TRIM(IF(Familles!AT59="Vulnérable","Feu; ","")&amp;IF(Familles!AU59="Vulnérable","Air; ","")&amp;IF(Familles!AV59="Vulnérable","Eau; ","")&amp;IF(Familles!AW59="Vulnérable","Terre; ","")&amp;IF(Familles!AX59="Vulnérable","Ombre; ","")&amp;IF(Familles!AY59="Vulnérable","Lumière; ","")&amp;IF(Familles!AZ59="Vulnérable","Force; ",""))</x:f>
        <x:v>Terre;</x:v>
      </x:c>
      <x:c r="F61" s="116" t="str">
        <x:f>TRIM(IF(Familles!BC59="Oui","Tranchant; ","")&amp;IF(Familles!BD59="Oui","Perçant; ","")&amp;IF(Familles!BE59="Oui","Contondant; ","")&amp;IF(Familles!BF59="Oui","Non-magique; ",""))</x:f>
        <x:v>Tranchant; Perçant;</x:v>
      </x:c>
      <x:c r="G61" s="116" t="str">
        <x:f>Familles!BG59</x:f>
        <x:v>Élémentaire explosif et rapide, danger d’initiative. Résiste à Air, Force par affinité ou constitution. Vulnérable à Terre, qui perturbe directement sa nature. Sa morphologie réduit les dégâts tranchants, perçants.</x:v>
      </x:c>
      <x:c r="H61" s="116" t="str">
        <x:f>Familles!BH59</x:f>
        <x:v>resistanceA_air vulnerableA_terre resistanceA_force resistanceA_tranchant resistanceA_percant</x:v>
      </x:c>
    </x:row>
    <x:row r="62" ht="14.25" customHeight="1">
      <x:c r="A62" s="116" t="str">
        <x:f>Familles!A60</x:f>
        <x:v>Acide</x:v>
      </x:c>
      <x:c r="B62" s="116" t="str">
        <x:f>Familles!D60</x:f>
        <x:v>Élémentaire</x:v>
      </x:c>
      <x:c r="C62" s="116" t="str">
        <x:f>IF(Familles!A60=Familles!D60,"Famille","Sous-famille")</x:f>
        <x:v>Sous-famille</x:v>
      </x:c>
      <x:c r="D62" s="116" t="str">
        <x:f>TRIM(IF(Familles!AT60="Résistant","Feu; ","")&amp;IF(Familles!AU60="Résistant","Air; ","")&amp;IF(Familles!AV60="Résistant","Eau; ","")&amp;IF(Familles!AW60="Résistant","Terre; ","")&amp;IF(Familles!AX60="Résistant","Ombre; ","")&amp;IF(Familles!AY60="Résistant","Lumière; ","")&amp;IF(Familles!AZ60="Résistant","Force; ",""))</x:f>
        <x:v>Terre; Force;</x:v>
      </x:c>
      <x:c r="E62" s="116" t="str">
        <x:f>TRIM(IF(Familles!AT60="Vulnérable","Feu; ","")&amp;IF(Familles!AU60="Vulnérable","Air; ","")&amp;IF(Familles!AV60="Vulnérable","Eau; ","")&amp;IF(Familles!AW60="Vulnérable","Terre; ","")&amp;IF(Familles!AX60="Vulnérable","Ombre; ","")&amp;IF(Familles!AY60="Vulnérable","Lumière; ","")&amp;IF(Familles!AZ60="Vulnérable","Force; ",""))</x:f>
        <x:v>Eau;</x:v>
      </x:c>
      <x:c r="F62" s="116" t="str">
        <x:f>TRIM(IF(Familles!BC60="Oui","Tranchant; ","")&amp;IF(Familles!BD60="Oui","Perçant; ","")&amp;IF(Familles!BE60="Oui","Contondant; ","")&amp;IF(Familles!BF60="Oui","Non-magique; ",""))</x:f>
        <x:v>Tranchant; Perçant;</x:v>
      </x:c>
      <x:c r="G62" s="116" t="str">
        <x:f>Familles!BG60</x:f>
        <x:v>Élémentaire corrosif, dangereux pour armures et équipement. Résiste à Terre, Force par affinité ou constitution. Vulnérable à Eau, qui perturbe directement sa nature. Sa morphologie réduit les dégâts tranchants, perçants.</x:v>
      </x:c>
      <x:c r="H62" s="116" t="str">
        <x:f>Familles!BH60</x:f>
        <x:v>vulnerableA_eau resistanceA_terre resistanceA_force resistanceA_tranchant resistanceA_percant</x:v>
      </x:c>
    </x:row>
    <x:row r="63" ht="14.25" customHeight="1">
      <x:c r="A63" s="116" t="str">
        <x:f>Familles!A61</x:f>
        <x:v>Terre</x:v>
      </x:c>
      <x:c r="B63" s="116" t="str">
        <x:f>Familles!D61</x:f>
        <x:v>Élémentaire</x:v>
      </x:c>
      <x:c r="C63" s="116" t="str">
        <x:f>IF(Familles!A61=Familles!D61,"Famille","Sous-famille")</x:f>
        <x:v>Sous-famille</x:v>
      </x:c>
      <x:c r="D63" s="116" t="str">
        <x:f>TRIM(IF(Familles!AT61="Résistant","Feu; ","")&amp;IF(Familles!AU61="Résistant","Air; ","")&amp;IF(Familles!AV61="Résistant","Eau; ","")&amp;IF(Familles!AW61="Résistant","Terre; ","")&amp;IF(Familles!AX61="Résistant","Ombre; ","")&amp;IF(Familles!AY61="Résistant","Lumière; ","")&amp;IF(Familles!AZ61="Résistant","Force; ",""))</x:f>
        <x:v>Terre; Force;</x:v>
      </x:c>
      <x:c r="E63" s="116" t="str">
        <x:f>TRIM(IF(Familles!AT61="Vulnérable","Feu; ","")&amp;IF(Familles!AU61="Vulnérable","Air; ","")&amp;IF(Familles!AV61="Vulnérable","Eau; ","")&amp;IF(Familles!AW61="Vulnérable","Terre; ","")&amp;IF(Familles!AX61="Vulnérable","Ombre; ","")&amp;IF(Familles!AY61="Vulnérable","Lumière; ","")&amp;IF(Familles!AZ61="Vulnérable","Force; ",""))</x:f>
        <x:v>Air;</x:v>
      </x:c>
      <x:c r="F63" s="116" t="str">
        <x:f>TRIM(IF(Familles!BC61="Oui","Tranchant; ","")&amp;IF(Familles!BD61="Oui","Perçant; ","")&amp;IF(Familles!BE61="Oui","Contondant; ","")&amp;IF(Familles!BF61="Oui","Non-magique; ",""))</x:f>
        <x:v>Tranchant; Perçant;</x:v>
      </x:c>
      <x:c r="G63" s="116" t="str">
        <x:f>Familles!BG61</x:f>
        <x:v>Élémentaire solide : DEF, CON et PV élevés. Résiste à Terre, Force par affinité ou constitution. Vulnérable à Air, qui perturbe directement sa nature. Sa morphologie réduit les dégâts tranchants, perçants.</x:v>
      </x:c>
      <x:c r="H63" s="116" t="str">
        <x:f>Familles!BH61</x:f>
        <x:v>vulnerableA_air resistanceA_terre resistanceA_force resistanceA_tranchant resistanceA_percant</x:v>
      </x:c>
    </x:row>
    <x:row r="64" ht="14.25" customHeight="1">
      <x:c r="A64" s="116" t="str">
        <x:f>Familles!A62</x:f>
        <x:v>Automate</x:v>
      </x:c>
      <x:c r="B64" s="116" t="str">
        <x:f>Familles!D62</x:f>
        <x:v>Artificiel</x:v>
      </x:c>
      <x:c r="C64" s="116" t="str">
        <x:f>IF(Familles!A62=Familles!D62,"Famille","Sous-famille")</x:f>
        <x:v>Sous-famille</x:v>
      </x:c>
      <x:c r="D64" s="116" t="str">
        <x:f>TRIM(IF(Familles!AT62="Résistant","Feu; ","")&amp;IF(Familles!AU62="Résistant","Air; ","")&amp;IF(Familles!AV62="Résistant","Eau; ","")&amp;IF(Familles!AW62="Résistant","Terre; ","")&amp;IF(Familles!AX62="Résistant","Ombre; ","")&amp;IF(Familles!AY62="Résistant","Lumière; ","")&amp;IF(Familles!AZ62="Résistant","Force; ",""))</x:f>
        <x:v>Ombre;</x:v>
      </x:c>
      <x:c r="E64" s="116" t="str">
        <x:f>TRIM(IF(Familles!AT62="Vulnérable","Feu; ","")&amp;IF(Familles!AU62="Vulnérable","Air; ","")&amp;IF(Familles!AV62="Vulnérable","Eau; ","")&amp;IF(Familles!AW62="Vulnérable","Terre; ","")&amp;IF(Familles!AX62="Vulnérable","Ombre; ","")&amp;IF(Familles!AY62="Vulnérable","Lumière; ","")&amp;IF(Familles!AZ62="Vulnérable","Force; ",""))</x:f>
        <x:v>Air;</x:v>
      </x:c>
      <x:c r="F64" s="116" t="str">
        <x:f>TRIM(IF(Familles!BC62="Oui","Tranchant; ","")&amp;IF(Familles!BD62="Oui","Perçant; ","")&amp;IF(Familles!BE62="Oui","Contondant; ","")&amp;IF(Familles!BF62="Oui","Non-magique; ",""))</x:f>
        <x:v>Tranchant; Perçant;</x:v>
      </x:c>
      <x:c r="G64" s="116" t="str">
        <x:f>Familles!BG62</x:f>
        <x:v>Créature mécanique ou magique standard. Résiste à Ombre par affinité ou constitution. Vulnérable à Air, qui perturbe directement sa nature. Sa morphologie réduit les dégâts tranchants, perçants.</x:v>
      </x:c>
      <x:c r="H64" s="116" t="str">
        <x:f>Familles!BH62</x:f>
        <x:v>vulnerableA_air resistanceA_ombre resistanceA_tranchant resistanceA_percant</x:v>
      </x:c>
    </x:row>
    <x:row r="65" ht="14.25" customHeight="1">
      <x:c r="A65" s="116" t="str">
        <x:f>Familles!A63</x:f>
        <x:v>Dragon mineur</x:v>
      </x:c>
      <x:c r="B65" s="116" t="str">
        <x:f>Familles!D63</x:f>
        <x:v>Dragon</x:v>
      </x:c>
      <x:c r="C65" s="116" t="str">
        <x:f>IF(Familles!A63=Familles!D63,"Famille","Sous-famille")</x:f>
        <x:v>Sous-famille</x:v>
      </x:c>
      <x:c r="D65" s="116" t="str">
        <x:f>TRIM(IF(Familles!AT63="Résistant","Feu; ","")&amp;IF(Familles!AU63="Résistant","Air; ","")&amp;IF(Familles!AV63="Résistant","Eau; ","")&amp;IF(Familles!AW63="Résistant","Terre; ","")&amp;IF(Familles!AX63="Résistant","Ombre; ","")&amp;IF(Familles!AY63="Résistant","Lumière; ","")&amp;IF(Familles!AZ63="Résistant","Force; ",""))</x:f>
        <x:v>Force;</x:v>
      </x:c>
      <x:c r="E65" s="116" t="str">
        <x:f>TRIM(IF(Familles!AT63="Vulnérable","Feu; ","")&amp;IF(Familles!AU63="Vulnérable","Air; ","")&amp;IF(Familles!AV63="Vulnérable","Eau; ","")&amp;IF(Familles!AW63="Vulnérable","Terre; ","")&amp;IF(Familles!AX63="Vulnérable","Ombre; ","")&amp;IF(Familles!AY63="Vulnérable","Lumière; ","")&amp;IF(Familles!AZ63="Vulnérable","Force; ",""))</x:f>
      </x:c>
      <x:c r="F65" s="116" t="str">
        <x:f>TRIM(IF(Familles!BC63="Oui","Tranchant; ","")&amp;IF(Familles!BD63="Oui","Perçant; ","")&amp;IF(Familles!BE63="Oui","Contondant; ","")&amp;IF(Familles!BF63="Oui","Non-magique; ",""))</x:f>
        <x:v>Tranchant;</x:v>
      </x:c>
      <x:c r="G65" s="116" t="str">
        <x:f>Familles!BG63</x:f>
        <x:v>Drake, wyverne, jeune dragon ou dragon incomplet. Résiste à Force par affinité ou constitution. Sa morphologie réduit les dégâts tranchants.</x:v>
      </x:c>
      <x:c r="H65" s="116" t="str">
        <x:f>Familles!BH63</x:f>
        <x:v>resistanceA_force resistanceA_tranchant</x:v>
      </x:c>
    </x:row>
    <x:row r="66" ht="14.25" customHeight="1">
      <x:c r="A66" s="116" t="str">
        <x:f>Familles!A64</x:f>
        <x:v>Esprit lié</x:v>
      </x:c>
      <x:c r="B66" s="116" t="str">
        <x:f>Familles!D64</x:f>
        <x:v>Esprit</x:v>
      </x:c>
      <x:c r="C66" s="116" t="str">
        <x:f>IF(Familles!A64=Familles!D64,"Famille","Sous-famille")</x:f>
        <x:v>Sous-famille</x:v>
      </x:c>
      <x:c r="D66" s="116" t="str">
        <x:f>TRIM(IF(Familles!AT64="Résistant","Feu; ","")&amp;IF(Familles!AU64="Résistant","Air; ","")&amp;IF(Familles!AV64="Résistant","Eau; ","")&amp;IF(Familles!AW64="Résistant","Terre; ","")&amp;IF(Familles!AX64="Résistant","Ombre; ","")&amp;IF(Familles!AY64="Résistant","Lumière; ","")&amp;IF(Familles!AZ64="Résistant","Force; ",""))</x:f>
        <x:v>Ombre; Force;</x:v>
      </x:c>
      <x:c r="E66" s="116" t="str">
        <x:f>TRIM(IF(Familles!AT64="Vulnérable","Feu; ","")&amp;IF(Familles!AU64="Vulnérable","Air; ","")&amp;IF(Familles!AV64="Vulnérable","Eau; ","")&amp;IF(Familles!AW64="Vulnérable","Terre; ","")&amp;IF(Familles!AX64="Vulnérable","Ombre; ","")&amp;IF(Familles!AY64="Vulnérable","Lumière; ","")&amp;IF(Familles!AZ64="Vulnérable","Force; ",""))</x:f>
        <x:v>Lumière;</x:v>
      </x:c>
      <x:c r="F66" s="116" t="str">
        <x:f>TRIM(IF(Familles!BC64="Oui","Tranchant; ","")&amp;IF(Familles!BD64="Oui","Perçant; ","")&amp;IF(Familles!BE64="Oui","Contondant; ","")&amp;IF(Familles!BF64="Oui","Non-magique; ",""))</x:f>
      </x:c>
      <x:c r="G66" s="116" t="str">
        <x:f>Familles!BG64</x:f>
        <x:v>Esprit attaché à un lieu, objet ou tombe. Résiste à Ombre, Force par affinité ou constitution. Vulnérable à Lumière, qui perturbe directement sa nature.</x:v>
      </x:c>
      <x:c r="H66" s="116" t="str">
        <x:f>Familles!BH64</x:f>
        <x:v>resistanceA_ombre vulnerableA_lumiere resistanceA_force</x:v>
      </x:c>
    </x:row>
    <x:row r="67" ht="14.25" customHeight="1">
      <x:c r="A67" s="116" t="str">
        <x:f>Familles!A65</x:f>
        <x:v>Spectre</x:v>
      </x:c>
      <x:c r="B67" s="116" t="str">
        <x:f>Familles!D65</x:f>
        <x:v>Esprit</x:v>
      </x:c>
      <x:c r="C67" s="116" t="str">
        <x:f>IF(Familles!A65=Familles!D65,"Famille","Sous-famille")</x:f>
        <x:v>Sous-famille</x:v>
      </x:c>
      <x:c r="D67" s="116" t="str">
        <x:f>TRIM(IF(Familles!AT65="Résistant","Feu; ","")&amp;IF(Familles!AU65="Résistant","Air; ","")&amp;IF(Familles!AV65="Résistant","Eau; ","")&amp;IF(Familles!AW65="Résistant","Terre; ","")&amp;IF(Familles!AX65="Résistant","Ombre; ","")&amp;IF(Familles!AY65="Résistant","Lumière; ","")&amp;IF(Familles!AZ65="Résistant","Force; ",""))</x:f>
        <x:v>Ombre; Force;</x:v>
      </x:c>
      <x:c r="E67" s="116" t="str">
        <x:f>TRIM(IF(Familles!AT65="Vulnérable","Feu; ","")&amp;IF(Familles!AU65="Vulnérable","Air; ","")&amp;IF(Familles!AV65="Vulnérable","Eau; ","")&amp;IF(Familles!AW65="Vulnérable","Terre; ","")&amp;IF(Familles!AX65="Vulnérable","Ombre; ","")&amp;IF(Familles!AY65="Vulnérable","Lumière; ","")&amp;IF(Familles!AZ65="Vulnérable","Force; ",""))</x:f>
        <x:v>Lumière;</x:v>
      </x:c>
      <x:c r="F67" s="116" t="str">
        <x:f>TRIM(IF(Familles!BC65="Oui","Tranchant; ","")&amp;IF(Familles!BD65="Oui","Perçant; ","")&amp;IF(Familles!BE65="Oui","Contondant; ","")&amp;IF(Familles!BF65="Oui","Non-magique; ",""))</x:f>
      </x:c>
      <x:c r="G67" s="116" t="str">
        <x:f>Familles!BG65</x:f>
        <x:v>Esprit plus libre, offensif et intangible. Résiste à Ombre, Force par affinité ou constitution. Vulnérable à Lumière, qui perturbe directement sa nature.</x:v>
      </x:c>
      <x:c r="H67" s="116" t="str">
        <x:f>Familles!BH65</x:f>
        <x:v>resistanceA_ombre vulnerableA_lumiere resistanceA_force</x:v>
      </x:c>
    </x:row>
    <x:row r="68" ht="14.25" customHeight="1">
      <x:c r="A68" s="116" t="str">
        <x:f>Familles!A66</x:f>
        <x:v>Avatar</x:v>
      </x:c>
      <x:c r="B68" s="116" t="str">
        <x:f>Familles!D66</x:f>
        <x:v>Céleste</x:v>
      </x:c>
      <x:c r="C68" s="116" t="str">
        <x:f>IF(Familles!A66=Familles!D66,"Famille","Sous-famille")</x:f>
        <x:v>Sous-famille</x:v>
      </x:c>
      <x:c r="D68" s="116" t="str">
        <x:f>TRIM(IF(Familles!AT66="Résistant","Feu; ","")&amp;IF(Familles!AU66="Résistant","Air; ","")&amp;IF(Familles!AV66="Résistant","Eau; ","")&amp;IF(Familles!AW66="Résistant","Terre; ","")&amp;IF(Familles!AX66="Résistant","Ombre; ","")&amp;IF(Familles!AY66="Résistant","Lumière; ","")&amp;IF(Familles!AZ66="Résistant","Force; ",""))</x:f>
        <x:v>Lumière; Force;</x:v>
      </x:c>
      <x:c r="E68" s="116" t="str">
        <x:f>TRIM(IF(Familles!AT66="Vulnérable","Feu; ","")&amp;IF(Familles!AU66="Vulnérable","Air; ","")&amp;IF(Familles!AV66="Vulnérable","Eau; ","")&amp;IF(Familles!AW66="Vulnérable","Terre; ","")&amp;IF(Familles!AX66="Vulnérable","Ombre; ","")&amp;IF(Familles!AY66="Vulnérable","Lumière; ","")&amp;IF(Familles!AZ66="Vulnérable","Force; ",""))</x:f>
        <x:v>Ombre;</x:v>
      </x:c>
      <x:c r="F68" s="116" t="str">
        <x:f>TRIM(IF(Familles!BC66="Oui","Tranchant; ","")&amp;IF(Familles!BD66="Oui","Perçant; ","")&amp;IF(Familles!BE66="Oui","Contondant; ","")&amp;IF(Familles!BF66="Oui","Non-magique; ",""))</x:f>
        <x:v>Tranchant;</x:v>
      </x:c>
      <x:c r="G68" s="116" t="str">
        <x:f>Familles!BG66</x:f>
        <x:v>Manifestation divine ou quasi-divine. Résiste à Lumière, Force par affinité ou constitution. Vulnérable à Ombre, qui perturbe directement sa nature. Sa morphologie réduit les dégâts tranchants.</x:v>
      </x:c>
      <x:c r="H68" s="116" t="str">
        <x:f>Familles!BH66</x:f>
        <x:v>vulnerableA_ombre resistanceA_lumiere resistanceA_force resistanceA_tranchant</x:v>
      </x:c>
    </x:row>
    <x:row r="69" ht="14.25" customHeight="1">
      <x:c r="A69" s="116" t="str">
        <x:f>Familles!A67</x:f>
        <x:v>Poltergeist</x:v>
      </x:c>
      <x:c r="B69" s="116" t="str">
        <x:f>Familles!D67</x:f>
        <x:v>Esprit</x:v>
      </x:c>
      <x:c r="C69" s="116" t="str">
        <x:f>IF(Familles!A67=Familles!D67,"Famille","Sous-famille")</x:f>
        <x:v>Sous-famille</x:v>
      </x:c>
      <x:c r="D69" s="116" t="str">
        <x:f>TRIM(IF(Familles!AT67="Résistant","Feu; ","")&amp;IF(Familles!AU67="Résistant","Air; ","")&amp;IF(Familles!AV67="Résistant","Eau; ","")&amp;IF(Familles!AW67="Résistant","Terre; ","")&amp;IF(Familles!AX67="Résistant","Ombre; ","")&amp;IF(Familles!AY67="Résistant","Lumière; ","")&amp;IF(Familles!AZ67="Résistant","Force; ",""))</x:f>
        <x:v>Ombre; Force;</x:v>
      </x:c>
      <x:c r="E69" s="116" t="str">
        <x:f>TRIM(IF(Familles!AT67="Vulnérable","Feu; ","")&amp;IF(Familles!AU67="Vulnérable","Air; ","")&amp;IF(Familles!AV67="Vulnérable","Eau; ","")&amp;IF(Familles!AW67="Vulnérable","Terre; ","")&amp;IF(Familles!AX67="Vulnérable","Ombre; ","")&amp;IF(Familles!AY67="Vulnérable","Lumière; ","")&amp;IF(Familles!AZ67="Vulnérable","Force; ",""))</x:f>
        <x:v>Lumière;</x:v>
      </x:c>
      <x:c r="F69" s="116" t="str">
        <x:f>TRIM(IF(Familles!BC67="Oui","Tranchant; ","")&amp;IF(Familles!BD67="Oui","Perçant; ","")&amp;IF(Familles!BE67="Oui","Contondant; ","")&amp;IF(Familles!BF67="Oui","Non-magique; ",""))</x:f>
      </x:c>
      <x:c r="G69" s="116" t="str">
        <x:f>Familles!BG67</x:f>
        <x:v>Esprit qui manipule l’environnement et projette des objets. Résiste à Ombre, Force par affinité ou constitution. Vulnérable à Lumière, qui perturbe directement sa nature.</x:v>
      </x:c>
      <x:c r="H69" s="116" t="str">
        <x:f>Familles!BH67</x:f>
        <x:v>resistanceA_ombre vulnerableA_lumiere resistanceA_force</x:v>
      </x:c>
    </x:row>
    <x:row r="70" ht="14.25" customHeight="1">
      <x:c r="A70" s="116" t="str">
        <x:f>Familles!A68</x:f>
        <x:v>Golem</x:v>
      </x:c>
      <x:c r="B70" s="116" t="str">
        <x:f>Familles!D68</x:f>
        <x:v>Artificiel</x:v>
      </x:c>
      <x:c r="C70" s="116" t="str">
        <x:f>IF(Familles!A68=Familles!D68,"Famille","Sous-famille")</x:f>
        <x:v>Sous-famille</x:v>
      </x:c>
      <x:c r="D70" s="116" t="str">
        <x:f>TRIM(IF(Familles!AT68="Résistant","Feu; ","")&amp;IF(Familles!AU68="Résistant","Air; ","")&amp;IF(Familles!AV68="Résistant","Eau; ","")&amp;IF(Familles!AW68="Résistant","Terre; ","")&amp;IF(Familles!AX68="Résistant","Ombre; ","")&amp;IF(Familles!AY68="Résistant","Lumière; ","")&amp;IF(Familles!AZ68="Résistant","Force; ",""))</x:f>
        <x:v>Terre; Ombre;</x:v>
      </x:c>
      <x:c r="E70" s="116" t="str">
        <x:f>TRIM(IF(Familles!AT68="Vulnérable","Feu; ","")&amp;IF(Familles!AU68="Vulnérable","Air; ","")&amp;IF(Familles!AV68="Vulnérable","Eau; ","")&amp;IF(Familles!AW68="Vulnérable","Terre; ","")&amp;IF(Familles!AX68="Vulnérable","Ombre; ","")&amp;IF(Familles!AY68="Vulnérable","Lumière; ","")&amp;IF(Familles!AZ68="Vulnérable","Force; ",""))</x:f>
      </x:c>
      <x:c r="F70" s="116" t="str">
        <x:f>TRIM(IF(Familles!BC68="Oui","Tranchant; ","")&amp;IF(Familles!BD68="Oui","Perçant; ","")&amp;IF(Familles!BE68="Oui","Contondant; ","")&amp;IF(Familles!BF68="Oui","Non-magique; ",""))</x:f>
        <x:v>Tranchant; Perçant;</x:v>
      </x:c>
      <x:c r="G70" s="116" t="str">
        <x:f>Familles!BG68</x:f>
        <x:v>Construct très robuste, lourd et défensif. Résiste à Terre, Ombre par affinité ou constitution. Sa morphologie réduit les dégâts tranchants, perçants.</x:v>
      </x:c>
      <x:c r="H70" s="116" t="str">
        <x:f>Familles!BH68</x:f>
        <x:v>resistanceA_terre resistanceA_ombre resistanceA_tranchant resistanceA_percant</x:v>
      </x:c>
    </x:row>
    <x:row r="71" ht="14.25" customHeight="1">
      <x:c r="A71" s="116" t="str">
        <x:f>Familles!A69</x:f>
        <x:v>Dragon élémentaire</x:v>
      </x:c>
      <x:c r="B71" s="116" t="str">
        <x:f>Familles!D69</x:f>
        <x:v>Dragon</x:v>
      </x:c>
      <x:c r="C71" s="116" t="str">
        <x:f>IF(Familles!A69=Familles!D69,"Famille","Sous-famille")</x:f>
        <x:v>Sous-famille</x:v>
      </x:c>
      <x:c r="D71" s="116" t="str">
        <x:f>TRIM(IF(Familles!AT69="Résistant","Feu; ","")&amp;IF(Familles!AU69="Résistant","Air; ","")&amp;IF(Familles!AV69="Résistant","Eau; ","")&amp;IF(Familles!AW69="Résistant","Terre; ","")&amp;IF(Familles!AX69="Résistant","Ombre; ","")&amp;IF(Familles!AY69="Résistant","Lumière; ","")&amp;IF(Familles!AZ69="Résistant","Force; ",""))</x:f>
        <x:v>Force;</x:v>
      </x:c>
      <x:c r="E71" s="116" t="str">
        <x:f>TRIM(IF(Familles!AT69="Vulnérable","Feu; ","")&amp;IF(Familles!AU69="Vulnérable","Air; ","")&amp;IF(Familles!AV69="Vulnérable","Eau; ","")&amp;IF(Familles!AW69="Vulnérable","Terre; ","")&amp;IF(Familles!AX69="Vulnérable","Ombre; ","")&amp;IF(Familles!AY69="Vulnérable","Lumière; ","")&amp;IF(Familles!AZ69="Vulnérable","Force; ",""))</x:f>
      </x:c>
      <x:c r="F71" s="116" t="str">
        <x:f>TRIM(IF(Familles!BC69="Oui","Tranchant; ","")&amp;IF(Familles!BD69="Oui","Perçant; ","")&amp;IF(Familles!BE69="Oui","Contondant; ","")&amp;IF(Familles!BF69="Oui","Non-magique; ",""))</x:f>
        <x:v>Tranchant;</x:v>
      </x:c>
      <x:c r="G71" s="116" t="str">
        <x:f>Familles!BG69</x:f>
        <x:v>Dragon de souffle ou d’élément : chromatique/élémentaire fusionnés. Résiste à Force par affinité ou constitution. Sa morphologie réduit les dégâts tranchants.</x:v>
      </x:c>
      <x:c r="H71" s="116" t="str">
        <x:f>Familles!BH69</x:f>
        <x:v>resistanceA_force resistanceA_tranchant</x:v>
      </x:c>
    </x:row>
    <x:row r="72" ht="14.25" customHeight="1">
      <x:c r="A72" s="116" t="str">
        <x:f>Familles!A70</x:f>
        <x:v>Dragon de métal</x:v>
      </x:c>
      <x:c r="B72" s="116" t="str">
        <x:f>Familles!D70</x:f>
        <x:v>Dragon</x:v>
      </x:c>
      <x:c r="C72" s="116" t="str">
        <x:f>IF(Familles!A70=Familles!D70,"Famille","Sous-famille")</x:f>
        <x:v>Sous-famille</x:v>
      </x:c>
      <x:c r="D72" s="116" t="str">
        <x:f>TRIM(IF(Familles!AT70="Résistant","Feu; ","")&amp;IF(Familles!AU70="Résistant","Air; ","")&amp;IF(Familles!AV70="Résistant","Eau; ","")&amp;IF(Familles!AW70="Résistant","Terre; ","")&amp;IF(Familles!AX70="Résistant","Ombre; ","")&amp;IF(Familles!AY70="Résistant","Lumière; ","")&amp;IF(Familles!AZ70="Résistant","Force; ",""))</x:f>
        <x:v>Terre; Force;</x:v>
      </x:c>
      <x:c r="E72" s="116" t="str">
        <x:f>TRIM(IF(Familles!AT70="Vulnérable","Feu; ","")&amp;IF(Familles!AU70="Vulnérable","Air; ","")&amp;IF(Familles!AV70="Vulnérable","Eau; ","")&amp;IF(Familles!AW70="Vulnérable","Terre; ","")&amp;IF(Familles!AX70="Vulnérable","Ombre; ","")&amp;IF(Familles!AY70="Vulnérable","Lumière; ","")&amp;IF(Familles!AZ70="Vulnérable","Force; ",""))</x:f>
      </x:c>
      <x:c r="F72" s="116" t="str">
        <x:f>TRIM(IF(Familles!BC70="Oui","Tranchant; ","")&amp;IF(Familles!BD70="Oui","Perçant; ","")&amp;IF(Familles!BE70="Oui","Contondant; ","")&amp;IF(Familles!BF70="Oui","Non-magique; ",""))</x:f>
        <x:v>Tranchant; Perçant;</x:v>
      </x:c>
      <x:c r="G72" s="116" t="str">
        <x:f>Familles!BG70</x:f>
        <x:v>Dragon plus noble, défensif, intelligent et matériellement précieux. Résiste à Terre, Force par affinité ou constitution. Sa morphologie réduit les dégâts tranchants, perçants.</x:v>
      </x:c>
      <x:c r="H72" s="116" t="str">
        <x:f>Familles!BH70</x:f>
        <x:v>resistanceA_terre resistanceA_force resistanceA_tranchant resistanceA_percant</x:v>
      </x:c>
    </x:row>
    <x:row r="73" ht="14.25" customHeight="1">
      <x:c r="A73" s="116" t="str">
        <x:f>Familles!A71</x:f>
        <x:v>Dragon de gemme</x:v>
      </x:c>
      <x:c r="B73" s="116" t="str">
        <x:f>Familles!D71</x:f>
        <x:v>Dragon</x:v>
      </x:c>
      <x:c r="C73" s="116" t="str">
        <x:f>IF(Familles!A71=Familles!D71,"Famille","Sous-famille")</x:f>
        <x:v>Sous-famille</x:v>
      </x:c>
      <x:c r="D73" s="116" t="str">
        <x:f>TRIM(IF(Familles!AT71="Résistant","Feu; ","")&amp;IF(Familles!AU71="Résistant","Air; ","")&amp;IF(Familles!AV71="Résistant","Eau; ","")&amp;IF(Familles!AW71="Résistant","Terre; ","")&amp;IF(Familles!AX71="Résistant","Ombre; ","")&amp;IF(Familles!AY71="Résistant","Lumière; ","")&amp;IF(Familles!AZ71="Résistant","Force; ",""))</x:f>
        <x:v>Terre; Force;</x:v>
      </x:c>
      <x:c r="E73" s="116" t="str">
        <x:f>TRIM(IF(Familles!AT71="Vulnérable","Feu; ","")&amp;IF(Familles!AU71="Vulnérable","Air; ","")&amp;IF(Familles!AV71="Vulnérable","Eau; ","")&amp;IF(Familles!AW71="Vulnérable","Terre; ","")&amp;IF(Familles!AX71="Vulnérable","Ombre; ","")&amp;IF(Familles!AY71="Vulnérable","Lumière; ","")&amp;IF(Familles!AZ71="Vulnérable","Force; ",""))</x:f>
      </x:c>
      <x:c r="F73" s="116" t="str">
        <x:f>TRIM(IF(Familles!BC71="Oui","Tranchant; ","")&amp;IF(Familles!BD71="Oui","Perçant; ","")&amp;IF(Familles!BE71="Oui","Contondant; ","")&amp;IF(Familles!BF71="Oui","Non-magique; ",""))</x:f>
        <x:v>Tranchant;</x:v>
      </x:c>
      <x:c r="G73" s="116" t="str">
        <x:f>Familles!BG71</x:f>
        <x:v>Dragon mental, mystique, cristallin ou psionique. Résiste à Terre, Force par affinité ou constitution. Sa morphologie réduit les dégâts tranchants.</x:v>
      </x:c>
      <x:c r="H73" s="116" t="str">
        <x:f>Familles!BH71</x:f>
        <x:v>resistanceA_terre resistanceA_force resistanceA_tranchant</x:v>
      </x:c>
    </x:row>
    <x:row r="74" ht="14.25" customHeight="1">
      <x:c r="A74" s="116" t="str">
        <x:f>Familles!A72</x:f>
        <x:v>Dragon nécrotique</x:v>
      </x:c>
      <x:c r="B74" s="116" t="str">
        <x:f>Familles!D72</x:f>
        <x:v>Dragon</x:v>
      </x:c>
      <x:c r="C74" s="116" t="str">
        <x:f>IF(Familles!A72=Familles!D72,"Famille","Sous-famille")</x:f>
        <x:v>Sous-famille</x:v>
      </x:c>
      <x:c r="D74" s="116" t="str">
        <x:f>TRIM(IF(Familles!AT72="Résistant","Feu; ","")&amp;IF(Familles!AU72="Résistant","Air; ","")&amp;IF(Familles!AV72="Résistant","Eau; ","")&amp;IF(Familles!AW72="Résistant","Terre; ","")&amp;IF(Familles!AX72="Résistant","Ombre; ","")&amp;IF(Familles!AY72="Résistant","Lumière; ","")&amp;IF(Familles!AZ72="Résistant","Force; ",""))</x:f>
        <x:v>Ombre; Force;</x:v>
      </x:c>
      <x:c r="E74" s="116" t="str">
        <x:f>TRIM(IF(Familles!AT72="Vulnérable","Feu; ","")&amp;IF(Familles!AU72="Vulnérable","Air; ","")&amp;IF(Familles!AV72="Vulnérable","Eau; ","")&amp;IF(Familles!AW72="Vulnérable","Terre; ","")&amp;IF(Familles!AX72="Vulnérable","Ombre; ","")&amp;IF(Familles!AY72="Vulnérable","Lumière; ","")&amp;IF(Familles!AZ72="Vulnérable","Force; ",""))</x:f>
        <x:v>Lumière;</x:v>
      </x:c>
      <x:c r="F74" s="116" t="str">
        <x:f>TRIM(IF(Familles!BC72="Oui","Tranchant; ","")&amp;IF(Familles!BD72="Oui","Perçant; ","")&amp;IF(Familles!BE72="Oui","Contondant; ","")&amp;IF(Familles!BF72="Oui","Non-magique; ",""))</x:f>
        <x:v>Perçant;</x:v>
      </x:c>
      <x:c r="G74" s="116" t="str">
        <x:f>Familles!BG72</x:f>
        <x:v>Dragon combiné à la logique mort-vivante. Résiste à Ombre, Force par affinité ou constitution. Vulnérable à Lumière, qui perturbe directement sa nature. Sa morphologie réduit les dégâts perçants.</x:v>
      </x:c>
      <x:c r="H74" s="116" t="str">
        <x:f>Familles!BH72</x:f>
        <x:v>resistanceA_ombre vulnerableA_lumiere resistanceA_force resistanceA_percant</x:v>
      </x:c>
    </x:row>
    <x:row r="75" ht="14.25" customHeight="1">
      <x:c r="A75" s="116" t="str">
        <x:f>Familles!A73</x:f>
        <x:v>Dragon primordial</x:v>
      </x:c>
      <x:c r="B75" s="116" t="str">
        <x:f>Familles!D73</x:f>
        <x:v>Dragon</x:v>
      </x:c>
      <x:c r="C75" s="116" t="str">
        <x:f>IF(Familles!A73=Familles!D73,"Famille","Sous-famille")</x:f>
        <x:v>Sous-famille</x:v>
      </x:c>
      <x:c r="D75" s="116" t="str">
        <x:f>TRIM(IF(Familles!AT73="Résistant","Feu; ","")&amp;IF(Familles!AU73="Résistant","Air; ","")&amp;IF(Familles!AV73="Résistant","Eau; ","")&amp;IF(Familles!AW73="Résistant","Terre; ","")&amp;IF(Familles!AX73="Résistant","Ombre; ","")&amp;IF(Familles!AY73="Résistant","Lumière; ","")&amp;IF(Familles!AZ73="Résistant","Force; ",""))</x:f>
        <x:v>Feu; Air; Eau; Terre; Force;</x:v>
      </x:c>
      <x:c r="E75" s="116" t="str">
        <x:f>TRIM(IF(Familles!AT73="Vulnérable","Feu; ","")&amp;IF(Familles!AU73="Vulnérable","Air; ","")&amp;IF(Familles!AV73="Vulnérable","Eau; ","")&amp;IF(Familles!AW73="Vulnérable","Terre; ","")&amp;IF(Familles!AX73="Vulnérable","Ombre; ","")&amp;IF(Familles!AY73="Vulnérable","Lumière; ","")&amp;IF(Familles!AZ73="Vulnérable","Force; ",""))</x:f>
      </x:c>
      <x:c r="F75" s="116" t="str">
        <x:f>TRIM(IF(Familles!BC73="Oui","Tranchant; ","")&amp;IF(Familles!BD73="Oui","Perçant; ","")&amp;IF(Familles!BE73="Oui","Contondant; ","")&amp;IF(Familles!BF73="Oui","Non-magique; ",""))</x:f>
        <x:v>Tranchant; Perçant;</x:v>
      </x:c>
      <x:c r="G75" s="116" t="str">
        <x:f>Familles!BG73</x:f>
        <x:v>Dragon mythique, ancien ou boss de campagne. Résiste à Feu, Air, Eau, Terre, Force par affinité ou constitution. Sa morphologie réduit les dégâts tranchants, perçants.</x:v>
      </x:c>
      <x:c r="H75" s="116" t="str">
        <x:f>Familles!BH73</x:f>
        <x:v>resistanceA_feu resistanceA_air resistanceA_eau resistanceA_terre resistanceA_force resistanceA_tranchant resistanceA_percant</x:v>
      </x:c>
    </x:row>
    <x:row r="76" ht="14.25" customHeight="1"/>
    <x:row r="77" ht="14.25" customHeight="1"/>
    <x:row r="78" ht="14.25" customHeight="1"/>
    <x:row r="79" ht="14.25" customHeight="1"/>
    <x:row r="80" ht="14.25" customHeight="1"/>
    <x:row r="81" ht="14.25" customHeight="1"/>
    <x:row r="82" ht="14.25" customHeight="1"/>
    <x:row r="83" ht="14.25" customHeight="1"/>
    <x:row r="84" ht="14.25" customHeight="1"/>
    <x:row r="85" ht="14.25" customHeight="1"/>
    <x:row r="86" ht="14.25" customHeight="1"/>
    <x:row r="87" ht="14.25" customHeight="1"/>
    <x:row r="88" ht="14.25" customHeight="1"/>
    <x:row r="89" ht="14.25" customHeight="1"/>
    <x:row r="90" ht="14.25" customHeight="1"/>
    <x:row r="91" ht="14.25" customHeight="1"/>
    <x:row r="92" ht="14.25" customHeight="1"/>
    <x:row r="93" ht="14.25" customHeight="1"/>
    <x:row r="94" ht="14.25" customHeight="1"/>
    <x:row r="95" ht="14.25" customHeight="1"/>
    <x:row r="96" ht="14.25" customHeight="1"/>
    <x:row r="97" ht="14.25" customHeight="1"/>
    <x:row r="98" ht="14.25" customHeight="1"/>
    <x:row r="99" ht="14.25" customHeight="1"/>
    <x:row r="100" ht="14.25" customHeight="1"/>
    <x:row r="101" ht="14.25" customHeight="1"/>
    <x:row r="102" ht="14.25" customHeight="1"/>
    <x:row r="103" ht="14.25" customHeight="1"/>
    <x:row r="104" ht="14.25" customHeight="1"/>
    <x:row r="105" ht="14.25" customHeight="1"/>
    <x:row r="106" ht="14.25" customHeight="1"/>
    <x:row r="107" ht="14.25" customHeight="1"/>
    <x:row r="108" ht="14.25" customHeight="1"/>
    <x:row r="109" ht="14.25" customHeight="1"/>
    <x:row r="110" ht="14.25" customHeight="1"/>
    <x:row r="111" ht="14.25" customHeight="1"/>
    <x:row r="112" ht="14.25" customHeight="1"/>
    <x:row r="113" ht="14.25" customHeight="1"/>
    <x:row r="114" ht="14.25" customHeight="1"/>
    <x:row r="115" ht="14.25" customHeight="1"/>
    <x:row r="116" ht="14.25" customHeight="1"/>
    <x:row r="117" ht="14.25" customHeight="1"/>
    <x:row r="118" ht="14.25" customHeight="1"/>
    <x:row r="119" ht="14.25" customHeight="1"/>
    <x:row r="120" ht="14.25" customHeight="1"/>
    <x:row r="121" ht="14.25" customHeight="1"/>
    <x:row r="122" ht="14.25" customHeight="1"/>
    <x:row r="123" ht="14.25" customHeight="1"/>
    <x:row r="124" ht="14.25" customHeight="1"/>
    <x:row r="125" ht="14.25" customHeight="1"/>
    <x:row r="126" ht="14.25" customHeight="1"/>
    <x:row r="127" ht="14.25" customHeight="1"/>
    <x:row r="128" ht="14.25" customHeight="1"/>
    <x:row r="129" ht="14.25" customHeight="1"/>
    <x:row r="130" ht="14.25" customHeight="1"/>
    <x:row r="131" ht="14.25" customHeight="1"/>
    <x:row r="132" ht="14.25" customHeight="1"/>
    <x:row r="133" ht="14.25" customHeight="1"/>
    <x:row r="134" ht="14.25" customHeight="1"/>
    <x:row r="135" ht="14.25" customHeight="1"/>
    <x:row r="136" ht="14.25" customHeight="1"/>
    <x:row r="137" ht="14.25" customHeight="1"/>
    <x:row r="138" ht="14.25" customHeight="1"/>
    <x:row r="139" ht="14.25" customHeight="1"/>
    <x:row r="140" ht="14.25" customHeight="1"/>
    <x:row r="141" ht="14.25" customHeight="1"/>
    <x:row r="142" ht="14.25" customHeight="1"/>
    <x:row r="143" ht="14.25" customHeight="1"/>
    <x:row r="144" ht="14.25" customHeight="1"/>
    <x:row r="145" ht="14.25" customHeight="1"/>
    <x:row r="146" ht="14.25" customHeight="1"/>
    <x:row r="147" ht="14.25" customHeight="1"/>
    <x:row r="148" ht="14.25" customHeight="1"/>
    <x:row r="149" ht="14.25" customHeight="1"/>
    <x:row r="150" ht="14.25" customHeight="1"/>
    <x:row r="151" ht="14.25" customHeight="1"/>
    <x:row r="152" ht="14.25" customHeight="1"/>
    <x:row r="153" ht="14.25" customHeight="1"/>
    <x:row r="154" ht="14.25" customHeight="1"/>
    <x:row r="155" ht="14.25" customHeight="1"/>
    <x:row r="156" ht="14.25" customHeight="1"/>
    <x:row r="157" ht="14.25" customHeight="1"/>
    <x:row r="158" ht="14.25" customHeight="1"/>
    <x:row r="159" ht="14.25" customHeight="1"/>
    <x:row r="160" ht="14.25" customHeight="1"/>
    <x:row r="161" ht="14.25" customHeight="1"/>
    <x:row r="162" ht="14.25" customHeight="1"/>
    <x:row r="163" ht="14.25" customHeight="1"/>
    <x:row r="164" ht="14.25" customHeight="1"/>
    <x:row r="165" ht="14.25" customHeight="1"/>
    <x:row r="166" ht="14.25" customHeight="1"/>
    <x:row r="167" ht="14.25" customHeight="1"/>
    <x:row r="168" ht="14.25" customHeight="1"/>
    <x:row r="169" ht="14.25" customHeight="1"/>
    <x:row r="170" ht="14.25" customHeight="1"/>
    <x:row r="171" ht="14.25" customHeight="1"/>
    <x:row r="172" ht="14.25" customHeight="1"/>
    <x:row r="173" ht="14.25" customHeight="1"/>
    <x:row r="174" ht="14.25" customHeight="1"/>
    <x:row r="175" ht="14.25" customHeight="1"/>
    <x:row r="176" ht="14.25" customHeight="1"/>
    <x:row r="177" ht="14.25" customHeight="1"/>
    <x:row r="178" ht="14.25" customHeight="1"/>
    <x:row r="179" ht="14.25" customHeight="1"/>
    <x:row r="180" ht="14.25" customHeight="1"/>
    <x:row r="181" ht="14.25" customHeight="1"/>
    <x:row r="182" ht="14.25" customHeight="1"/>
    <x:row r="183" ht="14.25" customHeight="1"/>
    <x:row r="184" ht="14.25" customHeight="1"/>
    <x:row r="185" ht="14.25" customHeight="1"/>
    <x:row r="186" ht="14.25" customHeight="1"/>
    <x:row r="187" ht="14.25" customHeight="1"/>
    <x:row r="188" ht="14.25" customHeight="1"/>
    <x:row r="189" ht="14.25" customHeight="1"/>
    <x:row r="190" ht="14.25" customHeight="1"/>
    <x:row r="191" ht="14.25" customHeight="1"/>
    <x:row r="192" ht="14.25" customHeight="1"/>
    <x:row r="193" ht="14.25" customHeight="1"/>
    <x:row r="194" ht="14.25" customHeight="1"/>
    <x:row r="195" ht="14.25" customHeight="1"/>
    <x:row r="196" ht="14.25" customHeight="1"/>
    <x:row r="197" ht="14.25" customHeight="1"/>
    <x:row r="198" ht="14.25" customHeight="1"/>
    <x:row r="199" ht="14.25" customHeight="1"/>
    <x:row r="200" ht="14.25" customHeight="1"/>
    <x:row r="201" ht="14.25" customHeight="1"/>
    <x:row r="202" ht="14.25" customHeight="1"/>
    <x:row r="203" ht="14.25" customHeight="1"/>
    <x:row r="204" ht="14.25" customHeight="1"/>
    <x:row r="205" ht="14.25" customHeight="1"/>
    <x:row r="206" ht="14.25" customHeight="1"/>
    <x:row r="207" ht="14.25" customHeight="1"/>
    <x:row r="208" ht="14.25" customHeight="1"/>
    <x:row r="209" ht="14.25" customHeight="1"/>
    <x:row r="210" ht="14.25" customHeight="1"/>
    <x:row r="211" ht="14.25" customHeight="1"/>
    <x:row r="212" ht="14.25" customHeight="1"/>
    <x:row r="213" ht="14.25" customHeight="1"/>
    <x:row r="214" ht="14.25" customHeight="1"/>
    <x:row r="215" ht="14.25" customHeight="1"/>
    <x:row r="216" ht="14.25" customHeight="1"/>
    <x:row r="217" ht="14.25" customHeight="1"/>
    <x:row r="218" ht="14.25" customHeight="1"/>
    <x:row r="219" ht="14.25" customHeight="1"/>
    <x:row r="220" ht="14.25" customHeight="1"/>
    <x:row r="221" ht="14.25" customHeight="1"/>
    <x:row r="222" ht="14.25" customHeight="1"/>
    <x:row r="223" ht="14.25" customHeight="1"/>
    <x:row r="224" ht="14.25" customHeight="1"/>
    <x:row r="225" ht="14.25" customHeight="1"/>
    <x:row r="226" ht="14.25" customHeight="1"/>
    <x:row r="227" ht="14.25" customHeight="1"/>
    <x:row r="228" ht="14.25" customHeight="1"/>
    <x:row r="229" ht="14.25" customHeight="1"/>
    <x:row r="230" ht="14.25" customHeight="1"/>
    <x:row r="231" ht="14.25" customHeight="1"/>
    <x:row r="232" ht="14.25" customHeight="1"/>
    <x:row r="233" ht="14.25" customHeight="1"/>
    <x:row r="234" ht="14.25" customHeight="1"/>
    <x:row r="235" ht="14.25" customHeight="1"/>
    <x:row r="236" ht="14.25" customHeight="1"/>
    <x:row r="237" ht="14.25" customHeight="1"/>
    <x:row r="238" ht="14.25" customHeight="1"/>
    <x:row r="239" ht="14.25" customHeight="1"/>
    <x:row r="240" ht="14.25" customHeight="1"/>
    <x:row r="241" ht="14.25" customHeight="1"/>
    <x:row r="242" ht="14.25" customHeight="1"/>
    <x:row r="243" ht="14.25" customHeight="1"/>
    <x:row r="244" ht="14.25" customHeight="1"/>
    <x:row r="245" ht="14.25" customHeight="1"/>
    <x:row r="246" ht="14.25" customHeight="1"/>
    <x:row r="247" ht="14.25" customHeight="1"/>
    <x:row r="248" ht="14.25" customHeight="1"/>
    <x:row r="249" ht="14.25" customHeight="1"/>
    <x:row r="250" ht="14.25" customHeight="1"/>
    <x:row r="251" ht="14.25" customHeight="1"/>
    <x:row r="252" ht="14.25" customHeight="1"/>
    <x:row r="253" ht="14.25" customHeight="1"/>
    <x:row r="254" ht="14.25" customHeight="1"/>
    <x:row r="255" ht="14.25" customHeight="1"/>
    <x:row r="256" ht="14.25" customHeight="1"/>
    <x:row r="257" ht="14.25" customHeight="1"/>
    <x:row r="258" ht="14.25" customHeight="1"/>
    <x:row r="259" ht="14.25" customHeight="1"/>
    <x:row r="260" ht="14.25" customHeight="1"/>
    <x:row r="261" ht="14.25" customHeight="1"/>
    <x:row r="262" ht="14.25" customHeight="1"/>
    <x:row r="263" ht="14.25" customHeight="1"/>
    <x:row r="264" ht="14.25" customHeight="1"/>
    <x:row r="265" ht="14.25" customHeight="1"/>
    <x:row r="266" ht="14.25" customHeight="1"/>
    <x:row r="267" ht="14.25" customHeight="1"/>
    <x:row r="268" ht="14.25" customHeight="1"/>
    <x:row r="269" ht="14.25" customHeight="1"/>
    <x:row r="270" ht="14.25" customHeight="1"/>
    <x:row r="271" ht="14.25" customHeight="1"/>
    <x:row r="272" ht="14.25" customHeight="1"/>
    <x:row r="273" ht="14.25" customHeight="1"/>
    <x:row r="274" ht="14.25" customHeight="1"/>
    <x:row r="275" ht="14.2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mergeCells>
    <x:mergeCell ref="A1:H1"/>
    <x:mergeCell ref="A2:H2"/>
  </x:mergeCells>
  <x:conditionalFormatting sqref="C4:C75">
    <x:cfRule type="expression" dxfId="3" priority="1">
      <x:formula>C4="Famille"</x:formula>
    </x:cfRule>
  </x:conditionalFormatting>
  <x:conditionalFormatting sqref="D4:D75">
    <x:cfRule type="expression" dxfId="4" priority="2">
      <x:formula>LEN(D4)&gt;0</x:formula>
    </x:cfRule>
  </x:conditionalFormatting>
  <x:conditionalFormatting sqref="E4:E75">
    <x:cfRule type="expression" dxfId="5" priority="3">
      <x:formula>LEN(E4)&gt;0</x:formula>
    </x:cfRule>
  </x:conditionalFormatting>
  <x:conditionalFormatting sqref="F4:F75">
    <x:cfRule type="expression" dxfId="6" priority="4">
      <x:formula>LEN(F4)&gt;0</x:formula>
    </x:cfRule>
  </x:conditionalFormatting>
  <x:pageMargins left="0.7" right="0.7" top="0.75" bottom="0.75" header="0.3" footer="0.3"/>
</x:worksheet>
</file>

<file path=xl/worksheets/sheet20.xml><?xml version="1.0" encoding="utf-8"?>
<x:worksheet xmlns:x="http://schemas.openxmlformats.org/spreadsheetml/2006/main">
  <x:sheetFormatPr defaultRowHeight="15"/>
  <x:cols>
    <x:col min="1" max="1" width="28" hidden="0" customWidth="1"/>
    <x:col min="2" max="2" width="28" hidden="0" customWidth="1"/>
    <x:col min="3" max="3" width="28" hidden="0" customWidth="1"/>
  </x:cols>
  <x:sheetData>
    <x:row r="1">
      <x:c r="A1" s="231" t="str">
        <x:v>AFFINITÉ</x:v>
      </x:c>
      <x:c r="B1" s="231" t="str">
        <x:v>Prédicat de résistance</x:v>
      </x:c>
      <x:c r="C1" s="231" t="str">
        <x:v>Prédicat de vulnérabilité</x:v>
      </x:c>
    </x:row>
    <x:row r="2">
      <x:c r="A2" s="141" t="str">
        <x:v>Feu</x:v>
      </x:c>
      <x:c r="B2" s="141" t="str">
        <x:v>resistanceA_feu</x:v>
      </x:c>
      <x:c r="C2" s="141" t="str">
        <x:v>vulnerableA_feu</x:v>
      </x:c>
    </x:row>
    <x:row r="3">
      <x:c r="A3" s="141" t="str">
        <x:v>Eau</x:v>
      </x:c>
      <x:c r="B3" s="141" t="str">
        <x:v>resistanceA_eau</x:v>
      </x:c>
      <x:c r="C3" s="141" t="str">
        <x:v>vulnerableA_eau</x:v>
      </x:c>
    </x:row>
    <x:row r="4">
      <x:c r="A4" s="141" t="str">
        <x:v>Air</x:v>
      </x:c>
      <x:c r="B4" s="141" t="str">
        <x:v>resistanceA_air</x:v>
      </x:c>
      <x:c r="C4" s="141" t="str">
        <x:v>vulnerableA_air</x:v>
      </x:c>
    </x:row>
    <x:row r="5">
      <x:c r="A5" s="141" t="str">
        <x:v>Terre</x:v>
      </x:c>
      <x:c r="B5" s="141" t="str">
        <x:v>resistanceA_terre</x:v>
      </x:c>
      <x:c r="C5" s="141" t="str">
        <x:v>vulnerableA_terre</x:v>
      </x:c>
    </x:row>
    <x:row r="6">
      <x:c r="A6" s="141" t="str">
        <x:v>Ombre</x:v>
      </x:c>
      <x:c r="B6" s="141" t="str">
        <x:v>resistanceA_ombre</x:v>
      </x:c>
      <x:c r="C6" s="141" t="str">
        <x:v>vulnerableA_ombre</x:v>
      </x:c>
    </x:row>
    <x:row r="7">
      <x:c r="A7" s="141" t="str">
        <x:v>Lumière</x:v>
      </x:c>
      <x:c r="B7" s="141" t="str">
        <x:v>resistanceA_lumiere</x:v>
      </x:c>
      <x:c r="C7" s="141" t="str">
        <x:v>vulnerableA_lumiere</x:v>
      </x:c>
    </x:row>
    <x:row r="8">
      <x:c r="A8" s="141" t="str">
        <x:v>Force</x:v>
      </x:c>
      <x:c r="B8" s="141" t="str">
        <x:v>resistanceA_force</x:v>
      </x:c>
      <x:c r="C8" s="141" t="str">
        <x:v>vulnerableA_force</x:v>
      </x:c>
    </x:row>
    <x:row r="9">
      <x:c r="A9" s="141"/>
      <x:c r="B9" s="141"/>
      <x:c r="C9" s="141"/>
    </x:row>
    <x:row r="10">
      <x:c r="A10" s="231" t="str">
        <x:v>Compatibilité</x:v>
      </x:c>
      <x:c r="B10" s="231" t="str">
        <x:v>Ancien type</x:v>
      </x:c>
      <x:c r="C10" s="231" t="str">
        <x:v>Traitement</x:v>
      </x:c>
    </x:row>
    <x:row r="11">
      <x:c r="A11" s="141" t="str">
        <x:v>Alias</x:v>
      </x:c>
      <x:c r="B11" s="141" t="str">
        <x:v>froid</x:v>
      </x:c>
      <x:c r="C11" s="141" t="str">
        <x:v>Eau</x:v>
      </x:c>
    </x:row>
    <x:row r="12">
      <x:c r="A12" s="141" t="str">
        <x:v>Alias</x:v>
      </x:c>
      <x:c r="B12" s="141" t="str">
        <x:v>électrique / sonique</x:v>
      </x:c>
      <x:c r="C12" s="141" t="str">
        <x:v>Air</x:v>
      </x:c>
    </x:row>
    <x:row r="13">
      <x:c r="A13" s="141" t="str">
        <x:v>Alias</x:v>
      </x:c>
      <x:c r="B13" s="141" t="str">
        <x:v>acide</x:v>
      </x:c>
      <x:c r="C13" s="141" t="str">
        <x:v>Terre</x:v>
      </x:c>
    </x:row>
    <x:row r="14">
      <x:c r="A14" s="141" t="str">
        <x:v>Alias</x:v>
      </x:c>
      <x:c r="B14" s="141" t="str">
        <x:v>nécrotique</x:v>
      </x:c>
      <x:c r="C14" s="141" t="str">
        <x:v>Ombre</x:v>
      </x:c>
    </x:row>
    <x:row r="15">
      <x:c r="A15" s="141" t="str">
        <x:v>Alias</x:v>
      </x:c>
      <x:c r="B15" s="141" t="str">
        <x:v>radiant</x:v>
      </x:c>
      <x:c r="C15" s="141" t="str">
        <x:v>Lumière</x:v>
      </x:c>
    </x:row>
    <x:row r="16">
      <x:c r="A16" s="141" t="str">
        <x:v>Alias</x:v>
      </x:c>
      <x:c r="B16" s="141" t="str">
        <x:v>arcane / énergie / magique</x:v>
      </x:c>
      <x:c r="C16" s="141" t="str">
        <x:v>Force</x:v>
      </x:c>
    </x:row>
    <x:row r="17">
      <x:c r="A17" s="141" t="str">
        <x:v>Propriété</x:v>
      </x:c>
      <x:c r="B17" s="141" t="str">
        <x:v>poison / maladie</x:v>
      </x:c>
      <x:c r="C17" s="141" t="str">
        <x:v>Toxique</x:v>
      </x:c>
    </x:row>
    <x:row r="18">
      <x:c r="A18" s="141" t="str">
        <x:v>Propriété</x:v>
      </x:c>
      <x:c r="B18" s="141" t="str">
        <x:v>mental</x:v>
      </x:c>
      <x:c r="C18" s="141" t="str">
        <x:v>Psychique</x:v>
      </x:c>
    </x:row>
    <x:row r="19">
      <x:c r="A19" s="141" t="str">
        <x:v>Ancien type</x:v>
      </x:c>
      <x:c r="B19" s="141" t="str">
        <x:v>nature</x:v>
      </x:c>
      <x:c r="C19" s="141" t="str">
        <x:v>Conservé en colonne legacy ; non exporté automatiquement</x:v>
      </x:c>
    </x:row>
  </x:sheetData>
  <x:pageMargins left="0.7" right="0.7" top="0.75" bottom="0.75" header="0.3" footer="0.3"/>
</x:worksheet>
</file>